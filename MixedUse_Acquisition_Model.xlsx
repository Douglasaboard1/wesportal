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TX_Monthly_Row">Taxes!$E$8</definedName>
    <definedName name="TotalCapBudget">CapEx!$B$11</definedName>
    <definedName name="EquityCapBudget">CapEx!$B$12</definedName>
    <definedName name="FinancedCapBudget">CapEx!$B$13</definedName>
    <definedName name="CX_Tot_Row">CapEx!$E$19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StabNOI">Debt!$B$19</definedName>
    <definedName name="GoingInNOI">Debt!$B$20</definedName>
    <definedName name="DebtConstant">Debt!$B$21</definedName>
    <definedName name="Loan_LTV">Debt!$B$24</definedName>
    <definedName name="Loan_LTC">Debt!$B$25</definedName>
    <definedName name="Loan_DSCR">Debt!$B$26</definedName>
    <definedName name="Loan_DY">Debt!$B$27</definedName>
    <definedName name="LoanAmount">Debt!$B$28</definedName>
    <definedName name="BindingConstraint">Debt!$B$29</definedName>
    <definedName name="FinancingCosts">Debt!$B$30</definedName>
    <definedName name="RefiMonth">Debt!$B$33</definedName>
    <definedName name="RefiCap">Debt!$B$34</definedName>
    <definedName name="RefiLTV">Debt!$B$35</definedName>
    <definedName name="RefiCostPct">Debt!$B$36</definedName>
    <definedName name="StabValue">Debt!$B$37</definedName>
    <definedName name="RefiLoan">Debt!$B$38</definedName>
    <definedName name="DB_DS_Row">Debt!$E$47</definedName>
    <definedName name="DB_Draw_Row">Debt!$E$48</definedName>
    <definedName name="DB_BalClose_Row">Debt!$E$44</definedName>
    <definedName name="DB_Event_Row">Debt!$E$49</definedName>
    <definedName name="DB_CashOut_Row">Debt!$E$51</definedName>
    <definedName name="MC_LCF_Row">'Monthly CF'!$E$22</definedName>
    <definedName name="MC_UCF_Row">'Monthly CF'!$E$23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Waterfall!$B$32</definedName>
    <definedName name="EquityMultiple">Waterfall!$B$33</definedName>
    <definedName name="GPCarryPct">Waterfall!$B$34</definedName>
    <definedName name="DistributableProfit">Waterfall!$B$35</definedName>
    <definedName name="GPPromote">Waterfall!$B$36</definedName>
    <definedName name="LPDist">Waterfall!$B$37</definedName>
    <definedName name="GPDist">Waterfall!$B$38</definedName>
    <definedName name="SponsorIRR">Waterfall!$B$39</definedName>
    <definedName name="WF_Check">Waterfall!$B$40</definedName>
    <definedName name="UsesTotal">Summary!$B$21</definedName>
    <definedName name="SourcesTotal">Summary!$B$26</definedName>
    <definedName name="UnleveredIRR">Summary!$B$29</definedName>
    <definedName name="Chk_SU">Summary!$B$40</definedName>
    <definedName name="Chk_WF">Summary!$B$41</definedName>
    <definedName name="Chk_Loan">Summary!$B$42</definedName>
    <definedName name="Sens_LIRR">Sensitivities!$B$5</definedName>
    <definedName name="Sens_EM">Sensitivities!$B$6</definedName>
    <definedName name="_xlnm.Print_Area" localSheetId="12">'IC One-Pager'!$A$1:$D$28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</numFmts>
  <fonts count="9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66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66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DATEDIF(AcquisitionDate,DispositionDate,"m")</f>
        <v/>
      </c>
    </row>
    <row r="11">
      <c r="A11" s="10" t="inlineStr">
        <is>
          <t>Hold (years)</t>
        </is>
      </c>
      <c r="B11" s="46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7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48">
        <f>PurchasePrice</f>
        <v/>
      </c>
    </row>
    <row r="7">
      <c r="A7" s="10" t="inlineStr">
        <is>
          <t>$/unit</t>
        </is>
      </c>
      <c r="B7" s="48">
        <f>PurchasePrice/MF_UnitCount</f>
        <v/>
      </c>
    </row>
    <row r="8">
      <c r="A8" s="10" t="inlineStr">
        <is>
          <t>$/SF (total)</t>
        </is>
      </c>
      <c r="B8" s="49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48">
        <f>PurchasePrice</f>
        <v/>
      </c>
    </row>
    <row r="18">
      <c r="A18" s="10" t="inlineStr">
        <is>
          <t>Closing / transaction costs</t>
        </is>
      </c>
      <c r="B18" s="48">
        <f>PurchasePrice*ClosingCostPct</f>
        <v/>
      </c>
    </row>
    <row r="19">
      <c r="A19" s="10" t="inlineStr">
        <is>
          <t>Capital budget</t>
        </is>
      </c>
      <c r="B19" s="48">
        <f>TotalCapBudget</f>
        <v/>
      </c>
    </row>
    <row r="20">
      <c r="A20" s="10" t="inlineStr">
        <is>
          <t>Financing costs</t>
        </is>
      </c>
      <c r="B20" s="48">
        <f>FinancingCosts</f>
        <v/>
      </c>
    </row>
    <row r="21">
      <c r="A21" s="3" t="inlineStr">
        <is>
          <t>Total uses</t>
        </is>
      </c>
      <c r="B21" s="50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48">
        <f>LoanAmount</f>
        <v/>
      </c>
    </row>
    <row r="25">
      <c r="A25" s="10" t="inlineStr">
        <is>
          <t>Equity</t>
        </is>
      </c>
      <c r="B25" s="48">
        <f>InitialEquity</f>
        <v/>
      </c>
    </row>
    <row r="26">
      <c r="A26" s="3" t="inlineStr">
        <is>
          <t>Total sources</t>
        </is>
      </c>
      <c r="B26" s="50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CF'!E$23:DT$23,'Monthly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1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2">
        <f>DevSpread</f>
        <v/>
      </c>
    </row>
    <row r="35">
      <c r="A35" s="10" t="inlineStr">
        <is>
          <t>Loan amount ($)</t>
        </is>
      </c>
      <c r="B35" s="48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48">
        <f>InitialEquity</f>
        <v/>
      </c>
    </row>
    <row r="39">
      <c r="A39" s="8" t="inlineStr">
        <is>
          <t>Acceptance checks</t>
        </is>
      </c>
      <c r="B39" s="9" t="n"/>
      <c r="C39" s="9" t="n"/>
      <c r="D39" s="9" t="n"/>
    </row>
    <row r="40">
      <c r="A40" s="10" t="inlineStr">
        <is>
          <t>Sources = Uses?</t>
        </is>
      </c>
      <c r="B40" s="4">
        <f>ABS(SourcesTotal-UsesTotal)&lt;1</f>
        <v/>
      </c>
    </row>
    <row r="41">
      <c r="A41" s="10" t="inlineStr">
        <is>
          <t>Waterfall ties to levered CF?</t>
        </is>
      </c>
      <c r="B41" s="4">
        <f>ABS(WF_Check-TotalLeveredCF)&lt;MAX(1,ABS(TotalLeveredCF))*0.001</f>
        <v/>
      </c>
    </row>
    <row r="42">
      <c r="A42" s="10" t="inlineStr">
        <is>
          <t>Loan non-negative?</t>
        </is>
      </c>
      <c r="B42" s="4">
        <f>LoanAmount&gt;=0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3" t="n">
        <v>48000000</v>
      </c>
    </row>
    <row r="7">
      <c r="A7" s="10" t="inlineStr">
        <is>
          <t>Solved Max-Bid Price ($) [Python binary search]</t>
        </is>
      </c>
      <c r="B7" s="53" t="n">
        <v>46939850</v>
      </c>
    </row>
    <row r="8">
      <c r="A8" s="10" t="inlineStr">
        <is>
          <t>Active Purchase Price ($)</t>
        </is>
      </c>
      <c r="B8" s="50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4" t="n">
        <v>0.018</v>
      </c>
    </row>
    <row r="10">
      <c r="A10" s="10" t="inlineStr">
        <is>
          <t>Disposition cost (% of sale)</t>
        </is>
      </c>
      <c r="B10" s="54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4" t="n">
        <v>0.05</v>
      </c>
    </row>
    <row r="19">
      <c r="A19" s="10" t="inlineStr">
        <is>
          <t>Concessions (% of GPR)</t>
        </is>
      </c>
      <c r="B19" s="54" t="n">
        <v>0.01</v>
      </c>
    </row>
    <row r="20">
      <c r="A20" s="10" t="inlineStr">
        <is>
          <t>Bad debt (% of GPR)</t>
        </is>
      </c>
      <c r="B20" s="54" t="n">
        <v>0.005</v>
      </c>
    </row>
    <row r="21">
      <c r="A21" s="10" t="inlineStr">
        <is>
          <t>Loss-to-lease burn-off (months to market)</t>
        </is>
      </c>
      <c r="B21" s="55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3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3" t="n">
        <v>18000</v>
      </c>
    </row>
    <row r="27">
      <c r="A27" s="10" t="inlineStr">
        <is>
          <t>Renovation downtime (months/unit)</t>
        </is>
      </c>
      <c r="B27" s="55" t="n">
        <v>1</v>
      </c>
    </row>
    <row r="28">
      <c r="A28" s="10" t="inlineStr">
        <is>
          <t>Lease-up: start occupancy (%)</t>
        </is>
      </c>
      <c r="B28" s="54" t="n">
        <v>0.7</v>
      </c>
    </row>
    <row r="29">
      <c r="A29" s="10" t="inlineStr">
        <is>
          <t>Lease-up: stabilized occupancy (%)</t>
        </is>
      </c>
      <c r="B29" s="54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4" t="n">
        <v>0.05</v>
      </c>
    </row>
    <row r="34">
      <c r="A34" s="10" t="inlineStr">
        <is>
          <t>Retail credit loss / bad debt (%)</t>
        </is>
      </c>
      <c r="B34" s="54" t="n">
        <v>0.01</v>
      </c>
    </row>
    <row r="35">
      <c r="A35" s="10" t="inlineStr">
        <is>
          <t>Retail renewal probability (%)</t>
        </is>
      </c>
      <c r="B35" s="54" t="n">
        <v>0.7</v>
      </c>
    </row>
    <row r="36">
      <c r="A36" s="10" t="inlineStr">
        <is>
          <t>Retail re-let downtime (months)</t>
        </is>
      </c>
      <c r="B36" s="55" t="n">
        <v>6</v>
      </c>
    </row>
    <row r="37">
      <c r="A37" s="10" t="inlineStr">
        <is>
          <t>Renewal rent factor (% of market)</t>
        </is>
      </c>
      <c r="B37" s="54" t="n">
        <v>1</v>
      </c>
    </row>
    <row r="38">
      <c r="A38" s="10" t="inlineStr">
        <is>
          <t>New-lease TI ($/SF)</t>
        </is>
      </c>
      <c r="B38" s="56" t="n">
        <v>50</v>
      </c>
    </row>
    <row r="39">
      <c r="A39" s="10" t="inlineStr">
        <is>
          <t>Renewal TI ($/SF)</t>
        </is>
      </c>
      <c r="B39" s="56" t="n">
        <v>15</v>
      </c>
    </row>
    <row r="40">
      <c r="A40" s="10" t="inlineStr">
        <is>
          <t>Leasing commission (% of lease value)</t>
        </is>
      </c>
      <c r="B40" s="54" t="n">
        <v>0.05</v>
      </c>
    </row>
    <row r="41">
      <c r="A41" s="10" t="inlineStr">
        <is>
          <t>Admin fee (% of recoveries)</t>
        </is>
      </c>
      <c r="B41" s="54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4" t="n">
        <v>0.03</v>
      </c>
    </row>
    <row r="45">
      <c r="A45" s="10" t="inlineStr">
        <is>
          <t>Replacement reserves ($/unit/yr)</t>
        </is>
      </c>
      <c r="B45" s="53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4" t="n">
        <v>0.9</v>
      </c>
    </row>
    <row r="50">
      <c r="A50" s="10" t="inlineStr">
        <is>
          <t>Tax flat growth (%/yr)</t>
        </is>
      </c>
      <c r="B50" s="54" t="n">
        <v>0.03</v>
      </c>
    </row>
    <row r="51">
      <c r="A51" s="10" t="inlineStr">
        <is>
          <t>Base annual tax ($) [year 1]</t>
        </is>
      </c>
      <c r="B51" s="53" t="n">
        <v>720000</v>
      </c>
    </row>
    <row r="52">
      <c r="A52" s="10" t="inlineStr">
        <is>
          <t>PILOT annual tax ($) [flat schedule proxy]</t>
        </is>
      </c>
      <c r="B52" s="53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4" t="n">
        <v>0.04</v>
      </c>
      <c r="F56" s="54" t="n">
        <v>0.04</v>
      </c>
      <c r="G56" s="54" t="n">
        <v>0.035</v>
      </c>
      <c r="H56" s="54" t="n">
        <v>0.03</v>
      </c>
      <c r="I56" s="54" t="n">
        <v>0.03</v>
      </c>
      <c r="J56" s="54" t="n">
        <v>0.03</v>
      </c>
      <c r="K56" s="54" t="n">
        <v>0.03</v>
      </c>
      <c r="L56" s="54" t="n">
        <v>0.03</v>
      </c>
      <c r="M56" s="54" t="n">
        <v>0.03</v>
      </c>
      <c r="N56" s="54" t="n">
        <v>0.03</v>
      </c>
      <c r="O56" s="54" t="n">
        <v>0.03</v>
      </c>
    </row>
    <row r="57">
      <c r="A57" s="10" t="inlineStr">
        <is>
          <t>Retail market rent growth</t>
        </is>
      </c>
      <c r="E57" s="54" t="n">
        <v>0.025</v>
      </c>
      <c r="F57" s="54" t="n">
        <v>0.0275</v>
      </c>
      <c r="G57" s="54" t="n">
        <v>0.03</v>
      </c>
      <c r="H57" s="54" t="n">
        <v>0.03</v>
      </c>
      <c r="I57" s="54" t="n">
        <v>0.03</v>
      </c>
      <c r="J57" s="54" t="n">
        <v>0.03</v>
      </c>
      <c r="K57" s="54" t="n">
        <v>0.03</v>
      </c>
      <c r="L57" s="54" t="n">
        <v>0.03</v>
      </c>
      <c r="M57" s="54" t="n">
        <v>0.03</v>
      </c>
      <c r="N57" s="54" t="n">
        <v>0.03</v>
      </c>
      <c r="O57" s="54" t="n">
        <v>0.03</v>
      </c>
    </row>
    <row r="58">
      <c r="A58" s="10" t="inlineStr">
        <is>
          <t>OpEx / general inflation</t>
        </is>
      </c>
      <c r="E58" s="54" t="n">
        <v>0.03</v>
      </c>
      <c r="F58" s="54" t="n">
        <v>0.03</v>
      </c>
      <c r="G58" s="54" t="n">
        <v>0.03</v>
      </c>
      <c r="H58" s="54" t="n">
        <v>0.03</v>
      </c>
      <c r="I58" s="54" t="n">
        <v>0.03</v>
      </c>
      <c r="J58" s="54" t="n">
        <v>0.03</v>
      </c>
      <c r="K58" s="54" t="n">
        <v>0.03</v>
      </c>
      <c r="L58" s="54" t="n">
        <v>0.03</v>
      </c>
      <c r="M58" s="54" t="n">
        <v>0.03</v>
      </c>
      <c r="N58" s="54" t="n">
        <v>0.03</v>
      </c>
      <c r="O58" s="54" t="n">
        <v>0.03</v>
      </c>
    </row>
    <row r="59">
      <c r="A59" s="10" t="inlineStr">
        <is>
          <t>TI/LC growth</t>
        </is>
      </c>
      <c r="E59" s="54" t="n">
        <v>0.03</v>
      </c>
      <c r="F59" s="54" t="n">
        <v>0.03</v>
      </c>
      <c r="G59" s="54" t="n">
        <v>0.03</v>
      </c>
      <c r="H59" s="54" t="n">
        <v>0.03</v>
      </c>
      <c r="I59" s="54" t="n">
        <v>0.03</v>
      </c>
      <c r="J59" s="54" t="n">
        <v>0.03</v>
      </c>
      <c r="K59" s="54" t="n">
        <v>0.03</v>
      </c>
      <c r="L59" s="54" t="n">
        <v>0.03</v>
      </c>
      <c r="M59" s="54" t="n">
        <v>0.03</v>
      </c>
      <c r="N59" s="54" t="n">
        <v>0.03</v>
      </c>
      <c r="O59" s="54" t="n">
        <v>0.03</v>
      </c>
    </row>
    <row r="60">
      <c r="A60" s="10" t="inlineStr">
        <is>
          <t>Other income growth</t>
        </is>
      </c>
      <c r="E60" s="54" t="n">
        <v>0.03</v>
      </c>
      <c r="F60" s="54" t="n">
        <v>0.03</v>
      </c>
      <c r="G60" s="54" t="n">
        <v>0.03</v>
      </c>
      <c r="H60" s="54" t="n">
        <v>0.03</v>
      </c>
      <c r="I60" s="54" t="n">
        <v>0.03</v>
      </c>
      <c r="J60" s="54" t="n">
        <v>0.03</v>
      </c>
      <c r="K60" s="54" t="n">
        <v>0.03</v>
      </c>
      <c r="L60" s="54" t="n">
        <v>0.03</v>
      </c>
      <c r="M60" s="54" t="n">
        <v>0.03</v>
      </c>
      <c r="N60" s="54" t="n">
        <v>0.03</v>
      </c>
      <c r="O60" s="54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7" t="n">
        <v>1</v>
      </c>
      <c r="E64" s="57">
        <f>D64*(1+E$56)</f>
        <v/>
      </c>
      <c r="F64" s="57">
        <f>E64*(1+F$56)</f>
        <v/>
      </c>
      <c r="G64" s="57">
        <f>F64*(1+G$56)</f>
        <v/>
      </c>
      <c r="H64" s="57">
        <f>G64*(1+H$56)</f>
        <v/>
      </c>
      <c r="I64" s="57">
        <f>H64*(1+I$56)</f>
        <v/>
      </c>
      <c r="J64" s="57">
        <f>I64*(1+J$56)</f>
        <v/>
      </c>
      <c r="K64" s="57">
        <f>J64*(1+K$56)</f>
        <v/>
      </c>
      <c r="L64" s="57">
        <f>K64*(1+L$56)</f>
        <v/>
      </c>
      <c r="M64" s="57">
        <f>L64*(1+M$56)</f>
        <v/>
      </c>
      <c r="N64" s="57">
        <f>M64*(1+N$56)</f>
        <v/>
      </c>
      <c r="O64" s="57">
        <f>N64*(1+O$56)</f>
        <v/>
      </c>
    </row>
    <row r="65">
      <c r="A65" s="10" t="inlineStr">
        <is>
          <t>Retail rent cum factor</t>
        </is>
      </c>
      <c r="D65" s="57" t="n">
        <v>1</v>
      </c>
      <c r="E65" s="57">
        <f>D65*(1+E$57)</f>
        <v/>
      </c>
      <c r="F65" s="57">
        <f>E65*(1+F$57)</f>
        <v/>
      </c>
      <c r="G65" s="57">
        <f>F65*(1+G$57)</f>
        <v/>
      </c>
      <c r="H65" s="57">
        <f>G65*(1+H$57)</f>
        <v/>
      </c>
      <c r="I65" s="57">
        <f>H65*(1+I$57)</f>
        <v/>
      </c>
      <c r="J65" s="57">
        <f>I65*(1+J$57)</f>
        <v/>
      </c>
      <c r="K65" s="57">
        <f>J65*(1+K$57)</f>
        <v/>
      </c>
      <c r="L65" s="57">
        <f>K65*(1+L$57)</f>
        <v/>
      </c>
      <c r="M65" s="57">
        <f>L65*(1+M$57)</f>
        <v/>
      </c>
      <c r="N65" s="57">
        <f>M65*(1+N$57)</f>
        <v/>
      </c>
      <c r="O65" s="57">
        <f>N65*(1+O$57)</f>
        <v/>
      </c>
    </row>
    <row r="66">
      <c r="A66" s="10" t="inlineStr">
        <is>
          <t>OpEx cum factor</t>
        </is>
      </c>
      <c r="D66" s="57" t="n">
        <v>1</v>
      </c>
      <c r="E66" s="57">
        <f>D66*(1+E$58)</f>
        <v/>
      </c>
      <c r="F66" s="57">
        <f>E66*(1+F$58)</f>
        <v/>
      </c>
      <c r="G66" s="57">
        <f>F66*(1+G$58)</f>
        <v/>
      </c>
      <c r="H66" s="57">
        <f>G66*(1+H$58)</f>
        <v/>
      </c>
      <c r="I66" s="57">
        <f>H66*(1+I$58)</f>
        <v/>
      </c>
      <c r="J66" s="57">
        <f>I66*(1+J$58)</f>
        <v/>
      </c>
      <c r="K66" s="57">
        <f>J66*(1+K$58)</f>
        <v/>
      </c>
      <c r="L66" s="57">
        <f>K66*(1+L$58)</f>
        <v/>
      </c>
      <c r="M66" s="57">
        <f>L66*(1+M$58)</f>
        <v/>
      </c>
      <c r="N66" s="57">
        <f>M66*(1+N$58)</f>
        <v/>
      </c>
      <c r="O66" s="57">
        <f>N66*(1+O$58)</f>
        <v/>
      </c>
    </row>
    <row r="67">
      <c r="A67" s="10" t="inlineStr">
        <is>
          <t>TI/LC cum factor</t>
        </is>
      </c>
      <c r="D67" s="57" t="n">
        <v>1</v>
      </c>
      <c r="E67" s="57">
        <f>D67*(1+E$59)</f>
        <v/>
      </c>
      <c r="F67" s="57">
        <f>E67*(1+F$59)</f>
        <v/>
      </c>
      <c r="G67" s="57">
        <f>F67*(1+G$59)</f>
        <v/>
      </c>
      <c r="H67" s="57">
        <f>G67*(1+H$59)</f>
        <v/>
      </c>
      <c r="I67" s="57">
        <f>H67*(1+I$59)</f>
        <v/>
      </c>
      <c r="J67" s="57">
        <f>I67*(1+J$59)</f>
        <v/>
      </c>
      <c r="K67" s="57">
        <f>J67*(1+K$59)</f>
        <v/>
      </c>
      <c r="L67" s="57">
        <f>K67*(1+L$59)</f>
        <v/>
      </c>
      <c r="M67" s="57">
        <f>L67*(1+M$59)</f>
        <v/>
      </c>
      <c r="N67" s="57">
        <f>M67*(1+N$59)</f>
        <v/>
      </c>
      <c r="O67" s="57">
        <f>N67*(1+O$59)</f>
        <v/>
      </c>
    </row>
    <row r="68">
      <c r="A68" s="10" t="inlineStr">
        <is>
          <t>Other income cum factor</t>
        </is>
      </c>
      <c r="D68" s="57" t="n">
        <v>1</v>
      </c>
      <c r="E68" s="57">
        <f>D68*(1+E$60)</f>
        <v/>
      </c>
      <c r="F68" s="57">
        <f>E68*(1+F$60)</f>
        <v/>
      </c>
      <c r="G68" s="57">
        <f>F68*(1+G$60)</f>
        <v/>
      </c>
      <c r="H68" s="57">
        <f>G68*(1+H$60)</f>
        <v/>
      </c>
      <c r="I68" s="57">
        <f>H68*(1+I$60)</f>
        <v/>
      </c>
      <c r="J68" s="57">
        <f>I68*(1+J$60)</f>
        <v/>
      </c>
      <c r="K68" s="57">
        <f>J68*(1+K$60)</f>
        <v/>
      </c>
      <c r="L68" s="57">
        <f>K68*(1+L$60)</f>
        <v/>
      </c>
      <c r="M68" s="57">
        <f>L68*(1+M$60)</f>
        <v/>
      </c>
      <c r="N68" s="57">
        <f>M68*(1+N$60)</f>
        <v/>
      </c>
      <c r="O68" s="57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48">
        <f>SUMPRODUCT(('Monthly CF'!E$12:DT$12),--(Assumptions!E$72:DT$72&gt;HoldMonths-12),--(Assumptions!E$72:DT$72&lt;=HoldMonths))</f>
        <v/>
      </c>
    </row>
    <row r="81">
      <c r="A81" s="10" t="inlineStr">
        <is>
          <t>Forward 12-mo exit NOI ($)</t>
        </is>
      </c>
      <c r="B81" s="50">
        <f>ExitNOI_Trailing*(1+INDEX(Vec_MFRent,1,1))</f>
        <v/>
      </c>
    </row>
    <row r="82">
      <c r="A82" s="10" t="inlineStr">
        <is>
          <t>Exit NOI (basis-selected) ($)</t>
        </is>
      </c>
      <c r="B82" s="50">
        <f>IF(ExitNOIBasis="Trailing 12-mo",ExitNOI_Trailing,ExitNOI_Forward)</f>
        <v/>
      </c>
    </row>
    <row r="83">
      <c r="A83" s="10" t="inlineStr">
        <is>
          <t>MF NOI share (exit, approx)</t>
        </is>
      </c>
      <c r="B83" s="58">
        <f>SUMPRODUCT('Monthly CF'!E$7:DT$7,--(Assumptions!E$72:DT$72&gt;HoldMonths-12),--(Assumptions!E$72:DT$72&lt;=HoldMonths))/MAX(1,SUMPRODUCT(('Monthly CF'!E$7:DT$7+'Monthly CF'!E$8:DT$8),--(Assumptions!E$72:DT$72&gt;HoldMonths-12),--(Assumptions!E$72:DT$72&lt;=HoldMonths)))</f>
        <v/>
      </c>
    </row>
    <row r="84">
      <c r="A84" s="10" t="inlineStr">
        <is>
          <t>Exit gross value ($)</t>
        </is>
      </c>
      <c r="B84" s="50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0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59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0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3" t="n">
        <v>1452</v>
      </c>
      <c r="E6" s="53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3" t="n">
        <v>1905</v>
      </c>
      <c r="E7" s="53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3" t="n">
        <v>2006</v>
      </c>
      <c r="E8" s="53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3" t="n">
        <v>2504</v>
      </c>
      <c r="E9" s="53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3" t="n">
        <v>2561</v>
      </c>
      <c r="E10" s="53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3" t="n">
        <v>3080</v>
      </c>
      <c r="E11" s="53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3" t="n">
        <v>1465</v>
      </c>
      <c r="E12" s="53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3" t="n">
        <v>1918</v>
      </c>
      <c r="E13" s="53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3" t="n">
        <v>2020</v>
      </c>
      <c r="E14" s="53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3" t="n">
        <v>2517</v>
      </c>
      <c r="E15" s="53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3" t="n">
        <v>2508</v>
      </c>
      <c r="E16" s="53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3" t="n">
        <v>3093</v>
      </c>
      <c r="E17" s="53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3" t="n">
        <v>1478</v>
      </c>
      <c r="E18" s="53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3" t="n">
        <v>1932</v>
      </c>
      <c r="E19" s="53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3" t="n">
        <v>2033</v>
      </c>
      <c r="E20" s="53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3" t="n">
        <v>2464</v>
      </c>
      <c r="E21" s="53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3" t="n">
        <v>2521</v>
      </c>
      <c r="E22" s="53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3" t="n">
        <v>3106</v>
      </c>
      <c r="E23" s="53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3" t="n">
        <v>1492</v>
      </c>
      <c r="E24" s="53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3" t="n">
        <v>1945</v>
      </c>
      <c r="E25" s="53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3" t="n">
        <v>1980</v>
      </c>
      <c r="E26" s="53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3" t="n">
        <v>2477</v>
      </c>
      <c r="E27" s="53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3" t="n">
        <v>2534</v>
      </c>
      <c r="E28" s="53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3" t="n">
        <v>3120</v>
      </c>
      <c r="E29" s="53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3" t="n">
        <v>1505</v>
      </c>
      <c r="E30" s="53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3" t="n">
        <v>1892</v>
      </c>
      <c r="E31" s="53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3" t="n">
        <v>1993</v>
      </c>
      <c r="E32" s="53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3" t="n">
        <v>2490</v>
      </c>
      <c r="E33" s="53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3" t="n">
        <v>2548</v>
      </c>
      <c r="E34" s="53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3" t="n">
        <v>3133</v>
      </c>
      <c r="E35" s="53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3" t="n">
        <v>1452</v>
      </c>
      <c r="E36" s="53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3" t="n">
        <v>1905</v>
      </c>
      <c r="E37" s="53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3" t="n">
        <v>2006</v>
      </c>
      <c r="E38" s="53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3" t="n">
        <v>2504</v>
      </c>
      <c r="E39" s="53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3" t="n">
        <v>2561</v>
      </c>
      <c r="E40" s="53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3" t="n">
        <v>3080</v>
      </c>
      <c r="E41" s="53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3" t="n">
        <v>1465</v>
      </c>
      <c r="E42" s="53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3" t="n">
        <v>1918</v>
      </c>
      <c r="E43" s="53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3" t="n">
        <v>2020</v>
      </c>
      <c r="E44" s="53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3" t="n">
        <v>2517</v>
      </c>
      <c r="E45" s="53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3" t="n">
        <v>2508</v>
      </c>
      <c r="E46" s="53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3" t="n">
        <v>3093</v>
      </c>
      <c r="E47" s="53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3" t="n">
        <v>1478</v>
      </c>
      <c r="E48" s="53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3" t="n">
        <v>1932</v>
      </c>
      <c r="E49" s="53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3" t="n">
        <v>2033</v>
      </c>
      <c r="E50" s="53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3" t="n">
        <v>2464</v>
      </c>
      <c r="E51" s="53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3" t="n">
        <v>2521</v>
      </c>
      <c r="E52" s="53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3" t="n">
        <v>3106</v>
      </c>
      <c r="E53" s="53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3" t="n">
        <v>1492</v>
      </c>
      <c r="E54" s="53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3" t="n">
        <v>1945</v>
      </c>
      <c r="E55" s="53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3" t="n">
        <v>1980</v>
      </c>
      <c r="E56" s="53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3" t="n">
        <v>2477</v>
      </c>
      <c r="E57" s="53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3" t="n">
        <v>2534</v>
      </c>
      <c r="E58" s="53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3" t="n">
        <v>3120</v>
      </c>
      <c r="E59" s="53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3" t="n">
        <v>1505</v>
      </c>
      <c r="E60" s="53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3" t="n">
        <v>1892</v>
      </c>
      <c r="E61" s="53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3" t="n">
        <v>1993</v>
      </c>
      <c r="E62" s="53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3" t="n">
        <v>2490</v>
      </c>
      <c r="E63" s="53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3" t="n">
        <v>2548</v>
      </c>
      <c r="E64" s="53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3" t="n">
        <v>3133</v>
      </c>
      <c r="E65" s="53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3" t="n">
        <v>1452</v>
      </c>
      <c r="E66" s="53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3" t="n">
        <v>1905</v>
      </c>
      <c r="E67" s="53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3" t="n">
        <v>2006</v>
      </c>
      <c r="E68" s="53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3" t="n">
        <v>2504</v>
      </c>
      <c r="E69" s="53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3" t="n">
        <v>2561</v>
      </c>
      <c r="E70" s="53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3" t="n">
        <v>3080</v>
      </c>
      <c r="E71" s="53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3" t="n">
        <v>1465</v>
      </c>
      <c r="E72" s="53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3" t="n">
        <v>1918</v>
      </c>
      <c r="E73" s="53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3" t="n">
        <v>2020</v>
      </c>
      <c r="E74" s="53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3" t="n">
        <v>2517</v>
      </c>
      <c r="E75" s="53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3" t="n">
        <v>2508</v>
      </c>
      <c r="E76" s="53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3" t="n">
        <v>3093</v>
      </c>
      <c r="E77" s="53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3" t="n">
        <v>1478</v>
      </c>
      <c r="E78" s="53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3" t="n">
        <v>1932</v>
      </c>
      <c r="E79" s="53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3" t="n">
        <v>2033</v>
      </c>
      <c r="E80" s="53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3" t="n">
        <v>2464</v>
      </c>
      <c r="E81" s="53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3" t="n">
        <v>2521</v>
      </c>
      <c r="E82" s="53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3" t="n">
        <v>3106</v>
      </c>
      <c r="E83" s="53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3" t="n">
        <v>1492</v>
      </c>
      <c r="E84" s="53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3" t="n">
        <v>1945</v>
      </c>
      <c r="E85" s="53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3" t="n">
        <v>1980</v>
      </c>
      <c r="E86" s="53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3" t="n">
        <v>2477</v>
      </c>
      <c r="E87" s="53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3" t="n">
        <v>2534</v>
      </c>
      <c r="E88" s="53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3" t="n">
        <v>3120</v>
      </c>
      <c r="E89" s="53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3" t="n">
        <v>1505</v>
      </c>
      <c r="E90" s="53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3" t="n">
        <v>1892</v>
      </c>
      <c r="E91" s="53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3" t="n">
        <v>1993</v>
      </c>
      <c r="E92" s="53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3" t="n">
        <v>2490</v>
      </c>
      <c r="E93" s="53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0">
        <f>SUM(D6:D93)</f>
        <v/>
      </c>
      <c r="E94" s="50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6">
        <f>IF(Assumptions!E$74=0,0,IF(BusinessPlanMode="Core-Plus Lease-Up",MIN(MF_UnitCount*StabilizedOcc, MF_UnitCount*LeaseUpStartOcc + LeaseUpAbsorption*Assumptions!E$72),MF_UnitCount*StabilizedOcc))</f>
        <v/>
      </c>
      <c r="F99" s="46">
        <f>IF(Assumptions!F$74=0,0,IF(BusinessPlanMode="Core-Plus Lease-Up",MIN(MF_UnitCount*StabilizedOcc, MF_UnitCount*LeaseUpStartOcc + LeaseUpAbsorption*Assumptions!F$72),MF_UnitCount*StabilizedOcc))</f>
        <v/>
      </c>
      <c r="G99" s="46">
        <f>IF(Assumptions!G$74=0,0,IF(BusinessPlanMode="Core-Plus Lease-Up",MIN(MF_UnitCount*StabilizedOcc, MF_UnitCount*LeaseUpStartOcc + LeaseUpAbsorption*Assumptions!G$72),MF_UnitCount*StabilizedOcc))</f>
        <v/>
      </c>
      <c r="H99" s="46">
        <f>IF(Assumptions!H$74=0,0,IF(BusinessPlanMode="Core-Plus Lease-Up",MIN(MF_UnitCount*StabilizedOcc, MF_UnitCount*LeaseUpStartOcc + LeaseUpAbsorption*Assumptions!H$72),MF_UnitCount*StabilizedOcc))</f>
        <v/>
      </c>
      <c r="I99" s="46">
        <f>IF(Assumptions!I$74=0,0,IF(BusinessPlanMode="Core-Plus Lease-Up",MIN(MF_UnitCount*StabilizedOcc, MF_UnitCount*LeaseUpStartOcc + LeaseUpAbsorption*Assumptions!I$72),MF_UnitCount*StabilizedOcc))</f>
        <v/>
      </c>
      <c r="J99" s="46">
        <f>IF(Assumptions!J$74=0,0,IF(BusinessPlanMode="Core-Plus Lease-Up",MIN(MF_UnitCount*StabilizedOcc, MF_UnitCount*LeaseUpStartOcc + LeaseUpAbsorption*Assumptions!J$72),MF_UnitCount*StabilizedOcc))</f>
        <v/>
      </c>
      <c r="K99" s="46">
        <f>IF(Assumptions!K$74=0,0,IF(BusinessPlanMode="Core-Plus Lease-Up",MIN(MF_UnitCount*StabilizedOcc, MF_UnitCount*LeaseUpStartOcc + LeaseUpAbsorption*Assumptions!K$72),MF_UnitCount*StabilizedOcc))</f>
        <v/>
      </c>
      <c r="L99" s="46">
        <f>IF(Assumptions!L$74=0,0,IF(BusinessPlanMode="Core-Plus Lease-Up",MIN(MF_UnitCount*StabilizedOcc, MF_UnitCount*LeaseUpStartOcc + LeaseUpAbsorption*Assumptions!L$72),MF_UnitCount*StabilizedOcc))</f>
        <v/>
      </c>
      <c r="M99" s="46">
        <f>IF(Assumptions!M$74=0,0,IF(BusinessPlanMode="Core-Plus Lease-Up",MIN(MF_UnitCount*StabilizedOcc, MF_UnitCount*LeaseUpStartOcc + LeaseUpAbsorption*Assumptions!M$72),MF_UnitCount*StabilizedOcc))</f>
        <v/>
      </c>
      <c r="N99" s="46">
        <f>IF(Assumptions!N$74=0,0,IF(BusinessPlanMode="Core-Plus Lease-Up",MIN(MF_UnitCount*StabilizedOcc, MF_UnitCount*LeaseUpStartOcc + LeaseUpAbsorption*Assumptions!N$72),MF_UnitCount*StabilizedOcc))</f>
        <v/>
      </c>
      <c r="O99" s="46">
        <f>IF(Assumptions!O$74=0,0,IF(BusinessPlanMode="Core-Plus Lease-Up",MIN(MF_UnitCount*StabilizedOcc, MF_UnitCount*LeaseUpStartOcc + LeaseUpAbsorption*Assumptions!O$72),MF_UnitCount*StabilizedOcc))</f>
        <v/>
      </c>
      <c r="P99" s="46">
        <f>IF(Assumptions!P$74=0,0,IF(BusinessPlanMode="Core-Plus Lease-Up",MIN(MF_UnitCount*StabilizedOcc, MF_UnitCount*LeaseUpStartOcc + LeaseUpAbsorption*Assumptions!P$72),MF_UnitCount*StabilizedOcc))</f>
        <v/>
      </c>
      <c r="Q99" s="46">
        <f>IF(Assumptions!Q$74=0,0,IF(BusinessPlanMode="Core-Plus Lease-Up",MIN(MF_UnitCount*StabilizedOcc, MF_UnitCount*LeaseUpStartOcc + LeaseUpAbsorption*Assumptions!Q$72),MF_UnitCount*StabilizedOcc))</f>
        <v/>
      </c>
      <c r="R99" s="46">
        <f>IF(Assumptions!R$74=0,0,IF(BusinessPlanMode="Core-Plus Lease-Up",MIN(MF_UnitCount*StabilizedOcc, MF_UnitCount*LeaseUpStartOcc + LeaseUpAbsorption*Assumptions!R$72),MF_UnitCount*StabilizedOcc))</f>
        <v/>
      </c>
      <c r="S99" s="46">
        <f>IF(Assumptions!S$74=0,0,IF(BusinessPlanMode="Core-Plus Lease-Up",MIN(MF_UnitCount*StabilizedOcc, MF_UnitCount*LeaseUpStartOcc + LeaseUpAbsorption*Assumptions!S$72),MF_UnitCount*StabilizedOcc))</f>
        <v/>
      </c>
      <c r="T99" s="46">
        <f>IF(Assumptions!T$74=0,0,IF(BusinessPlanMode="Core-Plus Lease-Up",MIN(MF_UnitCount*StabilizedOcc, MF_UnitCount*LeaseUpStartOcc + LeaseUpAbsorption*Assumptions!T$72),MF_UnitCount*StabilizedOcc))</f>
        <v/>
      </c>
      <c r="U99" s="46">
        <f>IF(Assumptions!U$74=0,0,IF(BusinessPlanMode="Core-Plus Lease-Up",MIN(MF_UnitCount*StabilizedOcc, MF_UnitCount*LeaseUpStartOcc + LeaseUpAbsorption*Assumptions!U$72),MF_UnitCount*StabilizedOcc))</f>
        <v/>
      </c>
      <c r="V99" s="46">
        <f>IF(Assumptions!V$74=0,0,IF(BusinessPlanMode="Core-Plus Lease-Up",MIN(MF_UnitCount*StabilizedOcc, MF_UnitCount*LeaseUpStartOcc + LeaseUpAbsorption*Assumptions!V$72),MF_UnitCount*StabilizedOcc))</f>
        <v/>
      </c>
      <c r="W99" s="46">
        <f>IF(Assumptions!W$74=0,0,IF(BusinessPlanMode="Core-Plus Lease-Up",MIN(MF_UnitCount*StabilizedOcc, MF_UnitCount*LeaseUpStartOcc + LeaseUpAbsorption*Assumptions!W$72),MF_UnitCount*StabilizedOcc))</f>
        <v/>
      </c>
      <c r="X99" s="46">
        <f>IF(Assumptions!X$74=0,0,IF(BusinessPlanMode="Core-Plus Lease-Up",MIN(MF_UnitCount*StabilizedOcc, MF_UnitCount*LeaseUpStartOcc + LeaseUpAbsorption*Assumptions!X$72),MF_UnitCount*StabilizedOcc))</f>
        <v/>
      </c>
      <c r="Y99" s="46">
        <f>IF(Assumptions!Y$74=0,0,IF(BusinessPlanMode="Core-Plus Lease-Up",MIN(MF_UnitCount*StabilizedOcc, MF_UnitCount*LeaseUpStartOcc + LeaseUpAbsorption*Assumptions!Y$72),MF_UnitCount*StabilizedOcc))</f>
        <v/>
      </c>
      <c r="Z99" s="46">
        <f>IF(Assumptions!Z$74=0,0,IF(BusinessPlanMode="Core-Plus Lease-Up",MIN(MF_UnitCount*StabilizedOcc, MF_UnitCount*LeaseUpStartOcc + LeaseUpAbsorption*Assumptions!Z$72),MF_UnitCount*StabilizedOcc))</f>
        <v/>
      </c>
      <c r="AA99" s="46">
        <f>IF(Assumptions!AA$74=0,0,IF(BusinessPlanMode="Core-Plus Lease-Up",MIN(MF_UnitCount*StabilizedOcc, MF_UnitCount*LeaseUpStartOcc + LeaseUpAbsorption*Assumptions!AA$72),MF_UnitCount*StabilizedOcc))</f>
        <v/>
      </c>
      <c r="AB99" s="46">
        <f>IF(Assumptions!AB$74=0,0,IF(BusinessPlanMode="Core-Plus Lease-Up",MIN(MF_UnitCount*StabilizedOcc, MF_UnitCount*LeaseUpStartOcc + LeaseUpAbsorption*Assumptions!AB$72),MF_UnitCount*StabilizedOcc))</f>
        <v/>
      </c>
      <c r="AC99" s="46">
        <f>IF(Assumptions!AC$74=0,0,IF(BusinessPlanMode="Core-Plus Lease-Up",MIN(MF_UnitCount*StabilizedOcc, MF_UnitCount*LeaseUpStartOcc + LeaseUpAbsorption*Assumptions!AC$72),MF_UnitCount*StabilizedOcc))</f>
        <v/>
      </c>
      <c r="AD99" s="46">
        <f>IF(Assumptions!AD$74=0,0,IF(BusinessPlanMode="Core-Plus Lease-Up",MIN(MF_UnitCount*StabilizedOcc, MF_UnitCount*LeaseUpStartOcc + LeaseUpAbsorption*Assumptions!AD$72),MF_UnitCount*StabilizedOcc))</f>
        <v/>
      </c>
      <c r="AE99" s="46">
        <f>IF(Assumptions!AE$74=0,0,IF(BusinessPlanMode="Core-Plus Lease-Up",MIN(MF_UnitCount*StabilizedOcc, MF_UnitCount*LeaseUpStartOcc + LeaseUpAbsorption*Assumptions!AE$72),MF_UnitCount*StabilizedOcc))</f>
        <v/>
      </c>
      <c r="AF99" s="46">
        <f>IF(Assumptions!AF$74=0,0,IF(BusinessPlanMode="Core-Plus Lease-Up",MIN(MF_UnitCount*StabilizedOcc, MF_UnitCount*LeaseUpStartOcc + LeaseUpAbsorption*Assumptions!AF$72),MF_UnitCount*StabilizedOcc))</f>
        <v/>
      </c>
      <c r="AG99" s="46">
        <f>IF(Assumptions!AG$74=0,0,IF(BusinessPlanMode="Core-Plus Lease-Up",MIN(MF_UnitCount*StabilizedOcc, MF_UnitCount*LeaseUpStartOcc + LeaseUpAbsorption*Assumptions!AG$72),MF_UnitCount*StabilizedOcc))</f>
        <v/>
      </c>
      <c r="AH99" s="46">
        <f>IF(Assumptions!AH$74=0,0,IF(BusinessPlanMode="Core-Plus Lease-Up",MIN(MF_UnitCount*StabilizedOcc, MF_UnitCount*LeaseUpStartOcc + LeaseUpAbsorption*Assumptions!AH$72),MF_UnitCount*StabilizedOcc))</f>
        <v/>
      </c>
      <c r="AI99" s="46">
        <f>IF(Assumptions!AI$74=0,0,IF(BusinessPlanMode="Core-Plus Lease-Up",MIN(MF_UnitCount*StabilizedOcc, MF_UnitCount*LeaseUpStartOcc + LeaseUpAbsorption*Assumptions!AI$72),MF_UnitCount*StabilizedOcc))</f>
        <v/>
      </c>
      <c r="AJ99" s="46">
        <f>IF(Assumptions!AJ$74=0,0,IF(BusinessPlanMode="Core-Plus Lease-Up",MIN(MF_UnitCount*StabilizedOcc, MF_UnitCount*LeaseUpStartOcc + LeaseUpAbsorption*Assumptions!AJ$72),MF_UnitCount*StabilizedOcc))</f>
        <v/>
      </c>
      <c r="AK99" s="46">
        <f>IF(Assumptions!AK$74=0,0,IF(BusinessPlanMode="Core-Plus Lease-Up",MIN(MF_UnitCount*StabilizedOcc, MF_UnitCount*LeaseUpStartOcc + LeaseUpAbsorption*Assumptions!AK$72),MF_UnitCount*StabilizedOcc))</f>
        <v/>
      </c>
      <c r="AL99" s="46">
        <f>IF(Assumptions!AL$74=0,0,IF(BusinessPlanMode="Core-Plus Lease-Up",MIN(MF_UnitCount*StabilizedOcc, MF_UnitCount*LeaseUpStartOcc + LeaseUpAbsorption*Assumptions!AL$72),MF_UnitCount*StabilizedOcc))</f>
        <v/>
      </c>
      <c r="AM99" s="46">
        <f>IF(Assumptions!AM$74=0,0,IF(BusinessPlanMode="Core-Plus Lease-Up",MIN(MF_UnitCount*StabilizedOcc, MF_UnitCount*LeaseUpStartOcc + LeaseUpAbsorption*Assumptions!AM$72),MF_UnitCount*StabilizedOcc))</f>
        <v/>
      </c>
      <c r="AN99" s="46">
        <f>IF(Assumptions!AN$74=0,0,IF(BusinessPlanMode="Core-Plus Lease-Up",MIN(MF_UnitCount*StabilizedOcc, MF_UnitCount*LeaseUpStartOcc + LeaseUpAbsorption*Assumptions!AN$72),MF_UnitCount*StabilizedOcc))</f>
        <v/>
      </c>
      <c r="AO99" s="46">
        <f>IF(Assumptions!AO$74=0,0,IF(BusinessPlanMode="Core-Plus Lease-Up",MIN(MF_UnitCount*StabilizedOcc, MF_UnitCount*LeaseUpStartOcc + LeaseUpAbsorption*Assumptions!AO$72),MF_UnitCount*StabilizedOcc))</f>
        <v/>
      </c>
      <c r="AP99" s="46">
        <f>IF(Assumptions!AP$74=0,0,IF(BusinessPlanMode="Core-Plus Lease-Up",MIN(MF_UnitCount*StabilizedOcc, MF_UnitCount*LeaseUpStartOcc + LeaseUpAbsorption*Assumptions!AP$72),MF_UnitCount*StabilizedOcc))</f>
        <v/>
      </c>
      <c r="AQ99" s="46">
        <f>IF(Assumptions!AQ$74=0,0,IF(BusinessPlanMode="Core-Plus Lease-Up",MIN(MF_UnitCount*StabilizedOcc, MF_UnitCount*LeaseUpStartOcc + LeaseUpAbsorption*Assumptions!AQ$72),MF_UnitCount*StabilizedOcc))</f>
        <v/>
      </c>
      <c r="AR99" s="46">
        <f>IF(Assumptions!AR$74=0,0,IF(BusinessPlanMode="Core-Plus Lease-Up",MIN(MF_UnitCount*StabilizedOcc, MF_UnitCount*LeaseUpStartOcc + LeaseUpAbsorption*Assumptions!AR$72),MF_UnitCount*StabilizedOcc))</f>
        <v/>
      </c>
      <c r="AS99" s="46">
        <f>IF(Assumptions!AS$74=0,0,IF(BusinessPlanMode="Core-Plus Lease-Up",MIN(MF_UnitCount*StabilizedOcc, MF_UnitCount*LeaseUpStartOcc + LeaseUpAbsorption*Assumptions!AS$72),MF_UnitCount*StabilizedOcc))</f>
        <v/>
      </c>
      <c r="AT99" s="46">
        <f>IF(Assumptions!AT$74=0,0,IF(BusinessPlanMode="Core-Plus Lease-Up",MIN(MF_UnitCount*StabilizedOcc, MF_UnitCount*LeaseUpStartOcc + LeaseUpAbsorption*Assumptions!AT$72),MF_UnitCount*StabilizedOcc))</f>
        <v/>
      </c>
      <c r="AU99" s="46">
        <f>IF(Assumptions!AU$74=0,0,IF(BusinessPlanMode="Core-Plus Lease-Up",MIN(MF_UnitCount*StabilizedOcc, MF_UnitCount*LeaseUpStartOcc + LeaseUpAbsorption*Assumptions!AU$72),MF_UnitCount*StabilizedOcc))</f>
        <v/>
      </c>
      <c r="AV99" s="46">
        <f>IF(Assumptions!AV$74=0,0,IF(BusinessPlanMode="Core-Plus Lease-Up",MIN(MF_UnitCount*StabilizedOcc, MF_UnitCount*LeaseUpStartOcc + LeaseUpAbsorption*Assumptions!AV$72),MF_UnitCount*StabilizedOcc))</f>
        <v/>
      </c>
      <c r="AW99" s="46">
        <f>IF(Assumptions!AW$74=0,0,IF(BusinessPlanMode="Core-Plus Lease-Up",MIN(MF_UnitCount*StabilizedOcc, MF_UnitCount*LeaseUpStartOcc + LeaseUpAbsorption*Assumptions!AW$72),MF_UnitCount*StabilizedOcc))</f>
        <v/>
      </c>
      <c r="AX99" s="46">
        <f>IF(Assumptions!AX$74=0,0,IF(BusinessPlanMode="Core-Plus Lease-Up",MIN(MF_UnitCount*StabilizedOcc, MF_UnitCount*LeaseUpStartOcc + LeaseUpAbsorption*Assumptions!AX$72),MF_UnitCount*StabilizedOcc))</f>
        <v/>
      </c>
      <c r="AY99" s="46">
        <f>IF(Assumptions!AY$74=0,0,IF(BusinessPlanMode="Core-Plus Lease-Up",MIN(MF_UnitCount*StabilizedOcc, MF_UnitCount*LeaseUpStartOcc + LeaseUpAbsorption*Assumptions!AY$72),MF_UnitCount*StabilizedOcc))</f>
        <v/>
      </c>
      <c r="AZ99" s="46">
        <f>IF(Assumptions!AZ$74=0,0,IF(BusinessPlanMode="Core-Plus Lease-Up",MIN(MF_UnitCount*StabilizedOcc, MF_UnitCount*LeaseUpStartOcc + LeaseUpAbsorption*Assumptions!AZ$72),MF_UnitCount*StabilizedOcc))</f>
        <v/>
      </c>
      <c r="BA99" s="46">
        <f>IF(Assumptions!BA$74=0,0,IF(BusinessPlanMode="Core-Plus Lease-Up",MIN(MF_UnitCount*StabilizedOcc, MF_UnitCount*LeaseUpStartOcc + LeaseUpAbsorption*Assumptions!BA$72),MF_UnitCount*StabilizedOcc))</f>
        <v/>
      </c>
      <c r="BB99" s="46">
        <f>IF(Assumptions!BB$74=0,0,IF(BusinessPlanMode="Core-Plus Lease-Up",MIN(MF_UnitCount*StabilizedOcc, MF_UnitCount*LeaseUpStartOcc + LeaseUpAbsorption*Assumptions!BB$72),MF_UnitCount*StabilizedOcc))</f>
        <v/>
      </c>
      <c r="BC99" s="46">
        <f>IF(Assumptions!BC$74=0,0,IF(BusinessPlanMode="Core-Plus Lease-Up",MIN(MF_UnitCount*StabilizedOcc, MF_UnitCount*LeaseUpStartOcc + LeaseUpAbsorption*Assumptions!BC$72),MF_UnitCount*StabilizedOcc))</f>
        <v/>
      </c>
      <c r="BD99" s="46">
        <f>IF(Assumptions!BD$74=0,0,IF(BusinessPlanMode="Core-Plus Lease-Up",MIN(MF_UnitCount*StabilizedOcc, MF_UnitCount*LeaseUpStartOcc + LeaseUpAbsorption*Assumptions!BD$72),MF_UnitCount*StabilizedOcc))</f>
        <v/>
      </c>
      <c r="BE99" s="46">
        <f>IF(Assumptions!BE$74=0,0,IF(BusinessPlanMode="Core-Plus Lease-Up",MIN(MF_UnitCount*StabilizedOcc, MF_UnitCount*LeaseUpStartOcc + LeaseUpAbsorption*Assumptions!BE$72),MF_UnitCount*StabilizedOcc))</f>
        <v/>
      </c>
      <c r="BF99" s="46">
        <f>IF(Assumptions!BF$74=0,0,IF(BusinessPlanMode="Core-Plus Lease-Up",MIN(MF_UnitCount*StabilizedOcc, MF_UnitCount*LeaseUpStartOcc + LeaseUpAbsorption*Assumptions!BF$72),MF_UnitCount*StabilizedOcc))</f>
        <v/>
      </c>
      <c r="BG99" s="46">
        <f>IF(Assumptions!BG$74=0,0,IF(BusinessPlanMode="Core-Plus Lease-Up",MIN(MF_UnitCount*StabilizedOcc, MF_UnitCount*LeaseUpStartOcc + LeaseUpAbsorption*Assumptions!BG$72),MF_UnitCount*StabilizedOcc))</f>
        <v/>
      </c>
      <c r="BH99" s="46">
        <f>IF(Assumptions!BH$74=0,0,IF(BusinessPlanMode="Core-Plus Lease-Up",MIN(MF_UnitCount*StabilizedOcc, MF_UnitCount*LeaseUpStartOcc + LeaseUpAbsorption*Assumptions!BH$72),MF_UnitCount*StabilizedOcc))</f>
        <v/>
      </c>
      <c r="BI99" s="46">
        <f>IF(Assumptions!BI$74=0,0,IF(BusinessPlanMode="Core-Plus Lease-Up",MIN(MF_UnitCount*StabilizedOcc, MF_UnitCount*LeaseUpStartOcc + LeaseUpAbsorption*Assumptions!BI$72),MF_UnitCount*StabilizedOcc))</f>
        <v/>
      </c>
      <c r="BJ99" s="46">
        <f>IF(Assumptions!BJ$74=0,0,IF(BusinessPlanMode="Core-Plus Lease-Up",MIN(MF_UnitCount*StabilizedOcc, MF_UnitCount*LeaseUpStartOcc + LeaseUpAbsorption*Assumptions!BJ$72),MF_UnitCount*StabilizedOcc))</f>
        <v/>
      </c>
      <c r="BK99" s="46">
        <f>IF(Assumptions!BK$74=0,0,IF(BusinessPlanMode="Core-Plus Lease-Up",MIN(MF_UnitCount*StabilizedOcc, MF_UnitCount*LeaseUpStartOcc + LeaseUpAbsorption*Assumptions!BK$72),MF_UnitCount*StabilizedOcc))</f>
        <v/>
      </c>
      <c r="BL99" s="46">
        <f>IF(Assumptions!BL$74=0,0,IF(BusinessPlanMode="Core-Plus Lease-Up",MIN(MF_UnitCount*StabilizedOcc, MF_UnitCount*LeaseUpStartOcc + LeaseUpAbsorption*Assumptions!BL$72),MF_UnitCount*StabilizedOcc))</f>
        <v/>
      </c>
      <c r="BM99" s="46">
        <f>IF(Assumptions!BM$74=0,0,IF(BusinessPlanMode="Core-Plus Lease-Up",MIN(MF_UnitCount*StabilizedOcc, MF_UnitCount*LeaseUpStartOcc + LeaseUpAbsorption*Assumptions!BM$72),MF_UnitCount*StabilizedOcc))</f>
        <v/>
      </c>
      <c r="BN99" s="46">
        <f>IF(Assumptions!BN$74=0,0,IF(BusinessPlanMode="Core-Plus Lease-Up",MIN(MF_UnitCount*StabilizedOcc, MF_UnitCount*LeaseUpStartOcc + LeaseUpAbsorption*Assumptions!BN$72),MF_UnitCount*StabilizedOcc))</f>
        <v/>
      </c>
      <c r="BO99" s="46">
        <f>IF(Assumptions!BO$74=0,0,IF(BusinessPlanMode="Core-Plus Lease-Up",MIN(MF_UnitCount*StabilizedOcc, MF_UnitCount*LeaseUpStartOcc + LeaseUpAbsorption*Assumptions!BO$72),MF_UnitCount*StabilizedOcc))</f>
        <v/>
      </c>
      <c r="BP99" s="46">
        <f>IF(Assumptions!BP$74=0,0,IF(BusinessPlanMode="Core-Plus Lease-Up",MIN(MF_UnitCount*StabilizedOcc, MF_UnitCount*LeaseUpStartOcc + LeaseUpAbsorption*Assumptions!BP$72),MF_UnitCount*StabilizedOcc))</f>
        <v/>
      </c>
      <c r="BQ99" s="46">
        <f>IF(Assumptions!BQ$74=0,0,IF(BusinessPlanMode="Core-Plus Lease-Up",MIN(MF_UnitCount*StabilizedOcc, MF_UnitCount*LeaseUpStartOcc + LeaseUpAbsorption*Assumptions!BQ$72),MF_UnitCount*StabilizedOcc))</f>
        <v/>
      </c>
      <c r="BR99" s="46">
        <f>IF(Assumptions!BR$74=0,0,IF(BusinessPlanMode="Core-Plus Lease-Up",MIN(MF_UnitCount*StabilizedOcc, MF_UnitCount*LeaseUpStartOcc + LeaseUpAbsorption*Assumptions!BR$72),MF_UnitCount*StabilizedOcc))</f>
        <v/>
      </c>
      <c r="BS99" s="46">
        <f>IF(Assumptions!BS$74=0,0,IF(BusinessPlanMode="Core-Plus Lease-Up",MIN(MF_UnitCount*StabilizedOcc, MF_UnitCount*LeaseUpStartOcc + LeaseUpAbsorption*Assumptions!BS$72),MF_UnitCount*StabilizedOcc))</f>
        <v/>
      </c>
      <c r="BT99" s="46">
        <f>IF(Assumptions!BT$74=0,0,IF(BusinessPlanMode="Core-Plus Lease-Up",MIN(MF_UnitCount*StabilizedOcc, MF_UnitCount*LeaseUpStartOcc + LeaseUpAbsorption*Assumptions!BT$72),MF_UnitCount*StabilizedOcc))</f>
        <v/>
      </c>
      <c r="BU99" s="46">
        <f>IF(Assumptions!BU$74=0,0,IF(BusinessPlanMode="Core-Plus Lease-Up",MIN(MF_UnitCount*StabilizedOcc, MF_UnitCount*LeaseUpStartOcc + LeaseUpAbsorption*Assumptions!BU$72),MF_UnitCount*StabilizedOcc))</f>
        <v/>
      </c>
      <c r="BV99" s="46">
        <f>IF(Assumptions!BV$74=0,0,IF(BusinessPlanMode="Core-Plus Lease-Up",MIN(MF_UnitCount*StabilizedOcc, MF_UnitCount*LeaseUpStartOcc + LeaseUpAbsorption*Assumptions!BV$72),MF_UnitCount*StabilizedOcc))</f>
        <v/>
      </c>
      <c r="BW99" s="46">
        <f>IF(Assumptions!BW$74=0,0,IF(BusinessPlanMode="Core-Plus Lease-Up",MIN(MF_UnitCount*StabilizedOcc, MF_UnitCount*LeaseUpStartOcc + LeaseUpAbsorption*Assumptions!BW$72),MF_UnitCount*StabilizedOcc))</f>
        <v/>
      </c>
      <c r="BX99" s="46">
        <f>IF(Assumptions!BX$74=0,0,IF(BusinessPlanMode="Core-Plus Lease-Up",MIN(MF_UnitCount*StabilizedOcc, MF_UnitCount*LeaseUpStartOcc + LeaseUpAbsorption*Assumptions!BX$72),MF_UnitCount*StabilizedOcc))</f>
        <v/>
      </c>
      <c r="BY99" s="46">
        <f>IF(Assumptions!BY$74=0,0,IF(BusinessPlanMode="Core-Plus Lease-Up",MIN(MF_UnitCount*StabilizedOcc, MF_UnitCount*LeaseUpStartOcc + LeaseUpAbsorption*Assumptions!BY$72),MF_UnitCount*StabilizedOcc))</f>
        <v/>
      </c>
      <c r="BZ99" s="46">
        <f>IF(Assumptions!BZ$74=0,0,IF(BusinessPlanMode="Core-Plus Lease-Up",MIN(MF_UnitCount*StabilizedOcc, MF_UnitCount*LeaseUpStartOcc + LeaseUpAbsorption*Assumptions!BZ$72),MF_UnitCount*StabilizedOcc))</f>
        <v/>
      </c>
      <c r="CA99" s="46">
        <f>IF(Assumptions!CA$74=0,0,IF(BusinessPlanMode="Core-Plus Lease-Up",MIN(MF_UnitCount*StabilizedOcc, MF_UnitCount*LeaseUpStartOcc + LeaseUpAbsorption*Assumptions!CA$72),MF_UnitCount*StabilizedOcc))</f>
        <v/>
      </c>
      <c r="CB99" s="46">
        <f>IF(Assumptions!CB$74=0,0,IF(BusinessPlanMode="Core-Plus Lease-Up",MIN(MF_UnitCount*StabilizedOcc, MF_UnitCount*LeaseUpStartOcc + LeaseUpAbsorption*Assumptions!CB$72),MF_UnitCount*StabilizedOcc))</f>
        <v/>
      </c>
      <c r="CC99" s="46">
        <f>IF(Assumptions!CC$74=0,0,IF(BusinessPlanMode="Core-Plus Lease-Up",MIN(MF_UnitCount*StabilizedOcc, MF_UnitCount*LeaseUpStartOcc + LeaseUpAbsorption*Assumptions!CC$72),MF_UnitCount*StabilizedOcc))</f>
        <v/>
      </c>
      <c r="CD99" s="46">
        <f>IF(Assumptions!CD$74=0,0,IF(BusinessPlanMode="Core-Plus Lease-Up",MIN(MF_UnitCount*StabilizedOcc, MF_UnitCount*LeaseUpStartOcc + LeaseUpAbsorption*Assumptions!CD$72),MF_UnitCount*StabilizedOcc))</f>
        <v/>
      </c>
      <c r="CE99" s="46">
        <f>IF(Assumptions!CE$74=0,0,IF(BusinessPlanMode="Core-Plus Lease-Up",MIN(MF_UnitCount*StabilizedOcc, MF_UnitCount*LeaseUpStartOcc + LeaseUpAbsorption*Assumptions!CE$72),MF_UnitCount*StabilizedOcc))</f>
        <v/>
      </c>
      <c r="CF99" s="46">
        <f>IF(Assumptions!CF$74=0,0,IF(BusinessPlanMode="Core-Plus Lease-Up",MIN(MF_UnitCount*StabilizedOcc, MF_UnitCount*LeaseUpStartOcc + LeaseUpAbsorption*Assumptions!CF$72),MF_UnitCount*StabilizedOcc))</f>
        <v/>
      </c>
      <c r="CG99" s="46">
        <f>IF(Assumptions!CG$74=0,0,IF(BusinessPlanMode="Core-Plus Lease-Up",MIN(MF_UnitCount*StabilizedOcc, MF_UnitCount*LeaseUpStartOcc + LeaseUpAbsorption*Assumptions!CG$72),MF_UnitCount*StabilizedOcc))</f>
        <v/>
      </c>
      <c r="CH99" s="46">
        <f>IF(Assumptions!CH$74=0,0,IF(BusinessPlanMode="Core-Plus Lease-Up",MIN(MF_UnitCount*StabilizedOcc, MF_UnitCount*LeaseUpStartOcc + LeaseUpAbsorption*Assumptions!CH$72),MF_UnitCount*StabilizedOcc))</f>
        <v/>
      </c>
      <c r="CI99" s="46">
        <f>IF(Assumptions!CI$74=0,0,IF(BusinessPlanMode="Core-Plus Lease-Up",MIN(MF_UnitCount*StabilizedOcc, MF_UnitCount*LeaseUpStartOcc + LeaseUpAbsorption*Assumptions!CI$72),MF_UnitCount*StabilizedOcc))</f>
        <v/>
      </c>
      <c r="CJ99" s="46">
        <f>IF(Assumptions!CJ$74=0,0,IF(BusinessPlanMode="Core-Plus Lease-Up",MIN(MF_UnitCount*StabilizedOcc, MF_UnitCount*LeaseUpStartOcc + LeaseUpAbsorption*Assumptions!CJ$72),MF_UnitCount*StabilizedOcc))</f>
        <v/>
      </c>
      <c r="CK99" s="46">
        <f>IF(Assumptions!CK$74=0,0,IF(BusinessPlanMode="Core-Plus Lease-Up",MIN(MF_UnitCount*StabilizedOcc, MF_UnitCount*LeaseUpStartOcc + LeaseUpAbsorption*Assumptions!CK$72),MF_UnitCount*StabilizedOcc))</f>
        <v/>
      </c>
      <c r="CL99" s="46">
        <f>IF(Assumptions!CL$74=0,0,IF(BusinessPlanMode="Core-Plus Lease-Up",MIN(MF_UnitCount*StabilizedOcc, MF_UnitCount*LeaseUpStartOcc + LeaseUpAbsorption*Assumptions!CL$72),MF_UnitCount*StabilizedOcc))</f>
        <v/>
      </c>
      <c r="CM99" s="46">
        <f>IF(Assumptions!CM$74=0,0,IF(BusinessPlanMode="Core-Plus Lease-Up",MIN(MF_UnitCount*StabilizedOcc, MF_UnitCount*LeaseUpStartOcc + LeaseUpAbsorption*Assumptions!CM$72),MF_UnitCount*StabilizedOcc))</f>
        <v/>
      </c>
      <c r="CN99" s="46">
        <f>IF(Assumptions!CN$74=0,0,IF(BusinessPlanMode="Core-Plus Lease-Up",MIN(MF_UnitCount*StabilizedOcc, MF_UnitCount*LeaseUpStartOcc + LeaseUpAbsorption*Assumptions!CN$72),MF_UnitCount*StabilizedOcc))</f>
        <v/>
      </c>
      <c r="CO99" s="46">
        <f>IF(Assumptions!CO$74=0,0,IF(BusinessPlanMode="Core-Plus Lease-Up",MIN(MF_UnitCount*StabilizedOcc, MF_UnitCount*LeaseUpStartOcc + LeaseUpAbsorption*Assumptions!CO$72),MF_UnitCount*StabilizedOcc))</f>
        <v/>
      </c>
      <c r="CP99" s="46">
        <f>IF(Assumptions!CP$74=0,0,IF(BusinessPlanMode="Core-Plus Lease-Up",MIN(MF_UnitCount*StabilizedOcc, MF_UnitCount*LeaseUpStartOcc + LeaseUpAbsorption*Assumptions!CP$72),MF_UnitCount*StabilizedOcc))</f>
        <v/>
      </c>
      <c r="CQ99" s="46">
        <f>IF(Assumptions!CQ$74=0,0,IF(BusinessPlanMode="Core-Plus Lease-Up",MIN(MF_UnitCount*StabilizedOcc, MF_UnitCount*LeaseUpStartOcc + LeaseUpAbsorption*Assumptions!CQ$72),MF_UnitCount*StabilizedOcc))</f>
        <v/>
      </c>
      <c r="CR99" s="46">
        <f>IF(Assumptions!CR$74=0,0,IF(BusinessPlanMode="Core-Plus Lease-Up",MIN(MF_UnitCount*StabilizedOcc, MF_UnitCount*LeaseUpStartOcc + LeaseUpAbsorption*Assumptions!CR$72),MF_UnitCount*StabilizedOcc))</f>
        <v/>
      </c>
      <c r="CS99" s="46">
        <f>IF(Assumptions!CS$74=0,0,IF(BusinessPlanMode="Core-Plus Lease-Up",MIN(MF_UnitCount*StabilizedOcc, MF_UnitCount*LeaseUpStartOcc + LeaseUpAbsorption*Assumptions!CS$72),MF_UnitCount*StabilizedOcc))</f>
        <v/>
      </c>
      <c r="CT99" s="46">
        <f>IF(Assumptions!CT$74=0,0,IF(BusinessPlanMode="Core-Plus Lease-Up",MIN(MF_UnitCount*StabilizedOcc, MF_UnitCount*LeaseUpStartOcc + LeaseUpAbsorption*Assumptions!CT$72),MF_UnitCount*StabilizedOcc))</f>
        <v/>
      </c>
      <c r="CU99" s="46">
        <f>IF(Assumptions!CU$74=0,0,IF(BusinessPlanMode="Core-Plus Lease-Up",MIN(MF_UnitCount*StabilizedOcc, MF_UnitCount*LeaseUpStartOcc + LeaseUpAbsorption*Assumptions!CU$72),MF_UnitCount*StabilizedOcc))</f>
        <v/>
      </c>
      <c r="CV99" s="46">
        <f>IF(Assumptions!CV$74=0,0,IF(BusinessPlanMode="Core-Plus Lease-Up",MIN(MF_UnitCount*StabilizedOcc, MF_UnitCount*LeaseUpStartOcc + LeaseUpAbsorption*Assumptions!CV$72),MF_UnitCount*StabilizedOcc))</f>
        <v/>
      </c>
      <c r="CW99" s="46">
        <f>IF(Assumptions!CW$74=0,0,IF(BusinessPlanMode="Core-Plus Lease-Up",MIN(MF_UnitCount*StabilizedOcc, MF_UnitCount*LeaseUpStartOcc + LeaseUpAbsorption*Assumptions!CW$72),MF_UnitCount*StabilizedOcc))</f>
        <v/>
      </c>
      <c r="CX99" s="46">
        <f>IF(Assumptions!CX$74=0,0,IF(BusinessPlanMode="Core-Plus Lease-Up",MIN(MF_UnitCount*StabilizedOcc, MF_UnitCount*LeaseUpStartOcc + LeaseUpAbsorption*Assumptions!CX$72),MF_UnitCount*StabilizedOcc))</f>
        <v/>
      </c>
      <c r="CY99" s="46">
        <f>IF(Assumptions!CY$74=0,0,IF(BusinessPlanMode="Core-Plus Lease-Up",MIN(MF_UnitCount*StabilizedOcc, MF_UnitCount*LeaseUpStartOcc + LeaseUpAbsorption*Assumptions!CY$72),MF_UnitCount*StabilizedOcc))</f>
        <v/>
      </c>
      <c r="CZ99" s="46">
        <f>IF(Assumptions!CZ$74=0,0,IF(BusinessPlanMode="Core-Plus Lease-Up",MIN(MF_UnitCount*StabilizedOcc, MF_UnitCount*LeaseUpStartOcc + LeaseUpAbsorption*Assumptions!CZ$72),MF_UnitCount*StabilizedOcc))</f>
        <v/>
      </c>
      <c r="DA99" s="46">
        <f>IF(Assumptions!DA$74=0,0,IF(BusinessPlanMode="Core-Plus Lease-Up",MIN(MF_UnitCount*StabilizedOcc, MF_UnitCount*LeaseUpStartOcc + LeaseUpAbsorption*Assumptions!DA$72),MF_UnitCount*StabilizedOcc))</f>
        <v/>
      </c>
      <c r="DB99" s="46">
        <f>IF(Assumptions!DB$74=0,0,IF(BusinessPlanMode="Core-Plus Lease-Up",MIN(MF_UnitCount*StabilizedOcc, MF_UnitCount*LeaseUpStartOcc + LeaseUpAbsorption*Assumptions!DB$72),MF_UnitCount*StabilizedOcc))</f>
        <v/>
      </c>
      <c r="DC99" s="46">
        <f>IF(Assumptions!DC$74=0,0,IF(BusinessPlanMode="Core-Plus Lease-Up",MIN(MF_UnitCount*StabilizedOcc, MF_UnitCount*LeaseUpStartOcc + LeaseUpAbsorption*Assumptions!DC$72),MF_UnitCount*StabilizedOcc))</f>
        <v/>
      </c>
      <c r="DD99" s="46">
        <f>IF(Assumptions!DD$74=0,0,IF(BusinessPlanMode="Core-Plus Lease-Up",MIN(MF_UnitCount*StabilizedOcc, MF_UnitCount*LeaseUpStartOcc + LeaseUpAbsorption*Assumptions!DD$72),MF_UnitCount*StabilizedOcc))</f>
        <v/>
      </c>
      <c r="DE99" s="46">
        <f>IF(Assumptions!DE$74=0,0,IF(BusinessPlanMode="Core-Plus Lease-Up",MIN(MF_UnitCount*StabilizedOcc, MF_UnitCount*LeaseUpStartOcc + LeaseUpAbsorption*Assumptions!DE$72),MF_UnitCount*StabilizedOcc))</f>
        <v/>
      </c>
      <c r="DF99" s="46">
        <f>IF(Assumptions!DF$74=0,0,IF(BusinessPlanMode="Core-Plus Lease-Up",MIN(MF_UnitCount*StabilizedOcc, MF_UnitCount*LeaseUpStartOcc + LeaseUpAbsorption*Assumptions!DF$72),MF_UnitCount*StabilizedOcc))</f>
        <v/>
      </c>
      <c r="DG99" s="46">
        <f>IF(Assumptions!DG$74=0,0,IF(BusinessPlanMode="Core-Plus Lease-Up",MIN(MF_UnitCount*StabilizedOcc, MF_UnitCount*LeaseUpStartOcc + LeaseUpAbsorption*Assumptions!DG$72),MF_UnitCount*StabilizedOcc))</f>
        <v/>
      </c>
      <c r="DH99" s="46">
        <f>IF(Assumptions!DH$74=0,0,IF(BusinessPlanMode="Core-Plus Lease-Up",MIN(MF_UnitCount*StabilizedOcc, MF_UnitCount*LeaseUpStartOcc + LeaseUpAbsorption*Assumptions!DH$72),MF_UnitCount*StabilizedOcc))</f>
        <v/>
      </c>
      <c r="DI99" s="46">
        <f>IF(Assumptions!DI$74=0,0,IF(BusinessPlanMode="Core-Plus Lease-Up",MIN(MF_UnitCount*StabilizedOcc, MF_UnitCount*LeaseUpStartOcc + LeaseUpAbsorption*Assumptions!DI$72),MF_UnitCount*StabilizedOcc))</f>
        <v/>
      </c>
      <c r="DJ99" s="46">
        <f>IF(Assumptions!DJ$74=0,0,IF(BusinessPlanMode="Core-Plus Lease-Up",MIN(MF_UnitCount*StabilizedOcc, MF_UnitCount*LeaseUpStartOcc + LeaseUpAbsorption*Assumptions!DJ$72),MF_UnitCount*StabilizedOcc))</f>
        <v/>
      </c>
      <c r="DK99" s="46">
        <f>IF(Assumptions!DK$74=0,0,IF(BusinessPlanMode="Core-Plus Lease-Up",MIN(MF_UnitCount*StabilizedOcc, MF_UnitCount*LeaseUpStartOcc + LeaseUpAbsorption*Assumptions!DK$72),MF_UnitCount*StabilizedOcc))</f>
        <v/>
      </c>
      <c r="DL99" s="46">
        <f>IF(Assumptions!DL$74=0,0,IF(BusinessPlanMode="Core-Plus Lease-Up",MIN(MF_UnitCount*StabilizedOcc, MF_UnitCount*LeaseUpStartOcc + LeaseUpAbsorption*Assumptions!DL$72),MF_UnitCount*StabilizedOcc))</f>
        <v/>
      </c>
      <c r="DM99" s="46">
        <f>IF(Assumptions!DM$74=0,0,IF(BusinessPlanMode="Core-Plus Lease-Up",MIN(MF_UnitCount*StabilizedOcc, MF_UnitCount*LeaseUpStartOcc + LeaseUpAbsorption*Assumptions!DM$72),MF_UnitCount*StabilizedOcc))</f>
        <v/>
      </c>
      <c r="DN99" s="46">
        <f>IF(Assumptions!DN$74=0,0,IF(BusinessPlanMode="Core-Plus Lease-Up",MIN(MF_UnitCount*StabilizedOcc, MF_UnitCount*LeaseUpStartOcc + LeaseUpAbsorption*Assumptions!DN$72),MF_UnitCount*StabilizedOcc))</f>
        <v/>
      </c>
      <c r="DO99" s="46">
        <f>IF(Assumptions!DO$74=0,0,IF(BusinessPlanMode="Core-Plus Lease-Up",MIN(MF_UnitCount*StabilizedOcc, MF_UnitCount*LeaseUpStartOcc + LeaseUpAbsorption*Assumptions!DO$72),MF_UnitCount*StabilizedOcc))</f>
        <v/>
      </c>
      <c r="DP99" s="46">
        <f>IF(Assumptions!DP$74=0,0,IF(BusinessPlanMode="Core-Plus Lease-Up",MIN(MF_UnitCount*StabilizedOcc, MF_UnitCount*LeaseUpStartOcc + LeaseUpAbsorption*Assumptions!DP$72),MF_UnitCount*StabilizedOcc))</f>
        <v/>
      </c>
      <c r="DQ99" s="46">
        <f>IF(Assumptions!DQ$74=0,0,IF(BusinessPlanMode="Core-Plus Lease-Up",MIN(MF_UnitCount*StabilizedOcc, MF_UnitCount*LeaseUpStartOcc + LeaseUpAbsorption*Assumptions!DQ$72),MF_UnitCount*StabilizedOcc))</f>
        <v/>
      </c>
      <c r="DR99" s="46">
        <f>IF(Assumptions!DR$74=0,0,IF(BusinessPlanMode="Core-Plus Lease-Up",MIN(MF_UnitCount*StabilizedOcc, MF_UnitCount*LeaseUpStartOcc + LeaseUpAbsorption*Assumptions!DR$72),MF_UnitCount*StabilizedOcc))</f>
        <v/>
      </c>
      <c r="DS99" s="46">
        <f>IF(Assumptions!DS$74=0,0,IF(BusinessPlanMode="Core-Plus Lease-Up",MIN(MF_UnitCount*StabilizedOcc, MF_UnitCount*LeaseUpStartOcc + LeaseUpAbsorption*Assumptions!DS$72),MF_UnitCount*StabilizedOcc))</f>
        <v/>
      </c>
      <c r="DT99" s="46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6">
        <f>IF(BusinessPlanMode="Value-Add",MIN(MF_UnitCount,MAX(0,RenoPace*(Assumptions!E$72-RenoDowntime)))*Assumptions!E$74,0)</f>
        <v/>
      </c>
      <c r="F100" s="46">
        <f>IF(BusinessPlanMode="Value-Add",MIN(MF_UnitCount,MAX(0,RenoPace*(Assumptions!F$72-RenoDowntime)))*Assumptions!F$74,0)</f>
        <v/>
      </c>
      <c r="G100" s="46">
        <f>IF(BusinessPlanMode="Value-Add",MIN(MF_UnitCount,MAX(0,RenoPace*(Assumptions!G$72-RenoDowntime)))*Assumptions!G$74,0)</f>
        <v/>
      </c>
      <c r="H100" s="46">
        <f>IF(BusinessPlanMode="Value-Add",MIN(MF_UnitCount,MAX(0,RenoPace*(Assumptions!H$72-RenoDowntime)))*Assumptions!H$74,0)</f>
        <v/>
      </c>
      <c r="I100" s="46">
        <f>IF(BusinessPlanMode="Value-Add",MIN(MF_UnitCount,MAX(0,RenoPace*(Assumptions!I$72-RenoDowntime)))*Assumptions!I$74,0)</f>
        <v/>
      </c>
      <c r="J100" s="46">
        <f>IF(BusinessPlanMode="Value-Add",MIN(MF_UnitCount,MAX(0,RenoPace*(Assumptions!J$72-RenoDowntime)))*Assumptions!J$74,0)</f>
        <v/>
      </c>
      <c r="K100" s="46">
        <f>IF(BusinessPlanMode="Value-Add",MIN(MF_UnitCount,MAX(0,RenoPace*(Assumptions!K$72-RenoDowntime)))*Assumptions!K$74,0)</f>
        <v/>
      </c>
      <c r="L100" s="46">
        <f>IF(BusinessPlanMode="Value-Add",MIN(MF_UnitCount,MAX(0,RenoPace*(Assumptions!L$72-RenoDowntime)))*Assumptions!L$74,0)</f>
        <v/>
      </c>
      <c r="M100" s="46">
        <f>IF(BusinessPlanMode="Value-Add",MIN(MF_UnitCount,MAX(0,RenoPace*(Assumptions!M$72-RenoDowntime)))*Assumptions!M$74,0)</f>
        <v/>
      </c>
      <c r="N100" s="46">
        <f>IF(BusinessPlanMode="Value-Add",MIN(MF_UnitCount,MAX(0,RenoPace*(Assumptions!N$72-RenoDowntime)))*Assumptions!N$74,0)</f>
        <v/>
      </c>
      <c r="O100" s="46">
        <f>IF(BusinessPlanMode="Value-Add",MIN(MF_UnitCount,MAX(0,RenoPace*(Assumptions!O$72-RenoDowntime)))*Assumptions!O$74,0)</f>
        <v/>
      </c>
      <c r="P100" s="46">
        <f>IF(BusinessPlanMode="Value-Add",MIN(MF_UnitCount,MAX(0,RenoPace*(Assumptions!P$72-RenoDowntime)))*Assumptions!P$74,0)</f>
        <v/>
      </c>
      <c r="Q100" s="46">
        <f>IF(BusinessPlanMode="Value-Add",MIN(MF_UnitCount,MAX(0,RenoPace*(Assumptions!Q$72-RenoDowntime)))*Assumptions!Q$74,0)</f>
        <v/>
      </c>
      <c r="R100" s="46">
        <f>IF(BusinessPlanMode="Value-Add",MIN(MF_UnitCount,MAX(0,RenoPace*(Assumptions!R$72-RenoDowntime)))*Assumptions!R$74,0)</f>
        <v/>
      </c>
      <c r="S100" s="46">
        <f>IF(BusinessPlanMode="Value-Add",MIN(MF_UnitCount,MAX(0,RenoPace*(Assumptions!S$72-RenoDowntime)))*Assumptions!S$74,0)</f>
        <v/>
      </c>
      <c r="T100" s="46">
        <f>IF(BusinessPlanMode="Value-Add",MIN(MF_UnitCount,MAX(0,RenoPace*(Assumptions!T$72-RenoDowntime)))*Assumptions!T$74,0)</f>
        <v/>
      </c>
      <c r="U100" s="46">
        <f>IF(BusinessPlanMode="Value-Add",MIN(MF_UnitCount,MAX(0,RenoPace*(Assumptions!U$72-RenoDowntime)))*Assumptions!U$74,0)</f>
        <v/>
      </c>
      <c r="V100" s="46">
        <f>IF(BusinessPlanMode="Value-Add",MIN(MF_UnitCount,MAX(0,RenoPace*(Assumptions!V$72-RenoDowntime)))*Assumptions!V$74,0)</f>
        <v/>
      </c>
      <c r="W100" s="46">
        <f>IF(BusinessPlanMode="Value-Add",MIN(MF_UnitCount,MAX(0,RenoPace*(Assumptions!W$72-RenoDowntime)))*Assumptions!W$74,0)</f>
        <v/>
      </c>
      <c r="X100" s="46">
        <f>IF(BusinessPlanMode="Value-Add",MIN(MF_UnitCount,MAX(0,RenoPace*(Assumptions!X$72-RenoDowntime)))*Assumptions!X$74,0)</f>
        <v/>
      </c>
      <c r="Y100" s="46">
        <f>IF(BusinessPlanMode="Value-Add",MIN(MF_UnitCount,MAX(0,RenoPace*(Assumptions!Y$72-RenoDowntime)))*Assumptions!Y$74,0)</f>
        <v/>
      </c>
      <c r="Z100" s="46">
        <f>IF(BusinessPlanMode="Value-Add",MIN(MF_UnitCount,MAX(0,RenoPace*(Assumptions!Z$72-RenoDowntime)))*Assumptions!Z$74,0)</f>
        <v/>
      </c>
      <c r="AA100" s="46">
        <f>IF(BusinessPlanMode="Value-Add",MIN(MF_UnitCount,MAX(0,RenoPace*(Assumptions!AA$72-RenoDowntime)))*Assumptions!AA$74,0)</f>
        <v/>
      </c>
      <c r="AB100" s="46">
        <f>IF(BusinessPlanMode="Value-Add",MIN(MF_UnitCount,MAX(0,RenoPace*(Assumptions!AB$72-RenoDowntime)))*Assumptions!AB$74,0)</f>
        <v/>
      </c>
      <c r="AC100" s="46">
        <f>IF(BusinessPlanMode="Value-Add",MIN(MF_UnitCount,MAX(0,RenoPace*(Assumptions!AC$72-RenoDowntime)))*Assumptions!AC$74,0)</f>
        <v/>
      </c>
      <c r="AD100" s="46">
        <f>IF(BusinessPlanMode="Value-Add",MIN(MF_UnitCount,MAX(0,RenoPace*(Assumptions!AD$72-RenoDowntime)))*Assumptions!AD$74,0)</f>
        <v/>
      </c>
      <c r="AE100" s="46">
        <f>IF(BusinessPlanMode="Value-Add",MIN(MF_UnitCount,MAX(0,RenoPace*(Assumptions!AE$72-RenoDowntime)))*Assumptions!AE$74,0)</f>
        <v/>
      </c>
      <c r="AF100" s="46">
        <f>IF(BusinessPlanMode="Value-Add",MIN(MF_UnitCount,MAX(0,RenoPace*(Assumptions!AF$72-RenoDowntime)))*Assumptions!AF$74,0)</f>
        <v/>
      </c>
      <c r="AG100" s="46">
        <f>IF(BusinessPlanMode="Value-Add",MIN(MF_UnitCount,MAX(0,RenoPace*(Assumptions!AG$72-RenoDowntime)))*Assumptions!AG$74,0)</f>
        <v/>
      </c>
      <c r="AH100" s="46">
        <f>IF(BusinessPlanMode="Value-Add",MIN(MF_UnitCount,MAX(0,RenoPace*(Assumptions!AH$72-RenoDowntime)))*Assumptions!AH$74,0)</f>
        <v/>
      </c>
      <c r="AI100" s="46">
        <f>IF(BusinessPlanMode="Value-Add",MIN(MF_UnitCount,MAX(0,RenoPace*(Assumptions!AI$72-RenoDowntime)))*Assumptions!AI$74,0)</f>
        <v/>
      </c>
      <c r="AJ100" s="46">
        <f>IF(BusinessPlanMode="Value-Add",MIN(MF_UnitCount,MAX(0,RenoPace*(Assumptions!AJ$72-RenoDowntime)))*Assumptions!AJ$74,0)</f>
        <v/>
      </c>
      <c r="AK100" s="46">
        <f>IF(BusinessPlanMode="Value-Add",MIN(MF_UnitCount,MAX(0,RenoPace*(Assumptions!AK$72-RenoDowntime)))*Assumptions!AK$74,0)</f>
        <v/>
      </c>
      <c r="AL100" s="46">
        <f>IF(BusinessPlanMode="Value-Add",MIN(MF_UnitCount,MAX(0,RenoPace*(Assumptions!AL$72-RenoDowntime)))*Assumptions!AL$74,0)</f>
        <v/>
      </c>
      <c r="AM100" s="46">
        <f>IF(BusinessPlanMode="Value-Add",MIN(MF_UnitCount,MAX(0,RenoPace*(Assumptions!AM$72-RenoDowntime)))*Assumptions!AM$74,0)</f>
        <v/>
      </c>
      <c r="AN100" s="46">
        <f>IF(BusinessPlanMode="Value-Add",MIN(MF_UnitCount,MAX(0,RenoPace*(Assumptions!AN$72-RenoDowntime)))*Assumptions!AN$74,0)</f>
        <v/>
      </c>
      <c r="AO100" s="46">
        <f>IF(BusinessPlanMode="Value-Add",MIN(MF_UnitCount,MAX(0,RenoPace*(Assumptions!AO$72-RenoDowntime)))*Assumptions!AO$74,0)</f>
        <v/>
      </c>
      <c r="AP100" s="46">
        <f>IF(BusinessPlanMode="Value-Add",MIN(MF_UnitCount,MAX(0,RenoPace*(Assumptions!AP$72-RenoDowntime)))*Assumptions!AP$74,0)</f>
        <v/>
      </c>
      <c r="AQ100" s="46">
        <f>IF(BusinessPlanMode="Value-Add",MIN(MF_UnitCount,MAX(0,RenoPace*(Assumptions!AQ$72-RenoDowntime)))*Assumptions!AQ$74,0)</f>
        <v/>
      </c>
      <c r="AR100" s="46">
        <f>IF(BusinessPlanMode="Value-Add",MIN(MF_UnitCount,MAX(0,RenoPace*(Assumptions!AR$72-RenoDowntime)))*Assumptions!AR$74,0)</f>
        <v/>
      </c>
      <c r="AS100" s="46">
        <f>IF(BusinessPlanMode="Value-Add",MIN(MF_UnitCount,MAX(0,RenoPace*(Assumptions!AS$72-RenoDowntime)))*Assumptions!AS$74,0)</f>
        <v/>
      </c>
      <c r="AT100" s="46">
        <f>IF(BusinessPlanMode="Value-Add",MIN(MF_UnitCount,MAX(0,RenoPace*(Assumptions!AT$72-RenoDowntime)))*Assumptions!AT$74,0)</f>
        <v/>
      </c>
      <c r="AU100" s="46">
        <f>IF(BusinessPlanMode="Value-Add",MIN(MF_UnitCount,MAX(0,RenoPace*(Assumptions!AU$72-RenoDowntime)))*Assumptions!AU$74,0)</f>
        <v/>
      </c>
      <c r="AV100" s="46">
        <f>IF(BusinessPlanMode="Value-Add",MIN(MF_UnitCount,MAX(0,RenoPace*(Assumptions!AV$72-RenoDowntime)))*Assumptions!AV$74,0)</f>
        <v/>
      </c>
      <c r="AW100" s="46">
        <f>IF(BusinessPlanMode="Value-Add",MIN(MF_UnitCount,MAX(0,RenoPace*(Assumptions!AW$72-RenoDowntime)))*Assumptions!AW$74,0)</f>
        <v/>
      </c>
      <c r="AX100" s="46">
        <f>IF(BusinessPlanMode="Value-Add",MIN(MF_UnitCount,MAX(0,RenoPace*(Assumptions!AX$72-RenoDowntime)))*Assumptions!AX$74,0)</f>
        <v/>
      </c>
      <c r="AY100" s="46">
        <f>IF(BusinessPlanMode="Value-Add",MIN(MF_UnitCount,MAX(0,RenoPace*(Assumptions!AY$72-RenoDowntime)))*Assumptions!AY$74,0)</f>
        <v/>
      </c>
      <c r="AZ100" s="46">
        <f>IF(BusinessPlanMode="Value-Add",MIN(MF_UnitCount,MAX(0,RenoPace*(Assumptions!AZ$72-RenoDowntime)))*Assumptions!AZ$74,0)</f>
        <v/>
      </c>
      <c r="BA100" s="46">
        <f>IF(BusinessPlanMode="Value-Add",MIN(MF_UnitCount,MAX(0,RenoPace*(Assumptions!BA$72-RenoDowntime)))*Assumptions!BA$74,0)</f>
        <v/>
      </c>
      <c r="BB100" s="46">
        <f>IF(BusinessPlanMode="Value-Add",MIN(MF_UnitCount,MAX(0,RenoPace*(Assumptions!BB$72-RenoDowntime)))*Assumptions!BB$74,0)</f>
        <v/>
      </c>
      <c r="BC100" s="46">
        <f>IF(BusinessPlanMode="Value-Add",MIN(MF_UnitCount,MAX(0,RenoPace*(Assumptions!BC$72-RenoDowntime)))*Assumptions!BC$74,0)</f>
        <v/>
      </c>
      <c r="BD100" s="46">
        <f>IF(BusinessPlanMode="Value-Add",MIN(MF_UnitCount,MAX(0,RenoPace*(Assumptions!BD$72-RenoDowntime)))*Assumptions!BD$74,0)</f>
        <v/>
      </c>
      <c r="BE100" s="46">
        <f>IF(BusinessPlanMode="Value-Add",MIN(MF_UnitCount,MAX(0,RenoPace*(Assumptions!BE$72-RenoDowntime)))*Assumptions!BE$74,0)</f>
        <v/>
      </c>
      <c r="BF100" s="46">
        <f>IF(BusinessPlanMode="Value-Add",MIN(MF_UnitCount,MAX(0,RenoPace*(Assumptions!BF$72-RenoDowntime)))*Assumptions!BF$74,0)</f>
        <v/>
      </c>
      <c r="BG100" s="46">
        <f>IF(BusinessPlanMode="Value-Add",MIN(MF_UnitCount,MAX(0,RenoPace*(Assumptions!BG$72-RenoDowntime)))*Assumptions!BG$74,0)</f>
        <v/>
      </c>
      <c r="BH100" s="46">
        <f>IF(BusinessPlanMode="Value-Add",MIN(MF_UnitCount,MAX(0,RenoPace*(Assumptions!BH$72-RenoDowntime)))*Assumptions!BH$74,0)</f>
        <v/>
      </c>
      <c r="BI100" s="46">
        <f>IF(BusinessPlanMode="Value-Add",MIN(MF_UnitCount,MAX(0,RenoPace*(Assumptions!BI$72-RenoDowntime)))*Assumptions!BI$74,0)</f>
        <v/>
      </c>
      <c r="BJ100" s="46">
        <f>IF(BusinessPlanMode="Value-Add",MIN(MF_UnitCount,MAX(0,RenoPace*(Assumptions!BJ$72-RenoDowntime)))*Assumptions!BJ$74,0)</f>
        <v/>
      </c>
      <c r="BK100" s="46">
        <f>IF(BusinessPlanMode="Value-Add",MIN(MF_UnitCount,MAX(0,RenoPace*(Assumptions!BK$72-RenoDowntime)))*Assumptions!BK$74,0)</f>
        <v/>
      </c>
      <c r="BL100" s="46">
        <f>IF(BusinessPlanMode="Value-Add",MIN(MF_UnitCount,MAX(0,RenoPace*(Assumptions!BL$72-RenoDowntime)))*Assumptions!BL$74,0)</f>
        <v/>
      </c>
      <c r="BM100" s="46">
        <f>IF(BusinessPlanMode="Value-Add",MIN(MF_UnitCount,MAX(0,RenoPace*(Assumptions!BM$72-RenoDowntime)))*Assumptions!BM$74,0)</f>
        <v/>
      </c>
      <c r="BN100" s="46">
        <f>IF(BusinessPlanMode="Value-Add",MIN(MF_UnitCount,MAX(0,RenoPace*(Assumptions!BN$72-RenoDowntime)))*Assumptions!BN$74,0)</f>
        <v/>
      </c>
      <c r="BO100" s="46">
        <f>IF(BusinessPlanMode="Value-Add",MIN(MF_UnitCount,MAX(0,RenoPace*(Assumptions!BO$72-RenoDowntime)))*Assumptions!BO$74,0)</f>
        <v/>
      </c>
      <c r="BP100" s="46">
        <f>IF(BusinessPlanMode="Value-Add",MIN(MF_UnitCount,MAX(0,RenoPace*(Assumptions!BP$72-RenoDowntime)))*Assumptions!BP$74,0)</f>
        <v/>
      </c>
      <c r="BQ100" s="46">
        <f>IF(BusinessPlanMode="Value-Add",MIN(MF_UnitCount,MAX(0,RenoPace*(Assumptions!BQ$72-RenoDowntime)))*Assumptions!BQ$74,0)</f>
        <v/>
      </c>
      <c r="BR100" s="46">
        <f>IF(BusinessPlanMode="Value-Add",MIN(MF_UnitCount,MAX(0,RenoPace*(Assumptions!BR$72-RenoDowntime)))*Assumptions!BR$74,0)</f>
        <v/>
      </c>
      <c r="BS100" s="46">
        <f>IF(BusinessPlanMode="Value-Add",MIN(MF_UnitCount,MAX(0,RenoPace*(Assumptions!BS$72-RenoDowntime)))*Assumptions!BS$74,0)</f>
        <v/>
      </c>
      <c r="BT100" s="46">
        <f>IF(BusinessPlanMode="Value-Add",MIN(MF_UnitCount,MAX(0,RenoPace*(Assumptions!BT$72-RenoDowntime)))*Assumptions!BT$74,0)</f>
        <v/>
      </c>
      <c r="BU100" s="46">
        <f>IF(BusinessPlanMode="Value-Add",MIN(MF_UnitCount,MAX(0,RenoPace*(Assumptions!BU$72-RenoDowntime)))*Assumptions!BU$74,0)</f>
        <v/>
      </c>
      <c r="BV100" s="46">
        <f>IF(BusinessPlanMode="Value-Add",MIN(MF_UnitCount,MAX(0,RenoPace*(Assumptions!BV$72-RenoDowntime)))*Assumptions!BV$74,0)</f>
        <v/>
      </c>
      <c r="BW100" s="46">
        <f>IF(BusinessPlanMode="Value-Add",MIN(MF_UnitCount,MAX(0,RenoPace*(Assumptions!BW$72-RenoDowntime)))*Assumptions!BW$74,0)</f>
        <v/>
      </c>
      <c r="BX100" s="46">
        <f>IF(BusinessPlanMode="Value-Add",MIN(MF_UnitCount,MAX(0,RenoPace*(Assumptions!BX$72-RenoDowntime)))*Assumptions!BX$74,0)</f>
        <v/>
      </c>
      <c r="BY100" s="46">
        <f>IF(BusinessPlanMode="Value-Add",MIN(MF_UnitCount,MAX(0,RenoPace*(Assumptions!BY$72-RenoDowntime)))*Assumptions!BY$74,0)</f>
        <v/>
      </c>
      <c r="BZ100" s="46">
        <f>IF(BusinessPlanMode="Value-Add",MIN(MF_UnitCount,MAX(0,RenoPace*(Assumptions!BZ$72-RenoDowntime)))*Assumptions!BZ$74,0)</f>
        <v/>
      </c>
      <c r="CA100" s="46">
        <f>IF(BusinessPlanMode="Value-Add",MIN(MF_UnitCount,MAX(0,RenoPace*(Assumptions!CA$72-RenoDowntime)))*Assumptions!CA$74,0)</f>
        <v/>
      </c>
      <c r="CB100" s="46">
        <f>IF(BusinessPlanMode="Value-Add",MIN(MF_UnitCount,MAX(0,RenoPace*(Assumptions!CB$72-RenoDowntime)))*Assumptions!CB$74,0)</f>
        <v/>
      </c>
      <c r="CC100" s="46">
        <f>IF(BusinessPlanMode="Value-Add",MIN(MF_UnitCount,MAX(0,RenoPace*(Assumptions!CC$72-RenoDowntime)))*Assumptions!CC$74,0)</f>
        <v/>
      </c>
      <c r="CD100" s="46">
        <f>IF(BusinessPlanMode="Value-Add",MIN(MF_UnitCount,MAX(0,RenoPace*(Assumptions!CD$72-RenoDowntime)))*Assumptions!CD$74,0)</f>
        <v/>
      </c>
      <c r="CE100" s="46">
        <f>IF(BusinessPlanMode="Value-Add",MIN(MF_UnitCount,MAX(0,RenoPace*(Assumptions!CE$72-RenoDowntime)))*Assumptions!CE$74,0)</f>
        <v/>
      </c>
      <c r="CF100" s="46">
        <f>IF(BusinessPlanMode="Value-Add",MIN(MF_UnitCount,MAX(0,RenoPace*(Assumptions!CF$72-RenoDowntime)))*Assumptions!CF$74,0)</f>
        <v/>
      </c>
      <c r="CG100" s="46">
        <f>IF(BusinessPlanMode="Value-Add",MIN(MF_UnitCount,MAX(0,RenoPace*(Assumptions!CG$72-RenoDowntime)))*Assumptions!CG$74,0)</f>
        <v/>
      </c>
      <c r="CH100" s="46">
        <f>IF(BusinessPlanMode="Value-Add",MIN(MF_UnitCount,MAX(0,RenoPace*(Assumptions!CH$72-RenoDowntime)))*Assumptions!CH$74,0)</f>
        <v/>
      </c>
      <c r="CI100" s="46">
        <f>IF(BusinessPlanMode="Value-Add",MIN(MF_UnitCount,MAX(0,RenoPace*(Assumptions!CI$72-RenoDowntime)))*Assumptions!CI$74,0)</f>
        <v/>
      </c>
      <c r="CJ100" s="46">
        <f>IF(BusinessPlanMode="Value-Add",MIN(MF_UnitCount,MAX(0,RenoPace*(Assumptions!CJ$72-RenoDowntime)))*Assumptions!CJ$74,0)</f>
        <v/>
      </c>
      <c r="CK100" s="46">
        <f>IF(BusinessPlanMode="Value-Add",MIN(MF_UnitCount,MAX(0,RenoPace*(Assumptions!CK$72-RenoDowntime)))*Assumptions!CK$74,0)</f>
        <v/>
      </c>
      <c r="CL100" s="46">
        <f>IF(BusinessPlanMode="Value-Add",MIN(MF_UnitCount,MAX(0,RenoPace*(Assumptions!CL$72-RenoDowntime)))*Assumptions!CL$74,0)</f>
        <v/>
      </c>
      <c r="CM100" s="46">
        <f>IF(BusinessPlanMode="Value-Add",MIN(MF_UnitCount,MAX(0,RenoPace*(Assumptions!CM$72-RenoDowntime)))*Assumptions!CM$74,0)</f>
        <v/>
      </c>
      <c r="CN100" s="46">
        <f>IF(BusinessPlanMode="Value-Add",MIN(MF_UnitCount,MAX(0,RenoPace*(Assumptions!CN$72-RenoDowntime)))*Assumptions!CN$74,0)</f>
        <v/>
      </c>
      <c r="CO100" s="46">
        <f>IF(BusinessPlanMode="Value-Add",MIN(MF_UnitCount,MAX(0,RenoPace*(Assumptions!CO$72-RenoDowntime)))*Assumptions!CO$74,0)</f>
        <v/>
      </c>
      <c r="CP100" s="46">
        <f>IF(BusinessPlanMode="Value-Add",MIN(MF_UnitCount,MAX(0,RenoPace*(Assumptions!CP$72-RenoDowntime)))*Assumptions!CP$74,0)</f>
        <v/>
      </c>
      <c r="CQ100" s="46">
        <f>IF(BusinessPlanMode="Value-Add",MIN(MF_UnitCount,MAX(0,RenoPace*(Assumptions!CQ$72-RenoDowntime)))*Assumptions!CQ$74,0)</f>
        <v/>
      </c>
      <c r="CR100" s="46">
        <f>IF(BusinessPlanMode="Value-Add",MIN(MF_UnitCount,MAX(0,RenoPace*(Assumptions!CR$72-RenoDowntime)))*Assumptions!CR$74,0)</f>
        <v/>
      </c>
      <c r="CS100" s="46">
        <f>IF(BusinessPlanMode="Value-Add",MIN(MF_UnitCount,MAX(0,RenoPace*(Assumptions!CS$72-RenoDowntime)))*Assumptions!CS$74,0)</f>
        <v/>
      </c>
      <c r="CT100" s="46">
        <f>IF(BusinessPlanMode="Value-Add",MIN(MF_UnitCount,MAX(0,RenoPace*(Assumptions!CT$72-RenoDowntime)))*Assumptions!CT$74,0)</f>
        <v/>
      </c>
      <c r="CU100" s="46">
        <f>IF(BusinessPlanMode="Value-Add",MIN(MF_UnitCount,MAX(0,RenoPace*(Assumptions!CU$72-RenoDowntime)))*Assumptions!CU$74,0)</f>
        <v/>
      </c>
      <c r="CV100" s="46">
        <f>IF(BusinessPlanMode="Value-Add",MIN(MF_UnitCount,MAX(0,RenoPace*(Assumptions!CV$72-RenoDowntime)))*Assumptions!CV$74,0)</f>
        <v/>
      </c>
      <c r="CW100" s="46">
        <f>IF(BusinessPlanMode="Value-Add",MIN(MF_UnitCount,MAX(0,RenoPace*(Assumptions!CW$72-RenoDowntime)))*Assumptions!CW$74,0)</f>
        <v/>
      </c>
      <c r="CX100" s="46">
        <f>IF(BusinessPlanMode="Value-Add",MIN(MF_UnitCount,MAX(0,RenoPace*(Assumptions!CX$72-RenoDowntime)))*Assumptions!CX$74,0)</f>
        <v/>
      </c>
      <c r="CY100" s="46">
        <f>IF(BusinessPlanMode="Value-Add",MIN(MF_UnitCount,MAX(0,RenoPace*(Assumptions!CY$72-RenoDowntime)))*Assumptions!CY$74,0)</f>
        <v/>
      </c>
      <c r="CZ100" s="46">
        <f>IF(BusinessPlanMode="Value-Add",MIN(MF_UnitCount,MAX(0,RenoPace*(Assumptions!CZ$72-RenoDowntime)))*Assumptions!CZ$74,0)</f>
        <v/>
      </c>
      <c r="DA100" s="46">
        <f>IF(BusinessPlanMode="Value-Add",MIN(MF_UnitCount,MAX(0,RenoPace*(Assumptions!DA$72-RenoDowntime)))*Assumptions!DA$74,0)</f>
        <v/>
      </c>
      <c r="DB100" s="46">
        <f>IF(BusinessPlanMode="Value-Add",MIN(MF_UnitCount,MAX(0,RenoPace*(Assumptions!DB$72-RenoDowntime)))*Assumptions!DB$74,0)</f>
        <v/>
      </c>
      <c r="DC100" s="46">
        <f>IF(BusinessPlanMode="Value-Add",MIN(MF_UnitCount,MAX(0,RenoPace*(Assumptions!DC$72-RenoDowntime)))*Assumptions!DC$74,0)</f>
        <v/>
      </c>
      <c r="DD100" s="46">
        <f>IF(BusinessPlanMode="Value-Add",MIN(MF_UnitCount,MAX(0,RenoPace*(Assumptions!DD$72-RenoDowntime)))*Assumptions!DD$74,0)</f>
        <v/>
      </c>
      <c r="DE100" s="46">
        <f>IF(BusinessPlanMode="Value-Add",MIN(MF_UnitCount,MAX(0,RenoPace*(Assumptions!DE$72-RenoDowntime)))*Assumptions!DE$74,0)</f>
        <v/>
      </c>
      <c r="DF100" s="46">
        <f>IF(BusinessPlanMode="Value-Add",MIN(MF_UnitCount,MAX(0,RenoPace*(Assumptions!DF$72-RenoDowntime)))*Assumptions!DF$74,0)</f>
        <v/>
      </c>
      <c r="DG100" s="46">
        <f>IF(BusinessPlanMode="Value-Add",MIN(MF_UnitCount,MAX(0,RenoPace*(Assumptions!DG$72-RenoDowntime)))*Assumptions!DG$74,0)</f>
        <v/>
      </c>
      <c r="DH100" s="46">
        <f>IF(BusinessPlanMode="Value-Add",MIN(MF_UnitCount,MAX(0,RenoPace*(Assumptions!DH$72-RenoDowntime)))*Assumptions!DH$74,0)</f>
        <v/>
      </c>
      <c r="DI100" s="46">
        <f>IF(BusinessPlanMode="Value-Add",MIN(MF_UnitCount,MAX(0,RenoPace*(Assumptions!DI$72-RenoDowntime)))*Assumptions!DI$74,0)</f>
        <v/>
      </c>
      <c r="DJ100" s="46">
        <f>IF(BusinessPlanMode="Value-Add",MIN(MF_UnitCount,MAX(0,RenoPace*(Assumptions!DJ$72-RenoDowntime)))*Assumptions!DJ$74,0)</f>
        <v/>
      </c>
      <c r="DK100" s="46">
        <f>IF(BusinessPlanMode="Value-Add",MIN(MF_UnitCount,MAX(0,RenoPace*(Assumptions!DK$72-RenoDowntime)))*Assumptions!DK$74,0)</f>
        <v/>
      </c>
      <c r="DL100" s="46">
        <f>IF(BusinessPlanMode="Value-Add",MIN(MF_UnitCount,MAX(0,RenoPace*(Assumptions!DL$72-RenoDowntime)))*Assumptions!DL$74,0)</f>
        <v/>
      </c>
      <c r="DM100" s="46">
        <f>IF(BusinessPlanMode="Value-Add",MIN(MF_UnitCount,MAX(0,RenoPace*(Assumptions!DM$72-RenoDowntime)))*Assumptions!DM$74,0)</f>
        <v/>
      </c>
      <c r="DN100" s="46">
        <f>IF(BusinessPlanMode="Value-Add",MIN(MF_UnitCount,MAX(0,RenoPace*(Assumptions!DN$72-RenoDowntime)))*Assumptions!DN$74,0)</f>
        <v/>
      </c>
      <c r="DO100" s="46">
        <f>IF(BusinessPlanMode="Value-Add",MIN(MF_UnitCount,MAX(0,RenoPace*(Assumptions!DO$72-RenoDowntime)))*Assumptions!DO$74,0)</f>
        <v/>
      </c>
      <c r="DP100" s="46">
        <f>IF(BusinessPlanMode="Value-Add",MIN(MF_UnitCount,MAX(0,RenoPace*(Assumptions!DP$72-RenoDowntime)))*Assumptions!DP$74,0)</f>
        <v/>
      </c>
      <c r="DQ100" s="46">
        <f>IF(BusinessPlanMode="Value-Add",MIN(MF_UnitCount,MAX(0,RenoPace*(Assumptions!DQ$72-RenoDowntime)))*Assumptions!DQ$74,0)</f>
        <v/>
      </c>
      <c r="DR100" s="46">
        <f>IF(BusinessPlanMode="Value-Add",MIN(MF_UnitCount,MAX(0,RenoPace*(Assumptions!DR$72-RenoDowntime)))*Assumptions!DR$74,0)</f>
        <v/>
      </c>
      <c r="DS100" s="46">
        <f>IF(BusinessPlanMode="Value-Add",MIN(MF_UnitCount,MAX(0,RenoPace*(Assumptions!DS$72-RenoDowntime)))*Assumptions!DS$74,0)</f>
        <v/>
      </c>
      <c r="DT100" s="46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0">
        <f>$D$94</f>
        <v/>
      </c>
      <c r="F101" s="50">
        <f>$D$94</f>
        <v/>
      </c>
      <c r="G101" s="50">
        <f>$D$94</f>
        <v/>
      </c>
      <c r="H101" s="50">
        <f>$D$94</f>
        <v/>
      </c>
      <c r="I101" s="50">
        <f>$D$94</f>
        <v/>
      </c>
      <c r="J101" s="50">
        <f>$D$94</f>
        <v/>
      </c>
      <c r="K101" s="50">
        <f>$D$94</f>
        <v/>
      </c>
      <c r="L101" s="50">
        <f>$D$94</f>
        <v/>
      </c>
      <c r="M101" s="50">
        <f>$D$94</f>
        <v/>
      </c>
      <c r="N101" s="50">
        <f>$D$94</f>
        <v/>
      </c>
      <c r="O101" s="50">
        <f>$D$94</f>
        <v/>
      </c>
      <c r="P101" s="50">
        <f>$D$94</f>
        <v/>
      </c>
      <c r="Q101" s="50">
        <f>$D$94</f>
        <v/>
      </c>
      <c r="R101" s="50">
        <f>$D$94</f>
        <v/>
      </c>
      <c r="S101" s="50">
        <f>$D$94</f>
        <v/>
      </c>
      <c r="T101" s="50">
        <f>$D$94</f>
        <v/>
      </c>
      <c r="U101" s="50">
        <f>$D$94</f>
        <v/>
      </c>
      <c r="V101" s="50">
        <f>$D$94</f>
        <v/>
      </c>
      <c r="W101" s="50">
        <f>$D$94</f>
        <v/>
      </c>
      <c r="X101" s="50">
        <f>$D$94</f>
        <v/>
      </c>
      <c r="Y101" s="50">
        <f>$D$94</f>
        <v/>
      </c>
      <c r="Z101" s="50">
        <f>$D$94</f>
        <v/>
      </c>
      <c r="AA101" s="50">
        <f>$D$94</f>
        <v/>
      </c>
      <c r="AB101" s="50">
        <f>$D$94</f>
        <v/>
      </c>
      <c r="AC101" s="50">
        <f>$D$94</f>
        <v/>
      </c>
      <c r="AD101" s="50">
        <f>$D$94</f>
        <v/>
      </c>
      <c r="AE101" s="50">
        <f>$D$94</f>
        <v/>
      </c>
      <c r="AF101" s="50">
        <f>$D$94</f>
        <v/>
      </c>
      <c r="AG101" s="50">
        <f>$D$94</f>
        <v/>
      </c>
      <c r="AH101" s="50">
        <f>$D$94</f>
        <v/>
      </c>
      <c r="AI101" s="50">
        <f>$D$94</f>
        <v/>
      </c>
      <c r="AJ101" s="50">
        <f>$D$94</f>
        <v/>
      </c>
      <c r="AK101" s="50">
        <f>$D$94</f>
        <v/>
      </c>
      <c r="AL101" s="50">
        <f>$D$94</f>
        <v/>
      </c>
      <c r="AM101" s="50">
        <f>$D$94</f>
        <v/>
      </c>
      <c r="AN101" s="50">
        <f>$D$94</f>
        <v/>
      </c>
      <c r="AO101" s="50">
        <f>$D$94</f>
        <v/>
      </c>
      <c r="AP101" s="50">
        <f>$D$94</f>
        <v/>
      </c>
      <c r="AQ101" s="50">
        <f>$D$94</f>
        <v/>
      </c>
      <c r="AR101" s="50">
        <f>$D$94</f>
        <v/>
      </c>
      <c r="AS101" s="50">
        <f>$D$94</f>
        <v/>
      </c>
      <c r="AT101" s="50">
        <f>$D$94</f>
        <v/>
      </c>
      <c r="AU101" s="50">
        <f>$D$94</f>
        <v/>
      </c>
      <c r="AV101" s="50">
        <f>$D$94</f>
        <v/>
      </c>
      <c r="AW101" s="50">
        <f>$D$94</f>
        <v/>
      </c>
      <c r="AX101" s="50">
        <f>$D$94</f>
        <v/>
      </c>
      <c r="AY101" s="50">
        <f>$D$94</f>
        <v/>
      </c>
      <c r="AZ101" s="50">
        <f>$D$94</f>
        <v/>
      </c>
      <c r="BA101" s="50">
        <f>$D$94</f>
        <v/>
      </c>
      <c r="BB101" s="50">
        <f>$D$94</f>
        <v/>
      </c>
      <c r="BC101" s="50">
        <f>$D$94</f>
        <v/>
      </c>
      <c r="BD101" s="50">
        <f>$D$94</f>
        <v/>
      </c>
      <c r="BE101" s="50">
        <f>$D$94</f>
        <v/>
      </c>
      <c r="BF101" s="50">
        <f>$D$94</f>
        <v/>
      </c>
      <c r="BG101" s="50">
        <f>$D$94</f>
        <v/>
      </c>
      <c r="BH101" s="50">
        <f>$D$94</f>
        <v/>
      </c>
      <c r="BI101" s="50">
        <f>$D$94</f>
        <v/>
      </c>
      <c r="BJ101" s="50">
        <f>$D$94</f>
        <v/>
      </c>
      <c r="BK101" s="50">
        <f>$D$94</f>
        <v/>
      </c>
      <c r="BL101" s="50">
        <f>$D$94</f>
        <v/>
      </c>
      <c r="BM101" s="50">
        <f>$D$94</f>
        <v/>
      </c>
      <c r="BN101" s="50">
        <f>$D$94</f>
        <v/>
      </c>
      <c r="BO101" s="50">
        <f>$D$94</f>
        <v/>
      </c>
      <c r="BP101" s="50">
        <f>$D$94</f>
        <v/>
      </c>
      <c r="BQ101" s="50">
        <f>$D$94</f>
        <v/>
      </c>
      <c r="BR101" s="50">
        <f>$D$94</f>
        <v/>
      </c>
      <c r="BS101" s="50">
        <f>$D$94</f>
        <v/>
      </c>
      <c r="BT101" s="50">
        <f>$D$94</f>
        <v/>
      </c>
      <c r="BU101" s="50">
        <f>$D$94</f>
        <v/>
      </c>
      <c r="BV101" s="50">
        <f>$D$94</f>
        <v/>
      </c>
      <c r="BW101" s="50">
        <f>$D$94</f>
        <v/>
      </c>
      <c r="BX101" s="50">
        <f>$D$94</f>
        <v/>
      </c>
      <c r="BY101" s="50">
        <f>$D$94</f>
        <v/>
      </c>
      <c r="BZ101" s="50">
        <f>$D$94</f>
        <v/>
      </c>
      <c r="CA101" s="50">
        <f>$D$94</f>
        <v/>
      </c>
      <c r="CB101" s="50">
        <f>$D$94</f>
        <v/>
      </c>
      <c r="CC101" s="50">
        <f>$D$94</f>
        <v/>
      </c>
      <c r="CD101" s="50">
        <f>$D$94</f>
        <v/>
      </c>
      <c r="CE101" s="50">
        <f>$D$94</f>
        <v/>
      </c>
      <c r="CF101" s="50">
        <f>$D$94</f>
        <v/>
      </c>
      <c r="CG101" s="50">
        <f>$D$94</f>
        <v/>
      </c>
      <c r="CH101" s="50">
        <f>$D$94</f>
        <v/>
      </c>
      <c r="CI101" s="50">
        <f>$D$94</f>
        <v/>
      </c>
      <c r="CJ101" s="50">
        <f>$D$94</f>
        <v/>
      </c>
      <c r="CK101" s="50">
        <f>$D$94</f>
        <v/>
      </c>
      <c r="CL101" s="50">
        <f>$D$94</f>
        <v/>
      </c>
      <c r="CM101" s="50">
        <f>$D$94</f>
        <v/>
      </c>
      <c r="CN101" s="50">
        <f>$D$94</f>
        <v/>
      </c>
      <c r="CO101" s="50">
        <f>$D$94</f>
        <v/>
      </c>
      <c r="CP101" s="50">
        <f>$D$94</f>
        <v/>
      </c>
      <c r="CQ101" s="50">
        <f>$D$94</f>
        <v/>
      </c>
      <c r="CR101" s="50">
        <f>$D$94</f>
        <v/>
      </c>
      <c r="CS101" s="50">
        <f>$D$94</f>
        <v/>
      </c>
      <c r="CT101" s="50">
        <f>$D$94</f>
        <v/>
      </c>
      <c r="CU101" s="50">
        <f>$D$94</f>
        <v/>
      </c>
      <c r="CV101" s="50">
        <f>$D$94</f>
        <v/>
      </c>
      <c r="CW101" s="50">
        <f>$D$94</f>
        <v/>
      </c>
      <c r="CX101" s="50">
        <f>$D$94</f>
        <v/>
      </c>
      <c r="CY101" s="50">
        <f>$D$94</f>
        <v/>
      </c>
      <c r="CZ101" s="50">
        <f>$D$94</f>
        <v/>
      </c>
      <c r="DA101" s="50">
        <f>$D$94</f>
        <v/>
      </c>
      <c r="DB101" s="50">
        <f>$D$94</f>
        <v/>
      </c>
      <c r="DC101" s="50">
        <f>$D$94</f>
        <v/>
      </c>
      <c r="DD101" s="50">
        <f>$D$94</f>
        <v/>
      </c>
      <c r="DE101" s="50">
        <f>$D$94</f>
        <v/>
      </c>
      <c r="DF101" s="50">
        <f>$D$94</f>
        <v/>
      </c>
      <c r="DG101" s="50">
        <f>$D$94</f>
        <v/>
      </c>
      <c r="DH101" s="50">
        <f>$D$94</f>
        <v/>
      </c>
      <c r="DI101" s="50">
        <f>$D$94</f>
        <v/>
      </c>
      <c r="DJ101" s="50">
        <f>$D$94</f>
        <v/>
      </c>
      <c r="DK101" s="50">
        <f>$D$94</f>
        <v/>
      </c>
      <c r="DL101" s="50">
        <f>$D$94</f>
        <v/>
      </c>
      <c r="DM101" s="50">
        <f>$D$94</f>
        <v/>
      </c>
      <c r="DN101" s="50">
        <f>$D$94</f>
        <v/>
      </c>
      <c r="DO101" s="50">
        <f>$D$94</f>
        <v/>
      </c>
      <c r="DP101" s="50">
        <f>$D$94</f>
        <v/>
      </c>
      <c r="DQ101" s="50">
        <f>$D$94</f>
        <v/>
      </c>
      <c r="DR101" s="50">
        <f>$D$94</f>
        <v/>
      </c>
      <c r="DS101" s="50">
        <f>$D$94</f>
        <v/>
      </c>
      <c r="DT101" s="50">
        <f>$D$94</f>
        <v/>
      </c>
    </row>
    <row r="102">
      <c r="A102" s="10" t="inlineStr">
        <is>
          <t>Total market rent ($/mo, roll)</t>
        </is>
      </c>
      <c r="E102" s="50">
        <f>$E$94</f>
        <v/>
      </c>
      <c r="F102" s="50">
        <f>$E$94</f>
        <v/>
      </c>
      <c r="G102" s="50">
        <f>$E$94</f>
        <v/>
      </c>
      <c r="H102" s="50">
        <f>$E$94</f>
        <v/>
      </c>
      <c r="I102" s="50">
        <f>$E$94</f>
        <v/>
      </c>
      <c r="J102" s="50">
        <f>$E$94</f>
        <v/>
      </c>
      <c r="K102" s="50">
        <f>$E$94</f>
        <v/>
      </c>
      <c r="L102" s="50">
        <f>$E$94</f>
        <v/>
      </c>
      <c r="M102" s="50">
        <f>$E$94</f>
        <v/>
      </c>
      <c r="N102" s="50">
        <f>$E$94</f>
        <v/>
      </c>
      <c r="O102" s="50">
        <f>$E$94</f>
        <v/>
      </c>
      <c r="P102" s="50">
        <f>$E$94</f>
        <v/>
      </c>
      <c r="Q102" s="50">
        <f>$E$94</f>
        <v/>
      </c>
      <c r="R102" s="50">
        <f>$E$94</f>
        <v/>
      </c>
      <c r="S102" s="50">
        <f>$E$94</f>
        <v/>
      </c>
      <c r="T102" s="50">
        <f>$E$94</f>
        <v/>
      </c>
      <c r="U102" s="50">
        <f>$E$94</f>
        <v/>
      </c>
      <c r="V102" s="50">
        <f>$E$94</f>
        <v/>
      </c>
      <c r="W102" s="50">
        <f>$E$94</f>
        <v/>
      </c>
      <c r="X102" s="50">
        <f>$E$94</f>
        <v/>
      </c>
      <c r="Y102" s="50">
        <f>$E$94</f>
        <v/>
      </c>
      <c r="Z102" s="50">
        <f>$E$94</f>
        <v/>
      </c>
      <c r="AA102" s="50">
        <f>$E$94</f>
        <v/>
      </c>
      <c r="AB102" s="50">
        <f>$E$94</f>
        <v/>
      </c>
      <c r="AC102" s="50">
        <f>$E$94</f>
        <v/>
      </c>
      <c r="AD102" s="50">
        <f>$E$94</f>
        <v/>
      </c>
      <c r="AE102" s="50">
        <f>$E$94</f>
        <v/>
      </c>
      <c r="AF102" s="50">
        <f>$E$94</f>
        <v/>
      </c>
      <c r="AG102" s="50">
        <f>$E$94</f>
        <v/>
      </c>
      <c r="AH102" s="50">
        <f>$E$94</f>
        <v/>
      </c>
      <c r="AI102" s="50">
        <f>$E$94</f>
        <v/>
      </c>
      <c r="AJ102" s="50">
        <f>$E$94</f>
        <v/>
      </c>
      <c r="AK102" s="50">
        <f>$E$94</f>
        <v/>
      </c>
      <c r="AL102" s="50">
        <f>$E$94</f>
        <v/>
      </c>
      <c r="AM102" s="50">
        <f>$E$94</f>
        <v/>
      </c>
      <c r="AN102" s="50">
        <f>$E$94</f>
        <v/>
      </c>
      <c r="AO102" s="50">
        <f>$E$94</f>
        <v/>
      </c>
      <c r="AP102" s="50">
        <f>$E$94</f>
        <v/>
      </c>
      <c r="AQ102" s="50">
        <f>$E$94</f>
        <v/>
      </c>
      <c r="AR102" s="50">
        <f>$E$94</f>
        <v/>
      </c>
      <c r="AS102" s="50">
        <f>$E$94</f>
        <v/>
      </c>
      <c r="AT102" s="50">
        <f>$E$94</f>
        <v/>
      </c>
      <c r="AU102" s="50">
        <f>$E$94</f>
        <v/>
      </c>
      <c r="AV102" s="50">
        <f>$E$94</f>
        <v/>
      </c>
      <c r="AW102" s="50">
        <f>$E$94</f>
        <v/>
      </c>
      <c r="AX102" s="50">
        <f>$E$94</f>
        <v/>
      </c>
      <c r="AY102" s="50">
        <f>$E$94</f>
        <v/>
      </c>
      <c r="AZ102" s="50">
        <f>$E$94</f>
        <v/>
      </c>
      <c r="BA102" s="50">
        <f>$E$94</f>
        <v/>
      </c>
      <c r="BB102" s="50">
        <f>$E$94</f>
        <v/>
      </c>
      <c r="BC102" s="50">
        <f>$E$94</f>
        <v/>
      </c>
      <c r="BD102" s="50">
        <f>$E$94</f>
        <v/>
      </c>
      <c r="BE102" s="50">
        <f>$E$94</f>
        <v/>
      </c>
      <c r="BF102" s="50">
        <f>$E$94</f>
        <v/>
      </c>
      <c r="BG102" s="50">
        <f>$E$94</f>
        <v/>
      </c>
      <c r="BH102" s="50">
        <f>$E$94</f>
        <v/>
      </c>
      <c r="BI102" s="50">
        <f>$E$94</f>
        <v/>
      </c>
      <c r="BJ102" s="50">
        <f>$E$94</f>
        <v/>
      </c>
      <c r="BK102" s="50">
        <f>$E$94</f>
        <v/>
      </c>
      <c r="BL102" s="50">
        <f>$E$94</f>
        <v/>
      </c>
      <c r="BM102" s="50">
        <f>$E$94</f>
        <v/>
      </c>
      <c r="BN102" s="50">
        <f>$E$94</f>
        <v/>
      </c>
      <c r="BO102" s="50">
        <f>$E$94</f>
        <v/>
      </c>
      <c r="BP102" s="50">
        <f>$E$94</f>
        <v/>
      </c>
      <c r="BQ102" s="50">
        <f>$E$94</f>
        <v/>
      </c>
      <c r="BR102" s="50">
        <f>$E$94</f>
        <v/>
      </c>
      <c r="BS102" s="50">
        <f>$E$94</f>
        <v/>
      </c>
      <c r="BT102" s="50">
        <f>$E$94</f>
        <v/>
      </c>
      <c r="BU102" s="50">
        <f>$E$94</f>
        <v/>
      </c>
      <c r="BV102" s="50">
        <f>$E$94</f>
        <v/>
      </c>
      <c r="BW102" s="50">
        <f>$E$94</f>
        <v/>
      </c>
      <c r="BX102" s="50">
        <f>$E$94</f>
        <v/>
      </c>
      <c r="BY102" s="50">
        <f>$E$94</f>
        <v/>
      </c>
      <c r="BZ102" s="50">
        <f>$E$94</f>
        <v/>
      </c>
      <c r="CA102" s="50">
        <f>$E$94</f>
        <v/>
      </c>
      <c r="CB102" s="50">
        <f>$E$94</f>
        <v/>
      </c>
      <c r="CC102" s="50">
        <f>$E$94</f>
        <v/>
      </c>
      <c r="CD102" s="50">
        <f>$E$94</f>
        <v/>
      </c>
      <c r="CE102" s="50">
        <f>$E$94</f>
        <v/>
      </c>
      <c r="CF102" s="50">
        <f>$E$94</f>
        <v/>
      </c>
      <c r="CG102" s="50">
        <f>$E$94</f>
        <v/>
      </c>
      <c r="CH102" s="50">
        <f>$E$94</f>
        <v/>
      </c>
      <c r="CI102" s="50">
        <f>$E$94</f>
        <v/>
      </c>
      <c r="CJ102" s="50">
        <f>$E$94</f>
        <v/>
      </c>
      <c r="CK102" s="50">
        <f>$E$94</f>
        <v/>
      </c>
      <c r="CL102" s="50">
        <f>$E$94</f>
        <v/>
      </c>
      <c r="CM102" s="50">
        <f>$E$94</f>
        <v/>
      </c>
      <c r="CN102" s="50">
        <f>$E$94</f>
        <v/>
      </c>
      <c r="CO102" s="50">
        <f>$E$94</f>
        <v/>
      </c>
      <c r="CP102" s="50">
        <f>$E$94</f>
        <v/>
      </c>
      <c r="CQ102" s="50">
        <f>$E$94</f>
        <v/>
      </c>
      <c r="CR102" s="50">
        <f>$E$94</f>
        <v/>
      </c>
      <c r="CS102" s="50">
        <f>$E$94</f>
        <v/>
      </c>
      <c r="CT102" s="50">
        <f>$E$94</f>
        <v/>
      </c>
      <c r="CU102" s="50">
        <f>$E$94</f>
        <v/>
      </c>
      <c r="CV102" s="50">
        <f>$E$94</f>
        <v/>
      </c>
      <c r="CW102" s="50">
        <f>$E$94</f>
        <v/>
      </c>
      <c r="CX102" s="50">
        <f>$E$94</f>
        <v/>
      </c>
      <c r="CY102" s="50">
        <f>$E$94</f>
        <v/>
      </c>
      <c r="CZ102" s="50">
        <f>$E$94</f>
        <v/>
      </c>
      <c r="DA102" s="50">
        <f>$E$94</f>
        <v/>
      </c>
      <c r="DB102" s="50">
        <f>$E$94</f>
        <v/>
      </c>
      <c r="DC102" s="50">
        <f>$E$94</f>
        <v/>
      </c>
      <c r="DD102" s="50">
        <f>$E$94</f>
        <v/>
      </c>
      <c r="DE102" s="50">
        <f>$E$94</f>
        <v/>
      </c>
      <c r="DF102" s="50">
        <f>$E$94</f>
        <v/>
      </c>
      <c r="DG102" s="50">
        <f>$E$94</f>
        <v/>
      </c>
      <c r="DH102" s="50">
        <f>$E$94</f>
        <v/>
      </c>
      <c r="DI102" s="50">
        <f>$E$94</f>
        <v/>
      </c>
      <c r="DJ102" s="50">
        <f>$E$94</f>
        <v/>
      </c>
      <c r="DK102" s="50">
        <f>$E$94</f>
        <v/>
      </c>
      <c r="DL102" s="50">
        <f>$E$94</f>
        <v/>
      </c>
      <c r="DM102" s="50">
        <f>$E$94</f>
        <v/>
      </c>
      <c r="DN102" s="50">
        <f>$E$94</f>
        <v/>
      </c>
      <c r="DO102" s="50">
        <f>$E$94</f>
        <v/>
      </c>
      <c r="DP102" s="50">
        <f>$E$94</f>
        <v/>
      </c>
      <c r="DQ102" s="50">
        <f>$E$94</f>
        <v/>
      </c>
      <c r="DR102" s="50">
        <f>$E$94</f>
        <v/>
      </c>
      <c r="DS102" s="50">
        <f>$E$94</f>
        <v/>
      </c>
      <c r="DT102" s="50">
        <f>$E$94</f>
        <v/>
      </c>
    </row>
    <row r="103">
      <c r="A103" s="10" t="inlineStr">
        <is>
          <t>Gross Potential Rent ($/mo)</t>
        </is>
      </c>
      <c r="E103" s="50">
        <f>(E$102*INDEX(Cum_MFRent,1,E$77)+E$100*RenoPremium)*Assumptions!E$74</f>
        <v/>
      </c>
      <c r="F103" s="50">
        <f>(F$102*INDEX(Cum_MFRent,1,F$77)+F$100*RenoPremium)*Assumptions!F$74</f>
        <v/>
      </c>
      <c r="G103" s="50">
        <f>(G$102*INDEX(Cum_MFRent,1,G$77)+G$100*RenoPremium)*Assumptions!G$74</f>
        <v/>
      </c>
      <c r="H103" s="50">
        <f>(H$102*INDEX(Cum_MFRent,1,H$77)+H$100*RenoPremium)*Assumptions!H$74</f>
        <v/>
      </c>
      <c r="I103" s="50">
        <f>(I$102*INDEX(Cum_MFRent,1,I$77)+I$100*RenoPremium)*Assumptions!I$74</f>
        <v/>
      </c>
      <c r="J103" s="50">
        <f>(J$102*INDEX(Cum_MFRent,1,J$77)+J$100*RenoPremium)*Assumptions!J$74</f>
        <v/>
      </c>
      <c r="K103" s="50">
        <f>(K$102*INDEX(Cum_MFRent,1,K$77)+K$100*RenoPremium)*Assumptions!K$74</f>
        <v/>
      </c>
      <c r="L103" s="50">
        <f>(L$102*INDEX(Cum_MFRent,1,L$77)+L$100*RenoPremium)*Assumptions!L$74</f>
        <v/>
      </c>
      <c r="M103" s="50">
        <f>(M$102*INDEX(Cum_MFRent,1,M$77)+M$100*RenoPremium)*Assumptions!M$74</f>
        <v/>
      </c>
      <c r="N103" s="50">
        <f>(N$102*INDEX(Cum_MFRent,1,N$77)+N$100*RenoPremium)*Assumptions!N$74</f>
        <v/>
      </c>
      <c r="O103" s="50">
        <f>(O$102*INDEX(Cum_MFRent,1,O$77)+O$100*RenoPremium)*Assumptions!O$74</f>
        <v/>
      </c>
      <c r="P103" s="50">
        <f>(P$102*INDEX(Cum_MFRent,1,P$77)+P$100*RenoPremium)*Assumptions!P$74</f>
        <v/>
      </c>
      <c r="Q103" s="50">
        <f>(Q$102*INDEX(Cum_MFRent,1,Q$77)+Q$100*RenoPremium)*Assumptions!Q$74</f>
        <v/>
      </c>
      <c r="R103" s="50">
        <f>(R$102*INDEX(Cum_MFRent,1,R$77)+R$100*RenoPremium)*Assumptions!R$74</f>
        <v/>
      </c>
      <c r="S103" s="50">
        <f>(S$102*INDEX(Cum_MFRent,1,S$77)+S$100*RenoPremium)*Assumptions!S$74</f>
        <v/>
      </c>
      <c r="T103" s="50">
        <f>(T$102*INDEX(Cum_MFRent,1,T$77)+T$100*RenoPremium)*Assumptions!T$74</f>
        <v/>
      </c>
      <c r="U103" s="50">
        <f>(U$102*INDEX(Cum_MFRent,1,U$77)+U$100*RenoPremium)*Assumptions!U$74</f>
        <v/>
      </c>
      <c r="V103" s="50">
        <f>(V$102*INDEX(Cum_MFRent,1,V$77)+V$100*RenoPremium)*Assumptions!V$74</f>
        <v/>
      </c>
      <c r="W103" s="50">
        <f>(W$102*INDEX(Cum_MFRent,1,W$77)+W$100*RenoPremium)*Assumptions!W$74</f>
        <v/>
      </c>
      <c r="X103" s="50">
        <f>(X$102*INDEX(Cum_MFRent,1,X$77)+X$100*RenoPremium)*Assumptions!X$74</f>
        <v/>
      </c>
      <c r="Y103" s="50">
        <f>(Y$102*INDEX(Cum_MFRent,1,Y$77)+Y$100*RenoPremium)*Assumptions!Y$74</f>
        <v/>
      </c>
      <c r="Z103" s="50">
        <f>(Z$102*INDEX(Cum_MFRent,1,Z$77)+Z$100*RenoPremium)*Assumptions!Z$74</f>
        <v/>
      </c>
      <c r="AA103" s="50">
        <f>(AA$102*INDEX(Cum_MFRent,1,AA$77)+AA$100*RenoPremium)*Assumptions!AA$74</f>
        <v/>
      </c>
      <c r="AB103" s="50">
        <f>(AB$102*INDEX(Cum_MFRent,1,AB$77)+AB$100*RenoPremium)*Assumptions!AB$74</f>
        <v/>
      </c>
      <c r="AC103" s="50">
        <f>(AC$102*INDEX(Cum_MFRent,1,AC$77)+AC$100*RenoPremium)*Assumptions!AC$74</f>
        <v/>
      </c>
      <c r="AD103" s="50">
        <f>(AD$102*INDEX(Cum_MFRent,1,AD$77)+AD$100*RenoPremium)*Assumptions!AD$74</f>
        <v/>
      </c>
      <c r="AE103" s="50">
        <f>(AE$102*INDEX(Cum_MFRent,1,AE$77)+AE$100*RenoPremium)*Assumptions!AE$74</f>
        <v/>
      </c>
      <c r="AF103" s="50">
        <f>(AF$102*INDEX(Cum_MFRent,1,AF$77)+AF$100*RenoPremium)*Assumptions!AF$74</f>
        <v/>
      </c>
      <c r="AG103" s="50">
        <f>(AG$102*INDEX(Cum_MFRent,1,AG$77)+AG$100*RenoPremium)*Assumptions!AG$74</f>
        <v/>
      </c>
      <c r="AH103" s="50">
        <f>(AH$102*INDEX(Cum_MFRent,1,AH$77)+AH$100*RenoPremium)*Assumptions!AH$74</f>
        <v/>
      </c>
      <c r="AI103" s="50">
        <f>(AI$102*INDEX(Cum_MFRent,1,AI$77)+AI$100*RenoPremium)*Assumptions!AI$74</f>
        <v/>
      </c>
      <c r="AJ103" s="50">
        <f>(AJ$102*INDEX(Cum_MFRent,1,AJ$77)+AJ$100*RenoPremium)*Assumptions!AJ$74</f>
        <v/>
      </c>
      <c r="AK103" s="50">
        <f>(AK$102*INDEX(Cum_MFRent,1,AK$77)+AK$100*RenoPremium)*Assumptions!AK$74</f>
        <v/>
      </c>
      <c r="AL103" s="50">
        <f>(AL$102*INDEX(Cum_MFRent,1,AL$77)+AL$100*RenoPremium)*Assumptions!AL$74</f>
        <v/>
      </c>
      <c r="AM103" s="50">
        <f>(AM$102*INDEX(Cum_MFRent,1,AM$77)+AM$100*RenoPremium)*Assumptions!AM$74</f>
        <v/>
      </c>
      <c r="AN103" s="50">
        <f>(AN$102*INDEX(Cum_MFRent,1,AN$77)+AN$100*RenoPremium)*Assumptions!AN$74</f>
        <v/>
      </c>
      <c r="AO103" s="50">
        <f>(AO$102*INDEX(Cum_MFRent,1,AO$77)+AO$100*RenoPremium)*Assumptions!AO$74</f>
        <v/>
      </c>
      <c r="AP103" s="50">
        <f>(AP$102*INDEX(Cum_MFRent,1,AP$77)+AP$100*RenoPremium)*Assumptions!AP$74</f>
        <v/>
      </c>
      <c r="AQ103" s="50">
        <f>(AQ$102*INDEX(Cum_MFRent,1,AQ$77)+AQ$100*RenoPremium)*Assumptions!AQ$74</f>
        <v/>
      </c>
      <c r="AR103" s="50">
        <f>(AR$102*INDEX(Cum_MFRent,1,AR$77)+AR$100*RenoPremium)*Assumptions!AR$74</f>
        <v/>
      </c>
      <c r="AS103" s="50">
        <f>(AS$102*INDEX(Cum_MFRent,1,AS$77)+AS$100*RenoPremium)*Assumptions!AS$74</f>
        <v/>
      </c>
      <c r="AT103" s="50">
        <f>(AT$102*INDEX(Cum_MFRent,1,AT$77)+AT$100*RenoPremium)*Assumptions!AT$74</f>
        <v/>
      </c>
      <c r="AU103" s="50">
        <f>(AU$102*INDEX(Cum_MFRent,1,AU$77)+AU$100*RenoPremium)*Assumptions!AU$74</f>
        <v/>
      </c>
      <c r="AV103" s="50">
        <f>(AV$102*INDEX(Cum_MFRent,1,AV$77)+AV$100*RenoPremium)*Assumptions!AV$74</f>
        <v/>
      </c>
      <c r="AW103" s="50">
        <f>(AW$102*INDEX(Cum_MFRent,1,AW$77)+AW$100*RenoPremium)*Assumptions!AW$74</f>
        <v/>
      </c>
      <c r="AX103" s="50">
        <f>(AX$102*INDEX(Cum_MFRent,1,AX$77)+AX$100*RenoPremium)*Assumptions!AX$74</f>
        <v/>
      </c>
      <c r="AY103" s="50">
        <f>(AY$102*INDEX(Cum_MFRent,1,AY$77)+AY$100*RenoPremium)*Assumptions!AY$74</f>
        <v/>
      </c>
      <c r="AZ103" s="50">
        <f>(AZ$102*INDEX(Cum_MFRent,1,AZ$77)+AZ$100*RenoPremium)*Assumptions!AZ$74</f>
        <v/>
      </c>
      <c r="BA103" s="50">
        <f>(BA$102*INDEX(Cum_MFRent,1,BA$77)+BA$100*RenoPremium)*Assumptions!BA$74</f>
        <v/>
      </c>
      <c r="BB103" s="50">
        <f>(BB$102*INDEX(Cum_MFRent,1,BB$77)+BB$100*RenoPremium)*Assumptions!BB$74</f>
        <v/>
      </c>
      <c r="BC103" s="50">
        <f>(BC$102*INDEX(Cum_MFRent,1,BC$77)+BC$100*RenoPremium)*Assumptions!BC$74</f>
        <v/>
      </c>
      <c r="BD103" s="50">
        <f>(BD$102*INDEX(Cum_MFRent,1,BD$77)+BD$100*RenoPremium)*Assumptions!BD$74</f>
        <v/>
      </c>
      <c r="BE103" s="50">
        <f>(BE$102*INDEX(Cum_MFRent,1,BE$77)+BE$100*RenoPremium)*Assumptions!BE$74</f>
        <v/>
      </c>
      <c r="BF103" s="50">
        <f>(BF$102*INDEX(Cum_MFRent,1,BF$77)+BF$100*RenoPremium)*Assumptions!BF$74</f>
        <v/>
      </c>
      <c r="BG103" s="50">
        <f>(BG$102*INDEX(Cum_MFRent,1,BG$77)+BG$100*RenoPremium)*Assumptions!BG$74</f>
        <v/>
      </c>
      <c r="BH103" s="50">
        <f>(BH$102*INDEX(Cum_MFRent,1,BH$77)+BH$100*RenoPremium)*Assumptions!BH$74</f>
        <v/>
      </c>
      <c r="BI103" s="50">
        <f>(BI$102*INDEX(Cum_MFRent,1,BI$77)+BI$100*RenoPremium)*Assumptions!BI$74</f>
        <v/>
      </c>
      <c r="BJ103" s="50">
        <f>(BJ$102*INDEX(Cum_MFRent,1,BJ$77)+BJ$100*RenoPremium)*Assumptions!BJ$74</f>
        <v/>
      </c>
      <c r="BK103" s="50">
        <f>(BK$102*INDEX(Cum_MFRent,1,BK$77)+BK$100*RenoPremium)*Assumptions!BK$74</f>
        <v/>
      </c>
      <c r="BL103" s="50">
        <f>(BL$102*INDEX(Cum_MFRent,1,BL$77)+BL$100*RenoPremium)*Assumptions!BL$74</f>
        <v/>
      </c>
      <c r="BM103" s="50">
        <f>(BM$102*INDEX(Cum_MFRent,1,BM$77)+BM$100*RenoPremium)*Assumptions!BM$74</f>
        <v/>
      </c>
      <c r="BN103" s="50">
        <f>(BN$102*INDEX(Cum_MFRent,1,BN$77)+BN$100*RenoPremium)*Assumptions!BN$74</f>
        <v/>
      </c>
      <c r="BO103" s="50">
        <f>(BO$102*INDEX(Cum_MFRent,1,BO$77)+BO$100*RenoPremium)*Assumptions!BO$74</f>
        <v/>
      </c>
      <c r="BP103" s="50">
        <f>(BP$102*INDEX(Cum_MFRent,1,BP$77)+BP$100*RenoPremium)*Assumptions!BP$74</f>
        <v/>
      </c>
      <c r="BQ103" s="50">
        <f>(BQ$102*INDEX(Cum_MFRent,1,BQ$77)+BQ$100*RenoPremium)*Assumptions!BQ$74</f>
        <v/>
      </c>
      <c r="BR103" s="50">
        <f>(BR$102*INDEX(Cum_MFRent,1,BR$77)+BR$100*RenoPremium)*Assumptions!BR$74</f>
        <v/>
      </c>
      <c r="BS103" s="50">
        <f>(BS$102*INDEX(Cum_MFRent,1,BS$77)+BS$100*RenoPremium)*Assumptions!BS$74</f>
        <v/>
      </c>
      <c r="BT103" s="50">
        <f>(BT$102*INDEX(Cum_MFRent,1,BT$77)+BT$100*RenoPremium)*Assumptions!BT$74</f>
        <v/>
      </c>
      <c r="BU103" s="50">
        <f>(BU$102*INDEX(Cum_MFRent,1,BU$77)+BU$100*RenoPremium)*Assumptions!BU$74</f>
        <v/>
      </c>
      <c r="BV103" s="50">
        <f>(BV$102*INDEX(Cum_MFRent,1,BV$77)+BV$100*RenoPremium)*Assumptions!BV$74</f>
        <v/>
      </c>
      <c r="BW103" s="50">
        <f>(BW$102*INDEX(Cum_MFRent,1,BW$77)+BW$100*RenoPremium)*Assumptions!BW$74</f>
        <v/>
      </c>
      <c r="BX103" s="50">
        <f>(BX$102*INDEX(Cum_MFRent,1,BX$77)+BX$100*RenoPremium)*Assumptions!BX$74</f>
        <v/>
      </c>
      <c r="BY103" s="50">
        <f>(BY$102*INDEX(Cum_MFRent,1,BY$77)+BY$100*RenoPremium)*Assumptions!BY$74</f>
        <v/>
      </c>
      <c r="BZ103" s="50">
        <f>(BZ$102*INDEX(Cum_MFRent,1,BZ$77)+BZ$100*RenoPremium)*Assumptions!BZ$74</f>
        <v/>
      </c>
      <c r="CA103" s="50">
        <f>(CA$102*INDEX(Cum_MFRent,1,CA$77)+CA$100*RenoPremium)*Assumptions!CA$74</f>
        <v/>
      </c>
      <c r="CB103" s="50">
        <f>(CB$102*INDEX(Cum_MFRent,1,CB$77)+CB$100*RenoPremium)*Assumptions!CB$74</f>
        <v/>
      </c>
      <c r="CC103" s="50">
        <f>(CC$102*INDEX(Cum_MFRent,1,CC$77)+CC$100*RenoPremium)*Assumptions!CC$74</f>
        <v/>
      </c>
      <c r="CD103" s="50">
        <f>(CD$102*INDEX(Cum_MFRent,1,CD$77)+CD$100*RenoPremium)*Assumptions!CD$74</f>
        <v/>
      </c>
      <c r="CE103" s="50">
        <f>(CE$102*INDEX(Cum_MFRent,1,CE$77)+CE$100*RenoPremium)*Assumptions!CE$74</f>
        <v/>
      </c>
      <c r="CF103" s="50">
        <f>(CF$102*INDEX(Cum_MFRent,1,CF$77)+CF$100*RenoPremium)*Assumptions!CF$74</f>
        <v/>
      </c>
      <c r="CG103" s="50">
        <f>(CG$102*INDEX(Cum_MFRent,1,CG$77)+CG$100*RenoPremium)*Assumptions!CG$74</f>
        <v/>
      </c>
      <c r="CH103" s="50">
        <f>(CH$102*INDEX(Cum_MFRent,1,CH$77)+CH$100*RenoPremium)*Assumptions!CH$74</f>
        <v/>
      </c>
      <c r="CI103" s="50">
        <f>(CI$102*INDEX(Cum_MFRent,1,CI$77)+CI$100*RenoPremium)*Assumptions!CI$74</f>
        <v/>
      </c>
      <c r="CJ103" s="50">
        <f>(CJ$102*INDEX(Cum_MFRent,1,CJ$77)+CJ$100*RenoPremium)*Assumptions!CJ$74</f>
        <v/>
      </c>
      <c r="CK103" s="50">
        <f>(CK$102*INDEX(Cum_MFRent,1,CK$77)+CK$100*RenoPremium)*Assumptions!CK$74</f>
        <v/>
      </c>
      <c r="CL103" s="50">
        <f>(CL$102*INDEX(Cum_MFRent,1,CL$77)+CL$100*RenoPremium)*Assumptions!CL$74</f>
        <v/>
      </c>
      <c r="CM103" s="50">
        <f>(CM$102*INDEX(Cum_MFRent,1,CM$77)+CM$100*RenoPremium)*Assumptions!CM$74</f>
        <v/>
      </c>
      <c r="CN103" s="50">
        <f>(CN$102*INDEX(Cum_MFRent,1,CN$77)+CN$100*RenoPremium)*Assumptions!CN$74</f>
        <v/>
      </c>
      <c r="CO103" s="50">
        <f>(CO$102*INDEX(Cum_MFRent,1,CO$77)+CO$100*RenoPremium)*Assumptions!CO$74</f>
        <v/>
      </c>
      <c r="CP103" s="50">
        <f>(CP$102*INDEX(Cum_MFRent,1,CP$77)+CP$100*RenoPremium)*Assumptions!CP$74</f>
        <v/>
      </c>
      <c r="CQ103" s="50">
        <f>(CQ$102*INDEX(Cum_MFRent,1,CQ$77)+CQ$100*RenoPremium)*Assumptions!CQ$74</f>
        <v/>
      </c>
      <c r="CR103" s="50">
        <f>(CR$102*INDEX(Cum_MFRent,1,CR$77)+CR$100*RenoPremium)*Assumptions!CR$74</f>
        <v/>
      </c>
      <c r="CS103" s="50">
        <f>(CS$102*INDEX(Cum_MFRent,1,CS$77)+CS$100*RenoPremium)*Assumptions!CS$74</f>
        <v/>
      </c>
      <c r="CT103" s="50">
        <f>(CT$102*INDEX(Cum_MFRent,1,CT$77)+CT$100*RenoPremium)*Assumptions!CT$74</f>
        <v/>
      </c>
      <c r="CU103" s="50">
        <f>(CU$102*INDEX(Cum_MFRent,1,CU$77)+CU$100*RenoPremium)*Assumptions!CU$74</f>
        <v/>
      </c>
      <c r="CV103" s="50">
        <f>(CV$102*INDEX(Cum_MFRent,1,CV$77)+CV$100*RenoPremium)*Assumptions!CV$74</f>
        <v/>
      </c>
      <c r="CW103" s="50">
        <f>(CW$102*INDEX(Cum_MFRent,1,CW$77)+CW$100*RenoPremium)*Assumptions!CW$74</f>
        <v/>
      </c>
      <c r="CX103" s="50">
        <f>(CX$102*INDEX(Cum_MFRent,1,CX$77)+CX$100*RenoPremium)*Assumptions!CX$74</f>
        <v/>
      </c>
      <c r="CY103" s="50">
        <f>(CY$102*INDEX(Cum_MFRent,1,CY$77)+CY$100*RenoPremium)*Assumptions!CY$74</f>
        <v/>
      </c>
      <c r="CZ103" s="50">
        <f>(CZ$102*INDEX(Cum_MFRent,1,CZ$77)+CZ$100*RenoPremium)*Assumptions!CZ$74</f>
        <v/>
      </c>
      <c r="DA103" s="50">
        <f>(DA$102*INDEX(Cum_MFRent,1,DA$77)+DA$100*RenoPremium)*Assumptions!DA$74</f>
        <v/>
      </c>
      <c r="DB103" s="50">
        <f>(DB$102*INDEX(Cum_MFRent,1,DB$77)+DB$100*RenoPremium)*Assumptions!DB$74</f>
        <v/>
      </c>
      <c r="DC103" s="50">
        <f>(DC$102*INDEX(Cum_MFRent,1,DC$77)+DC$100*RenoPremium)*Assumptions!DC$74</f>
        <v/>
      </c>
      <c r="DD103" s="50">
        <f>(DD$102*INDEX(Cum_MFRent,1,DD$77)+DD$100*RenoPremium)*Assumptions!DD$74</f>
        <v/>
      </c>
      <c r="DE103" s="50">
        <f>(DE$102*INDEX(Cum_MFRent,1,DE$77)+DE$100*RenoPremium)*Assumptions!DE$74</f>
        <v/>
      </c>
      <c r="DF103" s="50">
        <f>(DF$102*INDEX(Cum_MFRent,1,DF$77)+DF$100*RenoPremium)*Assumptions!DF$74</f>
        <v/>
      </c>
      <c r="DG103" s="50">
        <f>(DG$102*INDEX(Cum_MFRent,1,DG$77)+DG$100*RenoPremium)*Assumptions!DG$74</f>
        <v/>
      </c>
      <c r="DH103" s="50">
        <f>(DH$102*INDEX(Cum_MFRent,1,DH$77)+DH$100*RenoPremium)*Assumptions!DH$74</f>
        <v/>
      </c>
      <c r="DI103" s="50">
        <f>(DI$102*INDEX(Cum_MFRent,1,DI$77)+DI$100*RenoPremium)*Assumptions!DI$74</f>
        <v/>
      </c>
      <c r="DJ103" s="50">
        <f>(DJ$102*INDEX(Cum_MFRent,1,DJ$77)+DJ$100*RenoPremium)*Assumptions!DJ$74</f>
        <v/>
      </c>
      <c r="DK103" s="50">
        <f>(DK$102*INDEX(Cum_MFRent,1,DK$77)+DK$100*RenoPremium)*Assumptions!DK$74</f>
        <v/>
      </c>
      <c r="DL103" s="50">
        <f>(DL$102*INDEX(Cum_MFRent,1,DL$77)+DL$100*RenoPremium)*Assumptions!DL$74</f>
        <v/>
      </c>
      <c r="DM103" s="50">
        <f>(DM$102*INDEX(Cum_MFRent,1,DM$77)+DM$100*RenoPremium)*Assumptions!DM$74</f>
        <v/>
      </c>
      <c r="DN103" s="50">
        <f>(DN$102*INDEX(Cum_MFRent,1,DN$77)+DN$100*RenoPremium)*Assumptions!DN$74</f>
        <v/>
      </c>
      <c r="DO103" s="50">
        <f>(DO$102*INDEX(Cum_MFRent,1,DO$77)+DO$100*RenoPremium)*Assumptions!DO$74</f>
        <v/>
      </c>
      <c r="DP103" s="50">
        <f>(DP$102*INDEX(Cum_MFRent,1,DP$77)+DP$100*RenoPremium)*Assumptions!DP$74</f>
        <v/>
      </c>
      <c r="DQ103" s="50">
        <f>(DQ$102*INDEX(Cum_MFRent,1,DQ$77)+DQ$100*RenoPremium)*Assumptions!DQ$74</f>
        <v/>
      </c>
      <c r="DR103" s="50">
        <f>(DR$102*INDEX(Cum_MFRent,1,DR$77)+DR$100*RenoPremium)*Assumptions!DR$74</f>
        <v/>
      </c>
      <c r="DS103" s="50">
        <f>(DS$102*INDEX(Cum_MFRent,1,DS$77)+DS$100*RenoPremium)*Assumptions!DS$74</f>
        <v/>
      </c>
      <c r="DT103" s="50">
        <f>(DT$102*INDEX(Cum_MFRent,1,DT$77)+DT$100*RenoPremium)*Assumptions!DT$74</f>
        <v/>
      </c>
    </row>
    <row r="104">
      <c r="A104" s="10" t="inlineStr">
        <is>
          <t>Loss-to-lease ($/mo, negative)</t>
        </is>
      </c>
      <c r="E104" s="50">
        <f>-(E$102-E$101)*MAX(0,1-Assumptions!E$72/LTL_Months)*Assumptions!E$74</f>
        <v/>
      </c>
      <c r="F104" s="50">
        <f>-(F$102-F$101)*MAX(0,1-Assumptions!F$72/LTL_Months)*Assumptions!F$74</f>
        <v/>
      </c>
      <c r="G104" s="50">
        <f>-(G$102-G$101)*MAX(0,1-Assumptions!G$72/LTL_Months)*Assumptions!G$74</f>
        <v/>
      </c>
      <c r="H104" s="50">
        <f>-(H$102-H$101)*MAX(0,1-Assumptions!H$72/LTL_Months)*Assumptions!H$74</f>
        <v/>
      </c>
      <c r="I104" s="50">
        <f>-(I$102-I$101)*MAX(0,1-Assumptions!I$72/LTL_Months)*Assumptions!I$74</f>
        <v/>
      </c>
      <c r="J104" s="50">
        <f>-(J$102-J$101)*MAX(0,1-Assumptions!J$72/LTL_Months)*Assumptions!J$74</f>
        <v/>
      </c>
      <c r="K104" s="50">
        <f>-(K$102-K$101)*MAX(0,1-Assumptions!K$72/LTL_Months)*Assumptions!K$74</f>
        <v/>
      </c>
      <c r="L104" s="50">
        <f>-(L$102-L$101)*MAX(0,1-Assumptions!L$72/LTL_Months)*Assumptions!L$74</f>
        <v/>
      </c>
      <c r="M104" s="50">
        <f>-(M$102-M$101)*MAX(0,1-Assumptions!M$72/LTL_Months)*Assumptions!M$74</f>
        <v/>
      </c>
      <c r="N104" s="50">
        <f>-(N$102-N$101)*MAX(0,1-Assumptions!N$72/LTL_Months)*Assumptions!N$74</f>
        <v/>
      </c>
      <c r="O104" s="50">
        <f>-(O$102-O$101)*MAX(0,1-Assumptions!O$72/LTL_Months)*Assumptions!O$74</f>
        <v/>
      </c>
      <c r="P104" s="50">
        <f>-(P$102-P$101)*MAX(0,1-Assumptions!P$72/LTL_Months)*Assumptions!P$74</f>
        <v/>
      </c>
      <c r="Q104" s="50">
        <f>-(Q$102-Q$101)*MAX(0,1-Assumptions!Q$72/LTL_Months)*Assumptions!Q$74</f>
        <v/>
      </c>
      <c r="R104" s="50">
        <f>-(R$102-R$101)*MAX(0,1-Assumptions!R$72/LTL_Months)*Assumptions!R$74</f>
        <v/>
      </c>
      <c r="S104" s="50">
        <f>-(S$102-S$101)*MAX(0,1-Assumptions!S$72/LTL_Months)*Assumptions!S$74</f>
        <v/>
      </c>
      <c r="T104" s="50">
        <f>-(T$102-T$101)*MAX(0,1-Assumptions!T$72/LTL_Months)*Assumptions!T$74</f>
        <v/>
      </c>
      <c r="U104" s="50">
        <f>-(U$102-U$101)*MAX(0,1-Assumptions!U$72/LTL_Months)*Assumptions!U$74</f>
        <v/>
      </c>
      <c r="V104" s="50">
        <f>-(V$102-V$101)*MAX(0,1-Assumptions!V$72/LTL_Months)*Assumptions!V$74</f>
        <v/>
      </c>
      <c r="W104" s="50">
        <f>-(W$102-W$101)*MAX(0,1-Assumptions!W$72/LTL_Months)*Assumptions!W$74</f>
        <v/>
      </c>
      <c r="X104" s="50">
        <f>-(X$102-X$101)*MAX(0,1-Assumptions!X$72/LTL_Months)*Assumptions!X$74</f>
        <v/>
      </c>
      <c r="Y104" s="50">
        <f>-(Y$102-Y$101)*MAX(0,1-Assumptions!Y$72/LTL_Months)*Assumptions!Y$74</f>
        <v/>
      </c>
      <c r="Z104" s="50">
        <f>-(Z$102-Z$101)*MAX(0,1-Assumptions!Z$72/LTL_Months)*Assumptions!Z$74</f>
        <v/>
      </c>
      <c r="AA104" s="50">
        <f>-(AA$102-AA$101)*MAX(0,1-Assumptions!AA$72/LTL_Months)*Assumptions!AA$74</f>
        <v/>
      </c>
      <c r="AB104" s="50">
        <f>-(AB$102-AB$101)*MAX(0,1-Assumptions!AB$72/LTL_Months)*Assumptions!AB$74</f>
        <v/>
      </c>
      <c r="AC104" s="50">
        <f>-(AC$102-AC$101)*MAX(0,1-Assumptions!AC$72/LTL_Months)*Assumptions!AC$74</f>
        <v/>
      </c>
      <c r="AD104" s="50">
        <f>-(AD$102-AD$101)*MAX(0,1-Assumptions!AD$72/LTL_Months)*Assumptions!AD$74</f>
        <v/>
      </c>
      <c r="AE104" s="50">
        <f>-(AE$102-AE$101)*MAX(0,1-Assumptions!AE$72/LTL_Months)*Assumptions!AE$74</f>
        <v/>
      </c>
      <c r="AF104" s="50">
        <f>-(AF$102-AF$101)*MAX(0,1-Assumptions!AF$72/LTL_Months)*Assumptions!AF$74</f>
        <v/>
      </c>
      <c r="AG104" s="50">
        <f>-(AG$102-AG$101)*MAX(0,1-Assumptions!AG$72/LTL_Months)*Assumptions!AG$74</f>
        <v/>
      </c>
      <c r="AH104" s="50">
        <f>-(AH$102-AH$101)*MAX(0,1-Assumptions!AH$72/LTL_Months)*Assumptions!AH$74</f>
        <v/>
      </c>
      <c r="AI104" s="50">
        <f>-(AI$102-AI$101)*MAX(0,1-Assumptions!AI$72/LTL_Months)*Assumptions!AI$74</f>
        <v/>
      </c>
      <c r="AJ104" s="50">
        <f>-(AJ$102-AJ$101)*MAX(0,1-Assumptions!AJ$72/LTL_Months)*Assumptions!AJ$74</f>
        <v/>
      </c>
      <c r="AK104" s="50">
        <f>-(AK$102-AK$101)*MAX(0,1-Assumptions!AK$72/LTL_Months)*Assumptions!AK$74</f>
        <v/>
      </c>
      <c r="AL104" s="50">
        <f>-(AL$102-AL$101)*MAX(0,1-Assumptions!AL$72/LTL_Months)*Assumptions!AL$74</f>
        <v/>
      </c>
      <c r="AM104" s="50">
        <f>-(AM$102-AM$101)*MAX(0,1-Assumptions!AM$72/LTL_Months)*Assumptions!AM$74</f>
        <v/>
      </c>
      <c r="AN104" s="50">
        <f>-(AN$102-AN$101)*MAX(0,1-Assumptions!AN$72/LTL_Months)*Assumptions!AN$74</f>
        <v/>
      </c>
      <c r="AO104" s="50">
        <f>-(AO$102-AO$101)*MAX(0,1-Assumptions!AO$72/LTL_Months)*Assumptions!AO$74</f>
        <v/>
      </c>
      <c r="AP104" s="50">
        <f>-(AP$102-AP$101)*MAX(0,1-Assumptions!AP$72/LTL_Months)*Assumptions!AP$74</f>
        <v/>
      </c>
      <c r="AQ104" s="50">
        <f>-(AQ$102-AQ$101)*MAX(0,1-Assumptions!AQ$72/LTL_Months)*Assumptions!AQ$74</f>
        <v/>
      </c>
      <c r="AR104" s="50">
        <f>-(AR$102-AR$101)*MAX(0,1-Assumptions!AR$72/LTL_Months)*Assumptions!AR$74</f>
        <v/>
      </c>
      <c r="AS104" s="50">
        <f>-(AS$102-AS$101)*MAX(0,1-Assumptions!AS$72/LTL_Months)*Assumptions!AS$74</f>
        <v/>
      </c>
      <c r="AT104" s="50">
        <f>-(AT$102-AT$101)*MAX(0,1-Assumptions!AT$72/LTL_Months)*Assumptions!AT$74</f>
        <v/>
      </c>
      <c r="AU104" s="50">
        <f>-(AU$102-AU$101)*MAX(0,1-Assumptions!AU$72/LTL_Months)*Assumptions!AU$74</f>
        <v/>
      </c>
      <c r="AV104" s="50">
        <f>-(AV$102-AV$101)*MAX(0,1-Assumptions!AV$72/LTL_Months)*Assumptions!AV$74</f>
        <v/>
      </c>
      <c r="AW104" s="50">
        <f>-(AW$102-AW$101)*MAX(0,1-Assumptions!AW$72/LTL_Months)*Assumptions!AW$74</f>
        <v/>
      </c>
      <c r="AX104" s="50">
        <f>-(AX$102-AX$101)*MAX(0,1-Assumptions!AX$72/LTL_Months)*Assumptions!AX$74</f>
        <v/>
      </c>
      <c r="AY104" s="50">
        <f>-(AY$102-AY$101)*MAX(0,1-Assumptions!AY$72/LTL_Months)*Assumptions!AY$74</f>
        <v/>
      </c>
      <c r="AZ104" s="50">
        <f>-(AZ$102-AZ$101)*MAX(0,1-Assumptions!AZ$72/LTL_Months)*Assumptions!AZ$74</f>
        <v/>
      </c>
      <c r="BA104" s="50">
        <f>-(BA$102-BA$101)*MAX(0,1-Assumptions!BA$72/LTL_Months)*Assumptions!BA$74</f>
        <v/>
      </c>
      <c r="BB104" s="50">
        <f>-(BB$102-BB$101)*MAX(0,1-Assumptions!BB$72/LTL_Months)*Assumptions!BB$74</f>
        <v/>
      </c>
      <c r="BC104" s="50">
        <f>-(BC$102-BC$101)*MAX(0,1-Assumptions!BC$72/LTL_Months)*Assumptions!BC$74</f>
        <v/>
      </c>
      <c r="BD104" s="50">
        <f>-(BD$102-BD$101)*MAX(0,1-Assumptions!BD$72/LTL_Months)*Assumptions!BD$74</f>
        <v/>
      </c>
      <c r="BE104" s="50">
        <f>-(BE$102-BE$101)*MAX(0,1-Assumptions!BE$72/LTL_Months)*Assumptions!BE$74</f>
        <v/>
      </c>
      <c r="BF104" s="50">
        <f>-(BF$102-BF$101)*MAX(0,1-Assumptions!BF$72/LTL_Months)*Assumptions!BF$74</f>
        <v/>
      </c>
      <c r="BG104" s="50">
        <f>-(BG$102-BG$101)*MAX(0,1-Assumptions!BG$72/LTL_Months)*Assumptions!BG$74</f>
        <v/>
      </c>
      <c r="BH104" s="50">
        <f>-(BH$102-BH$101)*MAX(0,1-Assumptions!BH$72/LTL_Months)*Assumptions!BH$74</f>
        <v/>
      </c>
      <c r="BI104" s="50">
        <f>-(BI$102-BI$101)*MAX(0,1-Assumptions!BI$72/LTL_Months)*Assumptions!BI$74</f>
        <v/>
      </c>
      <c r="BJ104" s="50">
        <f>-(BJ$102-BJ$101)*MAX(0,1-Assumptions!BJ$72/LTL_Months)*Assumptions!BJ$74</f>
        <v/>
      </c>
      <c r="BK104" s="50">
        <f>-(BK$102-BK$101)*MAX(0,1-Assumptions!BK$72/LTL_Months)*Assumptions!BK$74</f>
        <v/>
      </c>
      <c r="BL104" s="50">
        <f>-(BL$102-BL$101)*MAX(0,1-Assumptions!BL$72/LTL_Months)*Assumptions!BL$74</f>
        <v/>
      </c>
      <c r="BM104" s="50">
        <f>-(BM$102-BM$101)*MAX(0,1-Assumptions!BM$72/LTL_Months)*Assumptions!BM$74</f>
        <v/>
      </c>
      <c r="BN104" s="50">
        <f>-(BN$102-BN$101)*MAX(0,1-Assumptions!BN$72/LTL_Months)*Assumptions!BN$74</f>
        <v/>
      </c>
      <c r="BO104" s="50">
        <f>-(BO$102-BO$101)*MAX(0,1-Assumptions!BO$72/LTL_Months)*Assumptions!BO$74</f>
        <v/>
      </c>
      <c r="BP104" s="50">
        <f>-(BP$102-BP$101)*MAX(0,1-Assumptions!BP$72/LTL_Months)*Assumptions!BP$74</f>
        <v/>
      </c>
      <c r="BQ104" s="50">
        <f>-(BQ$102-BQ$101)*MAX(0,1-Assumptions!BQ$72/LTL_Months)*Assumptions!BQ$74</f>
        <v/>
      </c>
      <c r="BR104" s="50">
        <f>-(BR$102-BR$101)*MAX(0,1-Assumptions!BR$72/LTL_Months)*Assumptions!BR$74</f>
        <v/>
      </c>
      <c r="BS104" s="50">
        <f>-(BS$102-BS$101)*MAX(0,1-Assumptions!BS$72/LTL_Months)*Assumptions!BS$74</f>
        <v/>
      </c>
      <c r="BT104" s="50">
        <f>-(BT$102-BT$101)*MAX(0,1-Assumptions!BT$72/LTL_Months)*Assumptions!BT$74</f>
        <v/>
      </c>
      <c r="BU104" s="50">
        <f>-(BU$102-BU$101)*MAX(0,1-Assumptions!BU$72/LTL_Months)*Assumptions!BU$74</f>
        <v/>
      </c>
      <c r="BV104" s="50">
        <f>-(BV$102-BV$101)*MAX(0,1-Assumptions!BV$72/LTL_Months)*Assumptions!BV$74</f>
        <v/>
      </c>
      <c r="BW104" s="50">
        <f>-(BW$102-BW$101)*MAX(0,1-Assumptions!BW$72/LTL_Months)*Assumptions!BW$74</f>
        <v/>
      </c>
      <c r="BX104" s="50">
        <f>-(BX$102-BX$101)*MAX(0,1-Assumptions!BX$72/LTL_Months)*Assumptions!BX$74</f>
        <v/>
      </c>
      <c r="BY104" s="50">
        <f>-(BY$102-BY$101)*MAX(0,1-Assumptions!BY$72/LTL_Months)*Assumptions!BY$74</f>
        <v/>
      </c>
      <c r="BZ104" s="50">
        <f>-(BZ$102-BZ$101)*MAX(0,1-Assumptions!BZ$72/LTL_Months)*Assumptions!BZ$74</f>
        <v/>
      </c>
      <c r="CA104" s="50">
        <f>-(CA$102-CA$101)*MAX(0,1-Assumptions!CA$72/LTL_Months)*Assumptions!CA$74</f>
        <v/>
      </c>
      <c r="CB104" s="50">
        <f>-(CB$102-CB$101)*MAX(0,1-Assumptions!CB$72/LTL_Months)*Assumptions!CB$74</f>
        <v/>
      </c>
      <c r="CC104" s="50">
        <f>-(CC$102-CC$101)*MAX(0,1-Assumptions!CC$72/LTL_Months)*Assumptions!CC$74</f>
        <v/>
      </c>
      <c r="CD104" s="50">
        <f>-(CD$102-CD$101)*MAX(0,1-Assumptions!CD$72/LTL_Months)*Assumptions!CD$74</f>
        <v/>
      </c>
      <c r="CE104" s="50">
        <f>-(CE$102-CE$101)*MAX(0,1-Assumptions!CE$72/LTL_Months)*Assumptions!CE$74</f>
        <v/>
      </c>
      <c r="CF104" s="50">
        <f>-(CF$102-CF$101)*MAX(0,1-Assumptions!CF$72/LTL_Months)*Assumptions!CF$74</f>
        <v/>
      </c>
      <c r="CG104" s="50">
        <f>-(CG$102-CG$101)*MAX(0,1-Assumptions!CG$72/LTL_Months)*Assumptions!CG$74</f>
        <v/>
      </c>
      <c r="CH104" s="50">
        <f>-(CH$102-CH$101)*MAX(0,1-Assumptions!CH$72/LTL_Months)*Assumptions!CH$74</f>
        <v/>
      </c>
      <c r="CI104" s="50">
        <f>-(CI$102-CI$101)*MAX(0,1-Assumptions!CI$72/LTL_Months)*Assumptions!CI$74</f>
        <v/>
      </c>
      <c r="CJ104" s="50">
        <f>-(CJ$102-CJ$101)*MAX(0,1-Assumptions!CJ$72/LTL_Months)*Assumptions!CJ$74</f>
        <v/>
      </c>
      <c r="CK104" s="50">
        <f>-(CK$102-CK$101)*MAX(0,1-Assumptions!CK$72/LTL_Months)*Assumptions!CK$74</f>
        <v/>
      </c>
      <c r="CL104" s="50">
        <f>-(CL$102-CL$101)*MAX(0,1-Assumptions!CL$72/LTL_Months)*Assumptions!CL$74</f>
        <v/>
      </c>
      <c r="CM104" s="50">
        <f>-(CM$102-CM$101)*MAX(0,1-Assumptions!CM$72/LTL_Months)*Assumptions!CM$74</f>
        <v/>
      </c>
      <c r="CN104" s="50">
        <f>-(CN$102-CN$101)*MAX(0,1-Assumptions!CN$72/LTL_Months)*Assumptions!CN$74</f>
        <v/>
      </c>
      <c r="CO104" s="50">
        <f>-(CO$102-CO$101)*MAX(0,1-Assumptions!CO$72/LTL_Months)*Assumptions!CO$74</f>
        <v/>
      </c>
      <c r="CP104" s="50">
        <f>-(CP$102-CP$101)*MAX(0,1-Assumptions!CP$72/LTL_Months)*Assumptions!CP$74</f>
        <v/>
      </c>
      <c r="CQ104" s="50">
        <f>-(CQ$102-CQ$101)*MAX(0,1-Assumptions!CQ$72/LTL_Months)*Assumptions!CQ$74</f>
        <v/>
      </c>
      <c r="CR104" s="50">
        <f>-(CR$102-CR$101)*MAX(0,1-Assumptions!CR$72/LTL_Months)*Assumptions!CR$74</f>
        <v/>
      </c>
      <c r="CS104" s="50">
        <f>-(CS$102-CS$101)*MAX(0,1-Assumptions!CS$72/LTL_Months)*Assumptions!CS$74</f>
        <v/>
      </c>
      <c r="CT104" s="50">
        <f>-(CT$102-CT$101)*MAX(0,1-Assumptions!CT$72/LTL_Months)*Assumptions!CT$74</f>
        <v/>
      </c>
      <c r="CU104" s="50">
        <f>-(CU$102-CU$101)*MAX(0,1-Assumptions!CU$72/LTL_Months)*Assumptions!CU$74</f>
        <v/>
      </c>
      <c r="CV104" s="50">
        <f>-(CV$102-CV$101)*MAX(0,1-Assumptions!CV$72/LTL_Months)*Assumptions!CV$74</f>
        <v/>
      </c>
      <c r="CW104" s="50">
        <f>-(CW$102-CW$101)*MAX(0,1-Assumptions!CW$72/LTL_Months)*Assumptions!CW$74</f>
        <v/>
      </c>
      <c r="CX104" s="50">
        <f>-(CX$102-CX$101)*MAX(0,1-Assumptions!CX$72/LTL_Months)*Assumptions!CX$74</f>
        <v/>
      </c>
      <c r="CY104" s="50">
        <f>-(CY$102-CY$101)*MAX(0,1-Assumptions!CY$72/LTL_Months)*Assumptions!CY$74</f>
        <v/>
      </c>
      <c r="CZ104" s="50">
        <f>-(CZ$102-CZ$101)*MAX(0,1-Assumptions!CZ$72/LTL_Months)*Assumptions!CZ$74</f>
        <v/>
      </c>
      <c r="DA104" s="50">
        <f>-(DA$102-DA$101)*MAX(0,1-Assumptions!DA$72/LTL_Months)*Assumptions!DA$74</f>
        <v/>
      </c>
      <c r="DB104" s="50">
        <f>-(DB$102-DB$101)*MAX(0,1-Assumptions!DB$72/LTL_Months)*Assumptions!DB$74</f>
        <v/>
      </c>
      <c r="DC104" s="50">
        <f>-(DC$102-DC$101)*MAX(0,1-Assumptions!DC$72/LTL_Months)*Assumptions!DC$74</f>
        <v/>
      </c>
      <c r="DD104" s="50">
        <f>-(DD$102-DD$101)*MAX(0,1-Assumptions!DD$72/LTL_Months)*Assumptions!DD$74</f>
        <v/>
      </c>
      <c r="DE104" s="50">
        <f>-(DE$102-DE$101)*MAX(0,1-Assumptions!DE$72/LTL_Months)*Assumptions!DE$74</f>
        <v/>
      </c>
      <c r="DF104" s="50">
        <f>-(DF$102-DF$101)*MAX(0,1-Assumptions!DF$72/LTL_Months)*Assumptions!DF$74</f>
        <v/>
      </c>
      <c r="DG104" s="50">
        <f>-(DG$102-DG$101)*MAX(0,1-Assumptions!DG$72/LTL_Months)*Assumptions!DG$74</f>
        <v/>
      </c>
      <c r="DH104" s="50">
        <f>-(DH$102-DH$101)*MAX(0,1-Assumptions!DH$72/LTL_Months)*Assumptions!DH$74</f>
        <v/>
      </c>
      <c r="DI104" s="50">
        <f>-(DI$102-DI$101)*MAX(0,1-Assumptions!DI$72/LTL_Months)*Assumptions!DI$74</f>
        <v/>
      </c>
      <c r="DJ104" s="50">
        <f>-(DJ$102-DJ$101)*MAX(0,1-Assumptions!DJ$72/LTL_Months)*Assumptions!DJ$74</f>
        <v/>
      </c>
      <c r="DK104" s="50">
        <f>-(DK$102-DK$101)*MAX(0,1-Assumptions!DK$72/LTL_Months)*Assumptions!DK$74</f>
        <v/>
      </c>
      <c r="DL104" s="50">
        <f>-(DL$102-DL$101)*MAX(0,1-Assumptions!DL$72/LTL_Months)*Assumptions!DL$74</f>
        <v/>
      </c>
      <c r="DM104" s="50">
        <f>-(DM$102-DM$101)*MAX(0,1-Assumptions!DM$72/LTL_Months)*Assumptions!DM$74</f>
        <v/>
      </c>
      <c r="DN104" s="50">
        <f>-(DN$102-DN$101)*MAX(0,1-Assumptions!DN$72/LTL_Months)*Assumptions!DN$74</f>
        <v/>
      </c>
      <c r="DO104" s="50">
        <f>-(DO$102-DO$101)*MAX(0,1-Assumptions!DO$72/LTL_Months)*Assumptions!DO$74</f>
        <v/>
      </c>
      <c r="DP104" s="50">
        <f>-(DP$102-DP$101)*MAX(0,1-Assumptions!DP$72/LTL_Months)*Assumptions!DP$74</f>
        <v/>
      </c>
      <c r="DQ104" s="50">
        <f>-(DQ$102-DQ$101)*MAX(0,1-Assumptions!DQ$72/LTL_Months)*Assumptions!DQ$74</f>
        <v/>
      </c>
      <c r="DR104" s="50">
        <f>-(DR$102-DR$101)*MAX(0,1-Assumptions!DR$72/LTL_Months)*Assumptions!DR$74</f>
        <v/>
      </c>
      <c r="DS104" s="50">
        <f>-(DS$102-DS$101)*MAX(0,1-Assumptions!DS$72/LTL_Months)*Assumptions!DS$74</f>
        <v/>
      </c>
      <c r="DT104" s="50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0">
        <f>-(E$103*(MF_Vacancy+MF_Concessions+MF_BadDebt)+E$103*(1-(E$99/MF_UnitCount)))</f>
        <v/>
      </c>
      <c r="F105" s="50">
        <f>-(F$103*(MF_Vacancy+MF_Concessions+MF_BadDebt)+F$103*(1-(F$99/MF_UnitCount)))</f>
        <v/>
      </c>
      <c r="G105" s="50">
        <f>-(G$103*(MF_Vacancy+MF_Concessions+MF_BadDebt)+G$103*(1-(G$99/MF_UnitCount)))</f>
        <v/>
      </c>
      <c r="H105" s="50">
        <f>-(H$103*(MF_Vacancy+MF_Concessions+MF_BadDebt)+H$103*(1-(H$99/MF_UnitCount)))</f>
        <v/>
      </c>
      <c r="I105" s="50">
        <f>-(I$103*(MF_Vacancy+MF_Concessions+MF_BadDebt)+I$103*(1-(I$99/MF_UnitCount)))</f>
        <v/>
      </c>
      <c r="J105" s="50">
        <f>-(J$103*(MF_Vacancy+MF_Concessions+MF_BadDebt)+J$103*(1-(J$99/MF_UnitCount)))</f>
        <v/>
      </c>
      <c r="K105" s="50">
        <f>-(K$103*(MF_Vacancy+MF_Concessions+MF_BadDebt)+K$103*(1-(K$99/MF_UnitCount)))</f>
        <v/>
      </c>
      <c r="L105" s="50">
        <f>-(L$103*(MF_Vacancy+MF_Concessions+MF_BadDebt)+L$103*(1-(L$99/MF_UnitCount)))</f>
        <v/>
      </c>
      <c r="M105" s="50">
        <f>-(M$103*(MF_Vacancy+MF_Concessions+MF_BadDebt)+M$103*(1-(M$99/MF_UnitCount)))</f>
        <v/>
      </c>
      <c r="N105" s="50">
        <f>-(N$103*(MF_Vacancy+MF_Concessions+MF_BadDebt)+N$103*(1-(N$99/MF_UnitCount)))</f>
        <v/>
      </c>
      <c r="O105" s="50">
        <f>-(O$103*(MF_Vacancy+MF_Concessions+MF_BadDebt)+O$103*(1-(O$99/MF_UnitCount)))</f>
        <v/>
      </c>
      <c r="P105" s="50">
        <f>-(P$103*(MF_Vacancy+MF_Concessions+MF_BadDebt)+P$103*(1-(P$99/MF_UnitCount)))</f>
        <v/>
      </c>
      <c r="Q105" s="50">
        <f>-(Q$103*(MF_Vacancy+MF_Concessions+MF_BadDebt)+Q$103*(1-(Q$99/MF_UnitCount)))</f>
        <v/>
      </c>
      <c r="R105" s="50">
        <f>-(R$103*(MF_Vacancy+MF_Concessions+MF_BadDebt)+R$103*(1-(R$99/MF_UnitCount)))</f>
        <v/>
      </c>
      <c r="S105" s="50">
        <f>-(S$103*(MF_Vacancy+MF_Concessions+MF_BadDebt)+S$103*(1-(S$99/MF_UnitCount)))</f>
        <v/>
      </c>
      <c r="T105" s="50">
        <f>-(T$103*(MF_Vacancy+MF_Concessions+MF_BadDebt)+T$103*(1-(T$99/MF_UnitCount)))</f>
        <v/>
      </c>
      <c r="U105" s="50">
        <f>-(U$103*(MF_Vacancy+MF_Concessions+MF_BadDebt)+U$103*(1-(U$99/MF_UnitCount)))</f>
        <v/>
      </c>
      <c r="V105" s="50">
        <f>-(V$103*(MF_Vacancy+MF_Concessions+MF_BadDebt)+V$103*(1-(V$99/MF_UnitCount)))</f>
        <v/>
      </c>
      <c r="W105" s="50">
        <f>-(W$103*(MF_Vacancy+MF_Concessions+MF_BadDebt)+W$103*(1-(W$99/MF_UnitCount)))</f>
        <v/>
      </c>
      <c r="X105" s="50">
        <f>-(X$103*(MF_Vacancy+MF_Concessions+MF_BadDebt)+X$103*(1-(X$99/MF_UnitCount)))</f>
        <v/>
      </c>
      <c r="Y105" s="50">
        <f>-(Y$103*(MF_Vacancy+MF_Concessions+MF_BadDebt)+Y$103*(1-(Y$99/MF_UnitCount)))</f>
        <v/>
      </c>
      <c r="Z105" s="50">
        <f>-(Z$103*(MF_Vacancy+MF_Concessions+MF_BadDebt)+Z$103*(1-(Z$99/MF_UnitCount)))</f>
        <v/>
      </c>
      <c r="AA105" s="50">
        <f>-(AA$103*(MF_Vacancy+MF_Concessions+MF_BadDebt)+AA$103*(1-(AA$99/MF_UnitCount)))</f>
        <v/>
      </c>
      <c r="AB105" s="50">
        <f>-(AB$103*(MF_Vacancy+MF_Concessions+MF_BadDebt)+AB$103*(1-(AB$99/MF_UnitCount)))</f>
        <v/>
      </c>
      <c r="AC105" s="50">
        <f>-(AC$103*(MF_Vacancy+MF_Concessions+MF_BadDebt)+AC$103*(1-(AC$99/MF_UnitCount)))</f>
        <v/>
      </c>
      <c r="AD105" s="50">
        <f>-(AD$103*(MF_Vacancy+MF_Concessions+MF_BadDebt)+AD$103*(1-(AD$99/MF_UnitCount)))</f>
        <v/>
      </c>
      <c r="AE105" s="50">
        <f>-(AE$103*(MF_Vacancy+MF_Concessions+MF_BadDebt)+AE$103*(1-(AE$99/MF_UnitCount)))</f>
        <v/>
      </c>
      <c r="AF105" s="50">
        <f>-(AF$103*(MF_Vacancy+MF_Concessions+MF_BadDebt)+AF$103*(1-(AF$99/MF_UnitCount)))</f>
        <v/>
      </c>
      <c r="AG105" s="50">
        <f>-(AG$103*(MF_Vacancy+MF_Concessions+MF_BadDebt)+AG$103*(1-(AG$99/MF_UnitCount)))</f>
        <v/>
      </c>
      <c r="AH105" s="50">
        <f>-(AH$103*(MF_Vacancy+MF_Concessions+MF_BadDebt)+AH$103*(1-(AH$99/MF_UnitCount)))</f>
        <v/>
      </c>
      <c r="AI105" s="50">
        <f>-(AI$103*(MF_Vacancy+MF_Concessions+MF_BadDebt)+AI$103*(1-(AI$99/MF_UnitCount)))</f>
        <v/>
      </c>
      <c r="AJ105" s="50">
        <f>-(AJ$103*(MF_Vacancy+MF_Concessions+MF_BadDebt)+AJ$103*(1-(AJ$99/MF_UnitCount)))</f>
        <v/>
      </c>
      <c r="AK105" s="50">
        <f>-(AK$103*(MF_Vacancy+MF_Concessions+MF_BadDebt)+AK$103*(1-(AK$99/MF_UnitCount)))</f>
        <v/>
      </c>
      <c r="AL105" s="50">
        <f>-(AL$103*(MF_Vacancy+MF_Concessions+MF_BadDebt)+AL$103*(1-(AL$99/MF_UnitCount)))</f>
        <v/>
      </c>
      <c r="AM105" s="50">
        <f>-(AM$103*(MF_Vacancy+MF_Concessions+MF_BadDebt)+AM$103*(1-(AM$99/MF_UnitCount)))</f>
        <v/>
      </c>
      <c r="AN105" s="50">
        <f>-(AN$103*(MF_Vacancy+MF_Concessions+MF_BadDebt)+AN$103*(1-(AN$99/MF_UnitCount)))</f>
        <v/>
      </c>
      <c r="AO105" s="50">
        <f>-(AO$103*(MF_Vacancy+MF_Concessions+MF_BadDebt)+AO$103*(1-(AO$99/MF_UnitCount)))</f>
        <v/>
      </c>
      <c r="AP105" s="50">
        <f>-(AP$103*(MF_Vacancy+MF_Concessions+MF_BadDebt)+AP$103*(1-(AP$99/MF_UnitCount)))</f>
        <v/>
      </c>
      <c r="AQ105" s="50">
        <f>-(AQ$103*(MF_Vacancy+MF_Concessions+MF_BadDebt)+AQ$103*(1-(AQ$99/MF_UnitCount)))</f>
        <v/>
      </c>
      <c r="AR105" s="50">
        <f>-(AR$103*(MF_Vacancy+MF_Concessions+MF_BadDebt)+AR$103*(1-(AR$99/MF_UnitCount)))</f>
        <v/>
      </c>
      <c r="AS105" s="50">
        <f>-(AS$103*(MF_Vacancy+MF_Concessions+MF_BadDebt)+AS$103*(1-(AS$99/MF_UnitCount)))</f>
        <v/>
      </c>
      <c r="AT105" s="50">
        <f>-(AT$103*(MF_Vacancy+MF_Concessions+MF_BadDebt)+AT$103*(1-(AT$99/MF_UnitCount)))</f>
        <v/>
      </c>
      <c r="AU105" s="50">
        <f>-(AU$103*(MF_Vacancy+MF_Concessions+MF_BadDebt)+AU$103*(1-(AU$99/MF_UnitCount)))</f>
        <v/>
      </c>
      <c r="AV105" s="50">
        <f>-(AV$103*(MF_Vacancy+MF_Concessions+MF_BadDebt)+AV$103*(1-(AV$99/MF_UnitCount)))</f>
        <v/>
      </c>
      <c r="AW105" s="50">
        <f>-(AW$103*(MF_Vacancy+MF_Concessions+MF_BadDebt)+AW$103*(1-(AW$99/MF_UnitCount)))</f>
        <v/>
      </c>
      <c r="AX105" s="50">
        <f>-(AX$103*(MF_Vacancy+MF_Concessions+MF_BadDebt)+AX$103*(1-(AX$99/MF_UnitCount)))</f>
        <v/>
      </c>
      <c r="AY105" s="50">
        <f>-(AY$103*(MF_Vacancy+MF_Concessions+MF_BadDebt)+AY$103*(1-(AY$99/MF_UnitCount)))</f>
        <v/>
      </c>
      <c r="AZ105" s="50">
        <f>-(AZ$103*(MF_Vacancy+MF_Concessions+MF_BadDebt)+AZ$103*(1-(AZ$99/MF_UnitCount)))</f>
        <v/>
      </c>
      <c r="BA105" s="50">
        <f>-(BA$103*(MF_Vacancy+MF_Concessions+MF_BadDebt)+BA$103*(1-(BA$99/MF_UnitCount)))</f>
        <v/>
      </c>
      <c r="BB105" s="50">
        <f>-(BB$103*(MF_Vacancy+MF_Concessions+MF_BadDebt)+BB$103*(1-(BB$99/MF_UnitCount)))</f>
        <v/>
      </c>
      <c r="BC105" s="50">
        <f>-(BC$103*(MF_Vacancy+MF_Concessions+MF_BadDebt)+BC$103*(1-(BC$99/MF_UnitCount)))</f>
        <v/>
      </c>
      <c r="BD105" s="50">
        <f>-(BD$103*(MF_Vacancy+MF_Concessions+MF_BadDebt)+BD$103*(1-(BD$99/MF_UnitCount)))</f>
        <v/>
      </c>
      <c r="BE105" s="50">
        <f>-(BE$103*(MF_Vacancy+MF_Concessions+MF_BadDebt)+BE$103*(1-(BE$99/MF_UnitCount)))</f>
        <v/>
      </c>
      <c r="BF105" s="50">
        <f>-(BF$103*(MF_Vacancy+MF_Concessions+MF_BadDebt)+BF$103*(1-(BF$99/MF_UnitCount)))</f>
        <v/>
      </c>
      <c r="BG105" s="50">
        <f>-(BG$103*(MF_Vacancy+MF_Concessions+MF_BadDebt)+BG$103*(1-(BG$99/MF_UnitCount)))</f>
        <v/>
      </c>
      <c r="BH105" s="50">
        <f>-(BH$103*(MF_Vacancy+MF_Concessions+MF_BadDebt)+BH$103*(1-(BH$99/MF_UnitCount)))</f>
        <v/>
      </c>
      <c r="BI105" s="50">
        <f>-(BI$103*(MF_Vacancy+MF_Concessions+MF_BadDebt)+BI$103*(1-(BI$99/MF_UnitCount)))</f>
        <v/>
      </c>
      <c r="BJ105" s="50">
        <f>-(BJ$103*(MF_Vacancy+MF_Concessions+MF_BadDebt)+BJ$103*(1-(BJ$99/MF_UnitCount)))</f>
        <v/>
      </c>
      <c r="BK105" s="50">
        <f>-(BK$103*(MF_Vacancy+MF_Concessions+MF_BadDebt)+BK$103*(1-(BK$99/MF_UnitCount)))</f>
        <v/>
      </c>
      <c r="BL105" s="50">
        <f>-(BL$103*(MF_Vacancy+MF_Concessions+MF_BadDebt)+BL$103*(1-(BL$99/MF_UnitCount)))</f>
        <v/>
      </c>
      <c r="BM105" s="50">
        <f>-(BM$103*(MF_Vacancy+MF_Concessions+MF_BadDebt)+BM$103*(1-(BM$99/MF_UnitCount)))</f>
        <v/>
      </c>
      <c r="BN105" s="50">
        <f>-(BN$103*(MF_Vacancy+MF_Concessions+MF_BadDebt)+BN$103*(1-(BN$99/MF_UnitCount)))</f>
        <v/>
      </c>
      <c r="BO105" s="50">
        <f>-(BO$103*(MF_Vacancy+MF_Concessions+MF_BadDebt)+BO$103*(1-(BO$99/MF_UnitCount)))</f>
        <v/>
      </c>
      <c r="BP105" s="50">
        <f>-(BP$103*(MF_Vacancy+MF_Concessions+MF_BadDebt)+BP$103*(1-(BP$99/MF_UnitCount)))</f>
        <v/>
      </c>
      <c r="BQ105" s="50">
        <f>-(BQ$103*(MF_Vacancy+MF_Concessions+MF_BadDebt)+BQ$103*(1-(BQ$99/MF_UnitCount)))</f>
        <v/>
      </c>
      <c r="BR105" s="50">
        <f>-(BR$103*(MF_Vacancy+MF_Concessions+MF_BadDebt)+BR$103*(1-(BR$99/MF_UnitCount)))</f>
        <v/>
      </c>
      <c r="BS105" s="50">
        <f>-(BS$103*(MF_Vacancy+MF_Concessions+MF_BadDebt)+BS$103*(1-(BS$99/MF_UnitCount)))</f>
        <v/>
      </c>
      <c r="BT105" s="50">
        <f>-(BT$103*(MF_Vacancy+MF_Concessions+MF_BadDebt)+BT$103*(1-(BT$99/MF_UnitCount)))</f>
        <v/>
      </c>
      <c r="BU105" s="50">
        <f>-(BU$103*(MF_Vacancy+MF_Concessions+MF_BadDebt)+BU$103*(1-(BU$99/MF_UnitCount)))</f>
        <v/>
      </c>
      <c r="BV105" s="50">
        <f>-(BV$103*(MF_Vacancy+MF_Concessions+MF_BadDebt)+BV$103*(1-(BV$99/MF_UnitCount)))</f>
        <v/>
      </c>
      <c r="BW105" s="50">
        <f>-(BW$103*(MF_Vacancy+MF_Concessions+MF_BadDebt)+BW$103*(1-(BW$99/MF_UnitCount)))</f>
        <v/>
      </c>
      <c r="BX105" s="50">
        <f>-(BX$103*(MF_Vacancy+MF_Concessions+MF_BadDebt)+BX$103*(1-(BX$99/MF_UnitCount)))</f>
        <v/>
      </c>
      <c r="BY105" s="50">
        <f>-(BY$103*(MF_Vacancy+MF_Concessions+MF_BadDebt)+BY$103*(1-(BY$99/MF_UnitCount)))</f>
        <v/>
      </c>
      <c r="BZ105" s="50">
        <f>-(BZ$103*(MF_Vacancy+MF_Concessions+MF_BadDebt)+BZ$103*(1-(BZ$99/MF_UnitCount)))</f>
        <v/>
      </c>
      <c r="CA105" s="50">
        <f>-(CA$103*(MF_Vacancy+MF_Concessions+MF_BadDebt)+CA$103*(1-(CA$99/MF_UnitCount)))</f>
        <v/>
      </c>
      <c r="CB105" s="50">
        <f>-(CB$103*(MF_Vacancy+MF_Concessions+MF_BadDebt)+CB$103*(1-(CB$99/MF_UnitCount)))</f>
        <v/>
      </c>
      <c r="CC105" s="50">
        <f>-(CC$103*(MF_Vacancy+MF_Concessions+MF_BadDebt)+CC$103*(1-(CC$99/MF_UnitCount)))</f>
        <v/>
      </c>
      <c r="CD105" s="50">
        <f>-(CD$103*(MF_Vacancy+MF_Concessions+MF_BadDebt)+CD$103*(1-(CD$99/MF_UnitCount)))</f>
        <v/>
      </c>
      <c r="CE105" s="50">
        <f>-(CE$103*(MF_Vacancy+MF_Concessions+MF_BadDebt)+CE$103*(1-(CE$99/MF_UnitCount)))</f>
        <v/>
      </c>
      <c r="CF105" s="50">
        <f>-(CF$103*(MF_Vacancy+MF_Concessions+MF_BadDebt)+CF$103*(1-(CF$99/MF_UnitCount)))</f>
        <v/>
      </c>
      <c r="CG105" s="50">
        <f>-(CG$103*(MF_Vacancy+MF_Concessions+MF_BadDebt)+CG$103*(1-(CG$99/MF_UnitCount)))</f>
        <v/>
      </c>
      <c r="CH105" s="50">
        <f>-(CH$103*(MF_Vacancy+MF_Concessions+MF_BadDebt)+CH$103*(1-(CH$99/MF_UnitCount)))</f>
        <v/>
      </c>
      <c r="CI105" s="50">
        <f>-(CI$103*(MF_Vacancy+MF_Concessions+MF_BadDebt)+CI$103*(1-(CI$99/MF_UnitCount)))</f>
        <v/>
      </c>
      <c r="CJ105" s="50">
        <f>-(CJ$103*(MF_Vacancy+MF_Concessions+MF_BadDebt)+CJ$103*(1-(CJ$99/MF_UnitCount)))</f>
        <v/>
      </c>
      <c r="CK105" s="50">
        <f>-(CK$103*(MF_Vacancy+MF_Concessions+MF_BadDebt)+CK$103*(1-(CK$99/MF_UnitCount)))</f>
        <v/>
      </c>
      <c r="CL105" s="50">
        <f>-(CL$103*(MF_Vacancy+MF_Concessions+MF_BadDebt)+CL$103*(1-(CL$99/MF_UnitCount)))</f>
        <v/>
      </c>
      <c r="CM105" s="50">
        <f>-(CM$103*(MF_Vacancy+MF_Concessions+MF_BadDebt)+CM$103*(1-(CM$99/MF_UnitCount)))</f>
        <v/>
      </c>
      <c r="CN105" s="50">
        <f>-(CN$103*(MF_Vacancy+MF_Concessions+MF_BadDebt)+CN$103*(1-(CN$99/MF_UnitCount)))</f>
        <v/>
      </c>
      <c r="CO105" s="50">
        <f>-(CO$103*(MF_Vacancy+MF_Concessions+MF_BadDebt)+CO$103*(1-(CO$99/MF_UnitCount)))</f>
        <v/>
      </c>
      <c r="CP105" s="50">
        <f>-(CP$103*(MF_Vacancy+MF_Concessions+MF_BadDebt)+CP$103*(1-(CP$99/MF_UnitCount)))</f>
        <v/>
      </c>
      <c r="CQ105" s="50">
        <f>-(CQ$103*(MF_Vacancy+MF_Concessions+MF_BadDebt)+CQ$103*(1-(CQ$99/MF_UnitCount)))</f>
        <v/>
      </c>
      <c r="CR105" s="50">
        <f>-(CR$103*(MF_Vacancy+MF_Concessions+MF_BadDebt)+CR$103*(1-(CR$99/MF_UnitCount)))</f>
        <v/>
      </c>
      <c r="CS105" s="50">
        <f>-(CS$103*(MF_Vacancy+MF_Concessions+MF_BadDebt)+CS$103*(1-(CS$99/MF_UnitCount)))</f>
        <v/>
      </c>
      <c r="CT105" s="50">
        <f>-(CT$103*(MF_Vacancy+MF_Concessions+MF_BadDebt)+CT$103*(1-(CT$99/MF_UnitCount)))</f>
        <v/>
      </c>
      <c r="CU105" s="50">
        <f>-(CU$103*(MF_Vacancy+MF_Concessions+MF_BadDebt)+CU$103*(1-(CU$99/MF_UnitCount)))</f>
        <v/>
      </c>
      <c r="CV105" s="50">
        <f>-(CV$103*(MF_Vacancy+MF_Concessions+MF_BadDebt)+CV$103*(1-(CV$99/MF_UnitCount)))</f>
        <v/>
      </c>
      <c r="CW105" s="50">
        <f>-(CW$103*(MF_Vacancy+MF_Concessions+MF_BadDebt)+CW$103*(1-(CW$99/MF_UnitCount)))</f>
        <v/>
      </c>
      <c r="CX105" s="50">
        <f>-(CX$103*(MF_Vacancy+MF_Concessions+MF_BadDebt)+CX$103*(1-(CX$99/MF_UnitCount)))</f>
        <v/>
      </c>
      <c r="CY105" s="50">
        <f>-(CY$103*(MF_Vacancy+MF_Concessions+MF_BadDebt)+CY$103*(1-(CY$99/MF_UnitCount)))</f>
        <v/>
      </c>
      <c r="CZ105" s="50">
        <f>-(CZ$103*(MF_Vacancy+MF_Concessions+MF_BadDebt)+CZ$103*(1-(CZ$99/MF_UnitCount)))</f>
        <v/>
      </c>
      <c r="DA105" s="50">
        <f>-(DA$103*(MF_Vacancy+MF_Concessions+MF_BadDebt)+DA$103*(1-(DA$99/MF_UnitCount)))</f>
        <v/>
      </c>
      <c r="DB105" s="50">
        <f>-(DB$103*(MF_Vacancy+MF_Concessions+MF_BadDebt)+DB$103*(1-(DB$99/MF_UnitCount)))</f>
        <v/>
      </c>
      <c r="DC105" s="50">
        <f>-(DC$103*(MF_Vacancy+MF_Concessions+MF_BadDebt)+DC$103*(1-(DC$99/MF_UnitCount)))</f>
        <v/>
      </c>
      <c r="DD105" s="50">
        <f>-(DD$103*(MF_Vacancy+MF_Concessions+MF_BadDebt)+DD$103*(1-(DD$99/MF_UnitCount)))</f>
        <v/>
      </c>
      <c r="DE105" s="50">
        <f>-(DE$103*(MF_Vacancy+MF_Concessions+MF_BadDebt)+DE$103*(1-(DE$99/MF_UnitCount)))</f>
        <v/>
      </c>
      <c r="DF105" s="50">
        <f>-(DF$103*(MF_Vacancy+MF_Concessions+MF_BadDebt)+DF$103*(1-(DF$99/MF_UnitCount)))</f>
        <v/>
      </c>
      <c r="DG105" s="50">
        <f>-(DG$103*(MF_Vacancy+MF_Concessions+MF_BadDebt)+DG$103*(1-(DG$99/MF_UnitCount)))</f>
        <v/>
      </c>
      <c r="DH105" s="50">
        <f>-(DH$103*(MF_Vacancy+MF_Concessions+MF_BadDebt)+DH$103*(1-(DH$99/MF_UnitCount)))</f>
        <v/>
      </c>
      <c r="DI105" s="50">
        <f>-(DI$103*(MF_Vacancy+MF_Concessions+MF_BadDebt)+DI$103*(1-(DI$99/MF_UnitCount)))</f>
        <v/>
      </c>
      <c r="DJ105" s="50">
        <f>-(DJ$103*(MF_Vacancy+MF_Concessions+MF_BadDebt)+DJ$103*(1-(DJ$99/MF_UnitCount)))</f>
        <v/>
      </c>
      <c r="DK105" s="50">
        <f>-(DK$103*(MF_Vacancy+MF_Concessions+MF_BadDebt)+DK$103*(1-(DK$99/MF_UnitCount)))</f>
        <v/>
      </c>
      <c r="DL105" s="50">
        <f>-(DL$103*(MF_Vacancy+MF_Concessions+MF_BadDebt)+DL$103*(1-(DL$99/MF_UnitCount)))</f>
        <v/>
      </c>
      <c r="DM105" s="50">
        <f>-(DM$103*(MF_Vacancy+MF_Concessions+MF_BadDebt)+DM$103*(1-(DM$99/MF_UnitCount)))</f>
        <v/>
      </c>
      <c r="DN105" s="50">
        <f>-(DN$103*(MF_Vacancy+MF_Concessions+MF_BadDebt)+DN$103*(1-(DN$99/MF_UnitCount)))</f>
        <v/>
      </c>
      <c r="DO105" s="50">
        <f>-(DO$103*(MF_Vacancy+MF_Concessions+MF_BadDebt)+DO$103*(1-(DO$99/MF_UnitCount)))</f>
        <v/>
      </c>
      <c r="DP105" s="50">
        <f>-(DP$103*(MF_Vacancy+MF_Concessions+MF_BadDebt)+DP$103*(1-(DP$99/MF_UnitCount)))</f>
        <v/>
      </c>
      <c r="DQ105" s="50">
        <f>-(DQ$103*(MF_Vacancy+MF_Concessions+MF_BadDebt)+DQ$103*(1-(DQ$99/MF_UnitCount)))</f>
        <v/>
      </c>
      <c r="DR105" s="50">
        <f>-(DR$103*(MF_Vacancy+MF_Concessions+MF_BadDebt)+DR$103*(1-(DR$99/MF_UnitCount)))</f>
        <v/>
      </c>
      <c r="DS105" s="50">
        <f>-(DS$103*(MF_Vacancy+MF_Concessions+MF_BadDebt)+DS$103*(1-(DS$99/MF_UnitCount)))</f>
        <v/>
      </c>
      <c r="DT105" s="50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3" t="n">
        <v>45</v>
      </c>
      <c r="E107" s="50">
        <f>$B$107*E$99*INDEX(Cum_OtherInc,1,E$77)*Assumptions!E$74</f>
        <v/>
      </c>
      <c r="F107" s="50">
        <f>$B$107*F$99*INDEX(Cum_OtherInc,1,F$77)*Assumptions!F$74</f>
        <v/>
      </c>
      <c r="G107" s="50">
        <f>$B$107*G$99*INDEX(Cum_OtherInc,1,G$77)*Assumptions!G$74</f>
        <v/>
      </c>
      <c r="H107" s="50">
        <f>$B$107*H$99*INDEX(Cum_OtherInc,1,H$77)*Assumptions!H$74</f>
        <v/>
      </c>
      <c r="I107" s="50">
        <f>$B$107*I$99*INDEX(Cum_OtherInc,1,I$77)*Assumptions!I$74</f>
        <v/>
      </c>
      <c r="J107" s="50">
        <f>$B$107*J$99*INDEX(Cum_OtherInc,1,J$77)*Assumptions!J$74</f>
        <v/>
      </c>
      <c r="K107" s="50">
        <f>$B$107*K$99*INDEX(Cum_OtherInc,1,K$77)*Assumptions!K$74</f>
        <v/>
      </c>
      <c r="L107" s="50">
        <f>$B$107*L$99*INDEX(Cum_OtherInc,1,L$77)*Assumptions!L$74</f>
        <v/>
      </c>
      <c r="M107" s="50">
        <f>$B$107*M$99*INDEX(Cum_OtherInc,1,M$77)*Assumptions!M$74</f>
        <v/>
      </c>
      <c r="N107" s="50">
        <f>$B$107*N$99*INDEX(Cum_OtherInc,1,N$77)*Assumptions!N$74</f>
        <v/>
      </c>
      <c r="O107" s="50">
        <f>$B$107*O$99*INDEX(Cum_OtherInc,1,O$77)*Assumptions!O$74</f>
        <v/>
      </c>
      <c r="P107" s="50">
        <f>$B$107*P$99*INDEX(Cum_OtherInc,1,P$77)*Assumptions!P$74</f>
        <v/>
      </c>
      <c r="Q107" s="50">
        <f>$B$107*Q$99*INDEX(Cum_OtherInc,1,Q$77)*Assumptions!Q$74</f>
        <v/>
      </c>
      <c r="R107" s="50">
        <f>$B$107*R$99*INDEX(Cum_OtherInc,1,R$77)*Assumptions!R$74</f>
        <v/>
      </c>
      <c r="S107" s="50">
        <f>$B$107*S$99*INDEX(Cum_OtherInc,1,S$77)*Assumptions!S$74</f>
        <v/>
      </c>
      <c r="T107" s="50">
        <f>$B$107*T$99*INDEX(Cum_OtherInc,1,T$77)*Assumptions!T$74</f>
        <v/>
      </c>
      <c r="U107" s="50">
        <f>$B$107*U$99*INDEX(Cum_OtherInc,1,U$77)*Assumptions!U$74</f>
        <v/>
      </c>
      <c r="V107" s="50">
        <f>$B$107*V$99*INDEX(Cum_OtherInc,1,V$77)*Assumptions!V$74</f>
        <v/>
      </c>
      <c r="W107" s="50">
        <f>$B$107*W$99*INDEX(Cum_OtherInc,1,W$77)*Assumptions!W$74</f>
        <v/>
      </c>
      <c r="X107" s="50">
        <f>$B$107*X$99*INDEX(Cum_OtherInc,1,X$77)*Assumptions!X$74</f>
        <v/>
      </c>
      <c r="Y107" s="50">
        <f>$B$107*Y$99*INDEX(Cum_OtherInc,1,Y$77)*Assumptions!Y$74</f>
        <v/>
      </c>
      <c r="Z107" s="50">
        <f>$B$107*Z$99*INDEX(Cum_OtherInc,1,Z$77)*Assumptions!Z$74</f>
        <v/>
      </c>
      <c r="AA107" s="50">
        <f>$B$107*AA$99*INDEX(Cum_OtherInc,1,AA$77)*Assumptions!AA$74</f>
        <v/>
      </c>
      <c r="AB107" s="50">
        <f>$B$107*AB$99*INDEX(Cum_OtherInc,1,AB$77)*Assumptions!AB$74</f>
        <v/>
      </c>
      <c r="AC107" s="50">
        <f>$B$107*AC$99*INDEX(Cum_OtherInc,1,AC$77)*Assumptions!AC$74</f>
        <v/>
      </c>
      <c r="AD107" s="50">
        <f>$B$107*AD$99*INDEX(Cum_OtherInc,1,AD$77)*Assumptions!AD$74</f>
        <v/>
      </c>
      <c r="AE107" s="50">
        <f>$B$107*AE$99*INDEX(Cum_OtherInc,1,AE$77)*Assumptions!AE$74</f>
        <v/>
      </c>
      <c r="AF107" s="50">
        <f>$B$107*AF$99*INDEX(Cum_OtherInc,1,AF$77)*Assumptions!AF$74</f>
        <v/>
      </c>
      <c r="AG107" s="50">
        <f>$B$107*AG$99*INDEX(Cum_OtherInc,1,AG$77)*Assumptions!AG$74</f>
        <v/>
      </c>
      <c r="AH107" s="50">
        <f>$B$107*AH$99*INDEX(Cum_OtherInc,1,AH$77)*Assumptions!AH$74</f>
        <v/>
      </c>
      <c r="AI107" s="50">
        <f>$B$107*AI$99*INDEX(Cum_OtherInc,1,AI$77)*Assumptions!AI$74</f>
        <v/>
      </c>
      <c r="AJ107" s="50">
        <f>$B$107*AJ$99*INDEX(Cum_OtherInc,1,AJ$77)*Assumptions!AJ$74</f>
        <v/>
      </c>
      <c r="AK107" s="50">
        <f>$B$107*AK$99*INDEX(Cum_OtherInc,1,AK$77)*Assumptions!AK$74</f>
        <v/>
      </c>
      <c r="AL107" s="50">
        <f>$B$107*AL$99*INDEX(Cum_OtherInc,1,AL$77)*Assumptions!AL$74</f>
        <v/>
      </c>
      <c r="AM107" s="50">
        <f>$B$107*AM$99*INDEX(Cum_OtherInc,1,AM$77)*Assumptions!AM$74</f>
        <v/>
      </c>
      <c r="AN107" s="50">
        <f>$B$107*AN$99*INDEX(Cum_OtherInc,1,AN$77)*Assumptions!AN$74</f>
        <v/>
      </c>
      <c r="AO107" s="50">
        <f>$B$107*AO$99*INDEX(Cum_OtherInc,1,AO$77)*Assumptions!AO$74</f>
        <v/>
      </c>
      <c r="AP107" s="50">
        <f>$B$107*AP$99*INDEX(Cum_OtherInc,1,AP$77)*Assumptions!AP$74</f>
        <v/>
      </c>
      <c r="AQ107" s="50">
        <f>$B$107*AQ$99*INDEX(Cum_OtherInc,1,AQ$77)*Assumptions!AQ$74</f>
        <v/>
      </c>
      <c r="AR107" s="50">
        <f>$B$107*AR$99*INDEX(Cum_OtherInc,1,AR$77)*Assumptions!AR$74</f>
        <v/>
      </c>
      <c r="AS107" s="50">
        <f>$B$107*AS$99*INDEX(Cum_OtherInc,1,AS$77)*Assumptions!AS$74</f>
        <v/>
      </c>
      <c r="AT107" s="50">
        <f>$B$107*AT$99*INDEX(Cum_OtherInc,1,AT$77)*Assumptions!AT$74</f>
        <v/>
      </c>
      <c r="AU107" s="50">
        <f>$B$107*AU$99*INDEX(Cum_OtherInc,1,AU$77)*Assumptions!AU$74</f>
        <v/>
      </c>
      <c r="AV107" s="50">
        <f>$B$107*AV$99*INDEX(Cum_OtherInc,1,AV$77)*Assumptions!AV$74</f>
        <v/>
      </c>
      <c r="AW107" s="50">
        <f>$B$107*AW$99*INDEX(Cum_OtherInc,1,AW$77)*Assumptions!AW$74</f>
        <v/>
      </c>
      <c r="AX107" s="50">
        <f>$B$107*AX$99*INDEX(Cum_OtherInc,1,AX$77)*Assumptions!AX$74</f>
        <v/>
      </c>
      <c r="AY107" s="50">
        <f>$B$107*AY$99*INDEX(Cum_OtherInc,1,AY$77)*Assumptions!AY$74</f>
        <v/>
      </c>
      <c r="AZ107" s="50">
        <f>$B$107*AZ$99*INDEX(Cum_OtherInc,1,AZ$77)*Assumptions!AZ$74</f>
        <v/>
      </c>
      <c r="BA107" s="50">
        <f>$B$107*BA$99*INDEX(Cum_OtherInc,1,BA$77)*Assumptions!BA$74</f>
        <v/>
      </c>
      <c r="BB107" s="50">
        <f>$B$107*BB$99*INDEX(Cum_OtherInc,1,BB$77)*Assumptions!BB$74</f>
        <v/>
      </c>
      <c r="BC107" s="50">
        <f>$B$107*BC$99*INDEX(Cum_OtherInc,1,BC$77)*Assumptions!BC$74</f>
        <v/>
      </c>
      <c r="BD107" s="50">
        <f>$B$107*BD$99*INDEX(Cum_OtherInc,1,BD$77)*Assumptions!BD$74</f>
        <v/>
      </c>
      <c r="BE107" s="50">
        <f>$B$107*BE$99*INDEX(Cum_OtherInc,1,BE$77)*Assumptions!BE$74</f>
        <v/>
      </c>
      <c r="BF107" s="50">
        <f>$B$107*BF$99*INDEX(Cum_OtherInc,1,BF$77)*Assumptions!BF$74</f>
        <v/>
      </c>
      <c r="BG107" s="50">
        <f>$B$107*BG$99*INDEX(Cum_OtherInc,1,BG$77)*Assumptions!BG$74</f>
        <v/>
      </c>
      <c r="BH107" s="50">
        <f>$B$107*BH$99*INDEX(Cum_OtherInc,1,BH$77)*Assumptions!BH$74</f>
        <v/>
      </c>
      <c r="BI107" s="50">
        <f>$B$107*BI$99*INDEX(Cum_OtherInc,1,BI$77)*Assumptions!BI$74</f>
        <v/>
      </c>
      <c r="BJ107" s="50">
        <f>$B$107*BJ$99*INDEX(Cum_OtherInc,1,BJ$77)*Assumptions!BJ$74</f>
        <v/>
      </c>
      <c r="BK107" s="50">
        <f>$B$107*BK$99*INDEX(Cum_OtherInc,1,BK$77)*Assumptions!BK$74</f>
        <v/>
      </c>
      <c r="BL107" s="50">
        <f>$B$107*BL$99*INDEX(Cum_OtherInc,1,BL$77)*Assumptions!BL$74</f>
        <v/>
      </c>
      <c r="BM107" s="50">
        <f>$B$107*BM$99*INDEX(Cum_OtherInc,1,BM$77)*Assumptions!BM$74</f>
        <v/>
      </c>
      <c r="BN107" s="50">
        <f>$B$107*BN$99*INDEX(Cum_OtherInc,1,BN$77)*Assumptions!BN$74</f>
        <v/>
      </c>
      <c r="BO107" s="50">
        <f>$B$107*BO$99*INDEX(Cum_OtherInc,1,BO$77)*Assumptions!BO$74</f>
        <v/>
      </c>
      <c r="BP107" s="50">
        <f>$B$107*BP$99*INDEX(Cum_OtherInc,1,BP$77)*Assumptions!BP$74</f>
        <v/>
      </c>
      <c r="BQ107" s="50">
        <f>$B$107*BQ$99*INDEX(Cum_OtherInc,1,BQ$77)*Assumptions!BQ$74</f>
        <v/>
      </c>
      <c r="BR107" s="50">
        <f>$B$107*BR$99*INDEX(Cum_OtherInc,1,BR$77)*Assumptions!BR$74</f>
        <v/>
      </c>
      <c r="BS107" s="50">
        <f>$B$107*BS$99*INDEX(Cum_OtherInc,1,BS$77)*Assumptions!BS$74</f>
        <v/>
      </c>
      <c r="BT107" s="50">
        <f>$B$107*BT$99*INDEX(Cum_OtherInc,1,BT$77)*Assumptions!BT$74</f>
        <v/>
      </c>
      <c r="BU107" s="50">
        <f>$B$107*BU$99*INDEX(Cum_OtherInc,1,BU$77)*Assumptions!BU$74</f>
        <v/>
      </c>
      <c r="BV107" s="50">
        <f>$B$107*BV$99*INDEX(Cum_OtherInc,1,BV$77)*Assumptions!BV$74</f>
        <v/>
      </c>
      <c r="BW107" s="50">
        <f>$B$107*BW$99*INDEX(Cum_OtherInc,1,BW$77)*Assumptions!BW$74</f>
        <v/>
      </c>
      <c r="BX107" s="50">
        <f>$B$107*BX$99*INDEX(Cum_OtherInc,1,BX$77)*Assumptions!BX$74</f>
        <v/>
      </c>
      <c r="BY107" s="50">
        <f>$B$107*BY$99*INDEX(Cum_OtherInc,1,BY$77)*Assumptions!BY$74</f>
        <v/>
      </c>
      <c r="BZ107" s="50">
        <f>$B$107*BZ$99*INDEX(Cum_OtherInc,1,BZ$77)*Assumptions!BZ$74</f>
        <v/>
      </c>
      <c r="CA107" s="50">
        <f>$B$107*CA$99*INDEX(Cum_OtherInc,1,CA$77)*Assumptions!CA$74</f>
        <v/>
      </c>
      <c r="CB107" s="50">
        <f>$B$107*CB$99*INDEX(Cum_OtherInc,1,CB$77)*Assumptions!CB$74</f>
        <v/>
      </c>
      <c r="CC107" s="50">
        <f>$B$107*CC$99*INDEX(Cum_OtherInc,1,CC$77)*Assumptions!CC$74</f>
        <v/>
      </c>
      <c r="CD107" s="50">
        <f>$B$107*CD$99*INDEX(Cum_OtherInc,1,CD$77)*Assumptions!CD$74</f>
        <v/>
      </c>
      <c r="CE107" s="50">
        <f>$B$107*CE$99*INDEX(Cum_OtherInc,1,CE$77)*Assumptions!CE$74</f>
        <v/>
      </c>
      <c r="CF107" s="50">
        <f>$B$107*CF$99*INDEX(Cum_OtherInc,1,CF$77)*Assumptions!CF$74</f>
        <v/>
      </c>
      <c r="CG107" s="50">
        <f>$B$107*CG$99*INDEX(Cum_OtherInc,1,CG$77)*Assumptions!CG$74</f>
        <v/>
      </c>
      <c r="CH107" s="50">
        <f>$B$107*CH$99*INDEX(Cum_OtherInc,1,CH$77)*Assumptions!CH$74</f>
        <v/>
      </c>
      <c r="CI107" s="50">
        <f>$B$107*CI$99*INDEX(Cum_OtherInc,1,CI$77)*Assumptions!CI$74</f>
        <v/>
      </c>
      <c r="CJ107" s="50">
        <f>$B$107*CJ$99*INDEX(Cum_OtherInc,1,CJ$77)*Assumptions!CJ$74</f>
        <v/>
      </c>
      <c r="CK107" s="50">
        <f>$B$107*CK$99*INDEX(Cum_OtherInc,1,CK$77)*Assumptions!CK$74</f>
        <v/>
      </c>
      <c r="CL107" s="50">
        <f>$B$107*CL$99*INDEX(Cum_OtherInc,1,CL$77)*Assumptions!CL$74</f>
        <v/>
      </c>
      <c r="CM107" s="50">
        <f>$B$107*CM$99*INDEX(Cum_OtherInc,1,CM$77)*Assumptions!CM$74</f>
        <v/>
      </c>
      <c r="CN107" s="50">
        <f>$B$107*CN$99*INDEX(Cum_OtherInc,1,CN$77)*Assumptions!CN$74</f>
        <v/>
      </c>
      <c r="CO107" s="50">
        <f>$B$107*CO$99*INDEX(Cum_OtherInc,1,CO$77)*Assumptions!CO$74</f>
        <v/>
      </c>
      <c r="CP107" s="50">
        <f>$B$107*CP$99*INDEX(Cum_OtherInc,1,CP$77)*Assumptions!CP$74</f>
        <v/>
      </c>
      <c r="CQ107" s="50">
        <f>$B$107*CQ$99*INDEX(Cum_OtherInc,1,CQ$77)*Assumptions!CQ$74</f>
        <v/>
      </c>
      <c r="CR107" s="50">
        <f>$B$107*CR$99*INDEX(Cum_OtherInc,1,CR$77)*Assumptions!CR$74</f>
        <v/>
      </c>
      <c r="CS107" s="50">
        <f>$B$107*CS$99*INDEX(Cum_OtherInc,1,CS$77)*Assumptions!CS$74</f>
        <v/>
      </c>
      <c r="CT107" s="50">
        <f>$B$107*CT$99*INDEX(Cum_OtherInc,1,CT$77)*Assumptions!CT$74</f>
        <v/>
      </c>
      <c r="CU107" s="50">
        <f>$B$107*CU$99*INDEX(Cum_OtherInc,1,CU$77)*Assumptions!CU$74</f>
        <v/>
      </c>
      <c r="CV107" s="50">
        <f>$B$107*CV$99*INDEX(Cum_OtherInc,1,CV$77)*Assumptions!CV$74</f>
        <v/>
      </c>
      <c r="CW107" s="50">
        <f>$B$107*CW$99*INDEX(Cum_OtherInc,1,CW$77)*Assumptions!CW$74</f>
        <v/>
      </c>
      <c r="CX107" s="50">
        <f>$B$107*CX$99*INDEX(Cum_OtherInc,1,CX$77)*Assumptions!CX$74</f>
        <v/>
      </c>
      <c r="CY107" s="50">
        <f>$B$107*CY$99*INDEX(Cum_OtherInc,1,CY$77)*Assumptions!CY$74</f>
        <v/>
      </c>
      <c r="CZ107" s="50">
        <f>$B$107*CZ$99*INDEX(Cum_OtherInc,1,CZ$77)*Assumptions!CZ$74</f>
        <v/>
      </c>
      <c r="DA107" s="50">
        <f>$B$107*DA$99*INDEX(Cum_OtherInc,1,DA$77)*Assumptions!DA$74</f>
        <v/>
      </c>
      <c r="DB107" s="50">
        <f>$B$107*DB$99*INDEX(Cum_OtherInc,1,DB$77)*Assumptions!DB$74</f>
        <v/>
      </c>
      <c r="DC107" s="50">
        <f>$B$107*DC$99*INDEX(Cum_OtherInc,1,DC$77)*Assumptions!DC$74</f>
        <v/>
      </c>
      <c r="DD107" s="50">
        <f>$B$107*DD$99*INDEX(Cum_OtherInc,1,DD$77)*Assumptions!DD$74</f>
        <v/>
      </c>
      <c r="DE107" s="50">
        <f>$B$107*DE$99*INDEX(Cum_OtherInc,1,DE$77)*Assumptions!DE$74</f>
        <v/>
      </c>
      <c r="DF107" s="50">
        <f>$B$107*DF$99*INDEX(Cum_OtherInc,1,DF$77)*Assumptions!DF$74</f>
        <v/>
      </c>
      <c r="DG107" s="50">
        <f>$B$107*DG$99*INDEX(Cum_OtherInc,1,DG$77)*Assumptions!DG$74</f>
        <v/>
      </c>
      <c r="DH107" s="50">
        <f>$B$107*DH$99*INDEX(Cum_OtherInc,1,DH$77)*Assumptions!DH$74</f>
        <v/>
      </c>
      <c r="DI107" s="50">
        <f>$B$107*DI$99*INDEX(Cum_OtherInc,1,DI$77)*Assumptions!DI$74</f>
        <v/>
      </c>
      <c r="DJ107" s="50">
        <f>$B$107*DJ$99*INDEX(Cum_OtherInc,1,DJ$77)*Assumptions!DJ$74</f>
        <v/>
      </c>
      <c r="DK107" s="50">
        <f>$B$107*DK$99*INDEX(Cum_OtherInc,1,DK$77)*Assumptions!DK$74</f>
        <v/>
      </c>
      <c r="DL107" s="50">
        <f>$B$107*DL$99*INDEX(Cum_OtherInc,1,DL$77)*Assumptions!DL$74</f>
        <v/>
      </c>
      <c r="DM107" s="50">
        <f>$B$107*DM$99*INDEX(Cum_OtherInc,1,DM$77)*Assumptions!DM$74</f>
        <v/>
      </c>
      <c r="DN107" s="50">
        <f>$B$107*DN$99*INDEX(Cum_OtherInc,1,DN$77)*Assumptions!DN$74</f>
        <v/>
      </c>
      <c r="DO107" s="50">
        <f>$B$107*DO$99*INDEX(Cum_OtherInc,1,DO$77)*Assumptions!DO$74</f>
        <v/>
      </c>
      <c r="DP107" s="50">
        <f>$B$107*DP$99*INDEX(Cum_OtherInc,1,DP$77)*Assumptions!DP$74</f>
        <v/>
      </c>
      <c r="DQ107" s="50">
        <f>$B$107*DQ$99*INDEX(Cum_OtherInc,1,DQ$77)*Assumptions!DQ$74</f>
        <v/>
      </c>
      <c r="DR107" s="50">
        <f>$B$107*DR$99*INDEX(Cum_OtherInc,1,DR$77)*Assumptions!DR$74</f>
        <v/>
      </c>
      <c r="DS107" s="50">
        <f>$B$107*DS$99*INDEX(Cum_OtherInc,1,DS$77)*Assumptions!DS$74</f>
        <v/>
      </c>
      <c r="DT107" s="50">
        <f>$B$107*DT$99*INDEX(Cum_OtherInc,1,DT$77)*Assumptions!DT$74</f>
        <v/>
      </c>
    </row>
    <row r="108">
      <c r="A108" s="10" t="inlineStr">
        <is>
          <t xml:space="preserve">  Parking</t>
        </is>
      </c>
      <c r="B108" s="53" t="n">
        <v>30</v>
      </c>
      <c r="E108" s="50">
        <f>$B$108*E$99*INDEX(Cum_OtherInc,1,E$77)*Assumptions!E$74</f>
        <v/>
      </c>
      <c r="F108" s="50">
        <f>$B$108*F$99*INDEX(Cum_OtherInc,1,F$77)*Assumptions!F$74</f>
        <v/>
      </c>
      <c r="G108" s="50">
        <f>$B$108*G$99*INDEX(Cum_OtherInc,1,G$77)*Assumptions!G$74</f>
        <v/>
      </c>
      <c r="H108" s="50">
        <f>$B$108*H$99*INDEX(Cum_OtherInc,1,H$77)*Assumptions!H$74</f>
        <v/>
      </c>
      <c r="I108" s="50">
        <f>$B$108*I$99*INDEX(Cum_OtherInc,1,I$77)*Assumptions!I$74</f>
        <v/>
      </c>
      <c r="J108" s="50">
        <f>$B$108*J$99*INDEX(Cum_OtherInc,1,J$77)*Assumptions!J$74</f>
        <v/>
      </c>
      <c r="K108" s="50">
        <f>$B$108*K$99*INDEX(Cum_OtherInc,1,K$77)*Assumptions!K$74</f>
        <v/>
      </c>
      <c r="L108" s="50">
        <f>$B$108*L$99*INDEX(Cum_OtherInc,1,L$77)*Assumptions!L$74</f>
        <v/>
      </c>
      <c r="M108" s="50">
        <f>$B$108*M$99*INDEX(Cum_OtherInc,1,M$77)*Assumptions!M$74</f>
        <v/>
      </c>
      <c r="N108" s="50">
        <f>$B$108*N$99*INDEX(Cum_OtherInc,1,N$77)*Assumptions!N$74</f>
        <v/>
      </c>
      <c r="O108" s="50">
        <f>$B$108*O$99*INDEX(Cum_OtherInc,1,O$77)*Assumptions!O$74</f>
        <v/>
      </c>
      <c r="P108" s="50">
        <f>$B$108*P$99*INDEX(Cum_OtherInc,1,P$77)*Assumptions!P$74</f>
        <v/>
      </c>
      <c r="Q108" s="50">
        <f>$B$108*Q$99*INDEX(Cum_OtherInc,1,Q$77)*Assumptions!Q$74</f>
        <v/>
      </c>
      <c r="R108" s="50">
        <f>$B$108*R$99*INDEX(Cum_OtherInc,1,R$77)*Assumptions!R$74</f>
        <v/>
      </c>
      <c r="S108" s="50">
        <f>$B$108*S$99*INDEX(Cum_OtherInc,1,S$77)*Assumptions!S$74</f>
        <v/>
      </c>
      <c r="T108" s="50">
        <f>$B$108*T$99*INDEX(Cum_OtherInc,1,T$77)*Assumptions!T$74</f>
        <v/>
      </c>
      <c r="U108" s="50">
        <f>$B$108*U$99*INDEX(Cum_OtherInc,1,U$77)*Assumptions!U$74</f>
        <v/>
      </c>
      <c r="V108" s="50">
        <f>$B$108*V$99*INDEX(Cum_OtherInc,1,V$77)*Assumptions!V$74</f>
        <v/>
      </c>
      <c r="W108" s="50">
        <f>$B$108*W$99*INDEX(Cum_OtherInc,1,W$77)*Assumptions!W$74</f>
        <v/>
      </c>
      <c r="X108" s="50">
        <f>$B$108*X$99*INDEX(Cum_OtherInc,1,X$77)*Assumptions!X$74</f>
        <v/>
      </c>
      <c r="Y108" s="50">
        <f>$B$108*Y$99*INDEX(Cum_OtherInc,1,Y$77)*Assumptions!Y$74</f>
        <v/>
      </c>
      <c r="Z108" s="50">
        <f>$B$108*Z$99*INDEX(Cum_OtherInc,1,Z$77)*Assumptions!Z$74</f>
        <v/>
      </c>
      <c r="AA108" s="50">
        <f>$B$108*AA$99*INDEX(Cum_OtherInc,1,AA$77)*Assumptions!AA$74</f>
        <v/>
      </c>
      <c r="AB108" s="50">
        <f>$B$108*AB$99*INDEX(Cum_OtherInc,1,AB$77)*Assumptions!AB$74</f>
        <v/>
      </c>
      <c r="AC108" s="50">
        <f>$B$108*AC$99*INDEX(Cum_OtherInc,1,AC$77)*Assumptions!AC$74</f>
        <v/>
      </c>
      <c r="AD108" s="50">
        <f>$B$108*AD$99*INDEX(Cum_OtherInc,1,AD$77)*Assumptions!AD$74</f>
        <v/>
      </c>
      <c r="AE108" s="50">
        <f>$B$108*AE$99*INDEX(Cum_OtherInc,1,AE$77)*Assumptions!AE$74</f>
        <v/>
      </c>
      <c r="AF108" s="50">
        <f>$B$108*AF$99*INDEX(Cum_OtherInc,1,AF$77)*Assumptions!AF$74</f>
        <v/>
      </c>
      <c r="AG108" s="50">
        <f>$B$108*AG$99*INDEX(Cum_OtherInc,1,AG$77)*Assumptions!AG$74</f>
        <v/>
      </c>
      <c r="AH108" s="50">
        <f>$B$108*AH$99*INDEX(Cum_OtherInc,1,AH$77)*Assumptions!AH$74</f>
        <v/>
      </c>
      <c r="AI108" s="50">
        <f>$B$108*AI$99*INDEX(Cum_OtherInc,1,AI$77)*Assumptions!AI$74</f>
        <v/>
      </c>
      <c r="AJ108" s="50">
        <f>$B$108*AJ$99*INDEX(Cum_OtherInc,1,AJ$77)*Assumptions!AJ$74</f>
        <v/>
      </c>
      <c r="AK108" s="50">
        <f>$B$108*AK$99*INDEX(Cum_OtherInc,1,AK$77)*Assumptions!AK$74</f>
        <v/>
      </c>
      <c r="AL108" s="50">
        <f>$B$108*AL$99*INDEX(Cum_OtherInc,1,AL$77)*Assumptions!AL$74</f>
        <v/>
      </c>
      <c r="AM108" s="50">
        <f>$B$108*AM$99*INDEX(Cum_OtherInc,1,AM$77)*Assumptions!AM$74</f>
        <v/>
      </c>
      <c r="AN108" s="50">
        <f>$B$108*AN$99*INDEX(Cum_OtherInc,1,AN$77)*Assumptions!AN$74</f>
        <v/>
      </c>
      <c r="AO108" s="50">
        <f>$B$108*AO$99*INDEX(Cum_OtherInc,1,AO$77)*Assumptions!AO$74</f>
        <v/>
      </c>
      <c r="AP108" s="50">
        <f>$B$108*AP$99*INDEX(Cum_OtherInc,1,AP$77)*Assumptions!AP$74</f>
        <v/>
      </c>
      <c r="AQ108" s="50">
        <f>$B$108*AQ$99*INDEX(Cum_OtherInc,1,AQ$77)*Assumptions!AQ$74</f>
        <v/>
      </c>
      <c r="AR108" s="50">
        <f>$B$108*AR$99*INDEX(Cum_OtherInc,1,AR$77)*Assumptions!AR$74</f>
        <v/>
      </c>
      <c r="AS108" s="50">
        <f>$B$108*AS$99*INDEX(Cum_OtherInc,1,AS$77)*Assumptions!AS$74</f>
        <v/>
      </c>
      <c r="AT108" s="50">
        <f>$B$108*AT$99*INDEX(Cum_OtherInc,1,AT$77)*Assumptions!AT$74</f>
        <v/>
      </c>
      <c r="AU108" s="50">
        <f>$B$108*AU$99*INDEX(Cum_OtherInc,1,AU$77)*Assumptions!AU$74</f>
        <v/>
      </c>
      <c r="AV108" s="50">
        <f>$B$108*AV$99*INDEX(Cum_OtherInc,1,AV$77)*Assumptions!AV$74</f>
        <v/>
      </c>
      <c r="AW108" s="50">
        <f>$B$108*AW$99*INDEX(Cum_OtherInc,1,AW$77)*Assumptions!AW$74</f>
        <v/>
      </c>
      <c r="AX108" s="50">
        <f>$B$108*AX$99*INDEX(Cum_OtherInc,1,AX$77)*Assumptions!AX$74</f>
        <v/>
      </c>
      <c r="AY108" s="50">
        <f>$B$108*AY$99*INDEX(Cum_OtherInc,1,AY$77)*Assumptions!AY$74</f>
        <v/>
      </c>
      <c r="AZ108" s="50">
        <f>$B$108*AZ$99*INDEX(Cum_OtherInc,1,AZ$77)*Assumptions!AZ$74</f>
        <v/>
      </c>
      <c r="BA108" s="50">
        <f>$B$108*BA$99*INDEX(Cum_OtherInc,1,BA$77)*Assumptions!BA$74</f>
        <v/>
      </c>
      <c r="BB108" s="50">
        <f>$B$108*BB$99*INDEX(Cum_OtherInc,1,BB$77)*Assumptions!BB$74</f>
        <v/>
      </c>
      <c r="BC108" s="50">
        <f>$B$108*BC$99*INDEX(Cum_OtherInc,1,BC$77)*Assumptions!BC$74</f>
        <v/>
      </c>
      <c r="BD108" s="50">
        <f>$B$108*BD$99*INDEX(Cum_OtherInc,1,BD$77)*Assumptions!BD$74</f>
        <v/>
      </c>
      <c r="BE108" s="50">
        <f>$B$108*BE$99*INDEX(Cum_OtherInc,1,BE$77)*Assumptions!BE$74</f>
        <v/>
      </c>
      <c r="BF108" s="50">
        <f>$B$108*BF$99*INDEX(Cum_OtherInc,1,BF$77)*Assumptions!BF$74</f>
        <v/>
      </c>
      <c r="BG108" s="50">
        <f>$B$108*BG$99*INDEX(Cum_OtherInc,1,BG$77)*Assumptions!BG$74</f>
        <v/>
      </c>
      <c r="BH108" s="50">
        <f>$B$108*BH$99*INDEX(Cum_OtherInc,1,BH$77)*Assumptions!BH$74</f>
        <v/>
      </c>
      <c r="BI108" s="50">
        <f>$B$108*BI$99*INDEX(Cum_OtherInc,1,BI$77)*Assumptions!BI$74</f>
        <v/>
      </c>
      <c r="BJ108" s="50">
        <f>$B$108*BJ$99*INDEX(Cum_OtherInc,1,BJ$77)*Assumptions!BJ$74</f>
        <v/>
      </c>
      <c r="BK108" s="50">
        <f>$B$108*BK$99*INDEX(Cum_OtherInc,1,BK$77)*Assumptions!BK$74</f>
        <v/>
      </c>
      <c r="BL108" s="50">
        <f>$B$108*BL$99*INDEX(Cum_OtherInc,1,BL$77)*Assumptions!BL$74</f>
        <v/>
      </c>
      <c r="BM108" s="50">
        <f>$B$108*BM$99*INDEX(Cum_OtherInc,1,BM$77)*Assumptions!BM$74</f>
        <v/>
      </c>
      <c r="BN108" s="50">
        <f>$B$108*BN$99*INDEX(Cum_OtherInc,1,BN$77)*Assumptions!BN$74</f>
        <v/>
      </c>
      <c r="BO108" s="50">
        <f>$B$108*BO$99*INDEX(Cum_OtherInc,1,BO$77)*Assumptions!BO$74</f>
        <v/>
      </c>
      <c r="BP108" s="50">
        <f>$B$108*BP$99*INDEX(Cum_OtherInc,1,BP$77)*Assumptions!BP$74</f>
        <v/>
      </c>
      <c r="BQ108" s="50">
        <f>$B$108*BQ$99*INDEX(Cum_OtherInc,1,BQ$77)*Assumptions!BQ$74</f>
        <v/>
      </c>
      <c r="BR108" s="50">
        <f>$B$108*BR$99*INDEX(Cum_OtherInc,1,BR$77)*Assumptions!BR$74</f>
        <v/>
      </c>
      <c r="BS108" s="50">
        <f>$B$108*BS$99*INDEX(Cum_OtherInc,1,BS$77)*Assumptions!BS$74</f>
        <v/>
      </c>
      <c r="BT108" s="50">
        <f>$B$108*BT$99*INDEX(Cum_OtherInc,1,BT$77)*Assumptions!BT$74</f>
        <v/>
      </c>
      <c r="BU108" s="50">
        <f>$B$108*BU$99*INDEX(Cum_OtherInc,1,BU$77)*Assumptions!BU$74</f>
        <v/>
      </c>
      <c r="BV108" s="50">
        <f>$B$108*BV$99*INDEX(Cum_OtherInc,1,BV$77)*Assumptions!BV$74</f>
        <v/>
      </c>
      <c r="BW108" s="50">
        <f>$B$108*BW$99*INDEX(Cum_OtherInc,1,BW$77)*Assumptions!BW$74</f>
        <v/>
      </c>
      <c r="BX108" s="50">
        <f>$B$108*BX$99*INDEX(Cum_OtherInc,1,BX$77)*Assumptions!BX$74</f>
        <v/>
      </c>
      <c r="BY108" s="50">
        <f>$B$108*BY$99*INDEX(Cum_OtherInc,1,BY$77)*Assumptions!BY$74</f>
        <v/>
      </c>
      <c r="BZ108" s="50">
        <f>$B$108*BZ$99*INDEX(Cum_OtherInc,1,BZ$77)*Assumptions!BZ$74</f>
        <v/>
      </c>
      <c r="CA108" s="50">
        <f>$B$108*CA$99*INDEX(Cum_OtherInc,1,CA$77)*Assumptions!CA$74</f>
        <v/>
      </c>
      <c r="CB108" s="50">
        <f>$B$108*CB$99*INDEX(Cum_OtherInc,1,CB$77)*Assumptions!CB$74</f>
        <v/>
      </c>
      <c r="CC108" s="50">
        <f>$B$108*CC$99*INDEX(Cum_OtherInc,1,CC$77)*Assumptions!CC$74</f>
        <v/>
      </c>
      <c r="CD108" s="50">
        <f>$B$108*CD$99*INDEX(Cum_OtherInc,1,CD$77)*Assumptions!CD$74</f>
        <v/>
      </c>
      <c r="CE108" s="50">
        <f>$B$108*CE$99*INDEX(Cum_OtherInc,1,CE$77)*Assumptions!CE$74</f>
        <v/>
      </c>
      <c r="CF108" s="50">
        <f>$B$108*CF$99*INDEX(Cum_OtherInc,1,CF$77)*Assumptions!CF$74</f>
        <v/>
      </c>
      <c r="CG108" s="50">
        <f>$B$108*CG$99*INDEX(Cum_OtherInc,1,CG$77)*Assumptions!CG$74</f>
        <v/>
      </c>
      <c r="CH108" s="50">
        <f>$B$108*CH$99*INDEX(Cum_OtherInc,1,CH$77)*Assumptions!CH$74</f>
        <v/>
      </c>
      <c r="CI108" s="50">
        <f>$B$108*CI$99*INDEX(Cum_OtherInc,1,CI$77)*Assumptions!CI$74</f>
        <v/>
      </c>
      <c r="CJ108" s="50">
        <f>$B$108*CJ$99*INDEX(Cum_OtherInc,1,CJ$77)*Assumptions!CJ$74</f>
        <v/>
      </c>
      <c r="CK108" s="50">
        <f>$B$108*CK$99*INDEX(Cum_OtherInc,1,CK$77)*Assumptions!CK$74</f>
        <v/>
      </c>
      <c r="CL108" s="50">
        <f>$B$108*CL$99*INDEX(Cum_OtherInc,1,CL$77)*Assumptions!CL$74</f>
        <v/>
      </c>
      <c r="CM108" s="50">
        <f>$B$108*CM$99*INDEX(Cum_OtherInc,1,CM$77)*Assumptions!CM$74</f>
        <v/>
      </c>
      <c r="CN108" s="50">
        <f>$B$108*CN$99*INDEX(Cum_OtherInc,1,CN$77)*Assumptions!CN$74</f>
        <v/>
      </c>
      <c r="CO108" s="50">
        <f>$B$108*CO$99*INDEX(Cum_OtherInc,1,CO$77)*Assumptions!CO$74</f>
        <v/>
      </c>
      <c r="CP108" s="50">
        <f>$B$108*CP$99*INDEX(Cum_OtherInc,1,CP$77)*Assumptions!CP$74</f>
        <v/>
      </c>
      <c r="CQ108" s="50">
        <f>$B$108*CQ$99*INDEX(Cum_OtherInc,1,CQ$77)*Assumptions!CQ$74</f>
        <v/>
      </c>
      <c r="CR108" s="50">
        <f>$B$108*CR$99*INDEX(Cum_OtherInc,1,CR$77)*Assumptions!CR$74</f>
        <v/>
      </c>
      <c r="CS108" s="50">
        <f>$B$108*CS$99*INDEX(Cum_OtherInc,1,CS$77)*Assumptions!CS$74</f>
        <v/>
      </c>
      <c r="CT108" s="50">
        <f>$B$108*CT$99*INDEX(Cum_OtherInc,1,CT$77)*Assumptions!CT$74</f>
        <v/>
      </c>
      <c r="CU108" s="50">
        <f>$B$108*CU$99*INDEX(Cum_OtherInc,1,CU$77)*Assumptions!CU$74</f>
        <v/>
      </c>
      <c r="CV108" s="50">
        <f>$B$108*CV$99*INDEX(Cum_OtherInc,1,CV$77)*Assumptions!CV$74</f>
        <v/>
      </c>
      <c r="CW108" s="50">
        <f>$B$108*CW$99*INDEX(Cum_OtherInc,1,CW$77)*Assumptions!CW$74</f>
        <v/>
      </c>
      <c r="CX108" s="50">
        <f>$B$108*CX$99*INDEX(Cum_OtherInc,1,CX$77)*Assumptions!CX$74</f>
        <v/>
      </c>
      <c r="CY108" s="50">
        <f>$B$108*CY$99*INDEX(Cum_OtherInc,1,CY$77)*Assumptions!CY$74</f>
        <v/>
      </c>
      <c r="CZ108" s="50">
        <f>$B$108*CZ$99*INDEX(Cum_OtherInc,1,CZ$77)*Assumptions!CZ$74</f>
        <v/>
      </c>
      <c r="DA108" s="50">
        <f>$B$108*DA$99*INDEX(Cum_OtherInc,1,DA$77)*Assumptions!DA$74</f>
        <v/>
      </c>
      <c r="DB108" s="50">
        <f>$B$108*DB$99*INDEX(Cum_OtherInc,1,DB$77)*Assumptions!DB$74</f>
        <v/>
      </c>
      <c r="DC108" s="50">
        <f>$B$108*DC$99*INDEX(Cum_OtherInc,1,DC$77)*Assumptions!DC$74</f>
        <v/>
      </c>
      <c r="DD108" s="50">
        <f>$B$108*DD$99*INDEX(Cum_OtherInc,1,DD$77)*Assumptions!DD$74</f>
        <v/>
      </c>
      <c r="DE108" s="50">
        <f>$B$108*DE$99*INDEX(Cum_OtherInc,1,DE$77)*Assumptions!DE$74</f>
        <v/>
      </c>
      <c r="DF108" s="50">
        <f>$B$108*DF$99*INDEX(Cum_OtherInc,1,DF$77)*Assumptions!DF$74</f>
        <v/>
      </c>
      <c r="DG108" s="50">
        <f>$B$108*DG$99*INDEX(Cum_OtherInc,1,DG$77)*Assumptions!DG$74</f>
        <v/>
      </c>
      <c r="DH108" s="50">
        <f>$B$108*DH$99*INDEX(Cum_OtherInc,1,DH$77)*Assumptions!DH$74</f>
        <v/>
      </c>
      <c r="DI108" s="50">
        <f>$B$108*DI$99*INDEX(Cum_OtherInc,1,DI$77)*Assumptions!DI$74</f>
        <v/>
      </c>
      <c r="DJ108" s="50">
        <f>$B$108*DJ$99*INDEX(Cum_OtherInc,1,DJ$77)*Assumptions!DJ$74</f>
        <v/>
      </c>
      <c r="DK108" s="50">
        <f>$B$108*DK$99*INDEX(Cum_OtherInc,1,DK$77)*Assumptions!DK$74</f>
        <v/>
      </c>
      <c r="DL108" s="50">
        <f>$B$108*DL$99*INDEX(Cum_OtherInc,1,DL$77)*Assumptions!DL$74</f>
        <v/>
      </c>
      <c r="DM108" s="50">
        <f>$B$108*DM$99*INDEX(Cum_OtherInc,1,DM$77)*Assumptions!DM$74</f>
        <v/>
      </c>
      <c r="DN108" s="50">
        <f>$B$108*DN$99*INDEX(Cum_OtherInc,1,DN$77)*Assumptions!DN$74</f>
        <v/>
      </c>
      <c r="DO108" s="50">
        <f>$B$108*DO$99*INDEX(Cum_OtherInc,1,DO$77)*Assumptions!DO$74</f>
        <v/>
      </c>
      <c r="DP108" s="50">
        <f>$B$108*DP$99*INDEX(Cum_OtherInc,1,DP$77)*Assumptions!DP$74</f>
        <v/>
      </c>
      <c r="DQ108" s="50">
        <f>$B$108*DQ$99*INDEX(Cum_OtherInc,1,DQ$77)*Assumptions!DQ$74</f>
        <v/>
      </c>
      <c r="DR108" s="50">
        <f>$B$108*DR$99*INDEX(Cum_OtherInc,1,DR$77)*Assumptions!DR$74</f>
        <v/>
      </c>
      <c r="DS108" s="50">
        <f>$B$108*DS$99*INDEX(Cum_OtherInc,1,DS$77)*Assumptions!DS$74</f>
        <v/>
      </c>
      <c r="DT108" s="50">
        <f>$B$108*DT$99*INDEX(Cum_OtherInc,1,DT$77)*Assumptions!DT$74</f>
        <v/>
      </c>
    </row>
    <row r="109">
      <c r="A109" s="10" t="inlineStr">
        <is>
          <t xml:space="preserve">  Storage</t>
        </is>
      </c>
      <c r="B109" s="53" t="n">
        <v>12</v>
      </c>
      <c r="E109" s="50">
        <f>$B$109*E$99*INDEX(Cum_OtherInc,1,E$77)*Assumptions!E$74</f>
        <v/>
      </c>
      <c r="F109" s="50">
        <f>$B$109*F$99*INDEX(Cum_OtherInc,1,F$77)*Assumptions!F$74</f>
        <v/>
      </c>
      <c r="G109" s="50">
        <f>$B$109*G$99*INDEX(Cum_OtherInc,1,G$77)*Assumptions!G$74</f>
        <v/>
      </c>
      <c r="H109" s="50">
        <f>$B$109*H$99*INDEX(Cum_OtherInc,1,H$77)*Assumptions!H$74</f>
        <v/>
      </c>
      <c r="I109" s="50">
        <f>$B$109*I$99*INDEX(Cum_OtherInc,1,I$77)*Assumptions!I$74</f>
        <v/>
      </c>
      <c r="J109" s="50">
        <f>$B$109*J$99*INDEX(Cum_OtherInc,1,J$77)*Assumptions!J$74</f>
        <v/>
      </c>
      <c r="K109" s="50">
        <f>$B$109*K$99*INDEX(Cum_OtherInc,1,K$77)*Assumptions!K$74</f>
        <v/>
      </c>
      <c r="L109" s="50">
        <f>$B$109*L$99*INDEX(Cum_OtherInc,1,L$77)*Assumptions!L$74</f>
        <v/>
      </c>
      <c r="M109" s="50">
        <f>$B$109*M$99*INDEX(Cum_OtherInc,1,M$77)*Assumptions!M$74</f>
        <v/>
      </c>
      <c r="N109" s="50">
        <f>$B$109*N$99*INDEX(Cum_OtherInc,1,N$77)*Assumptions!N$74</f>
        <v/>
      </c>
      <c r="O109" s="50">
        <f>$B$109*O$99*INDEX(Cum_OtherInc,1,O$77)*Assumptions!O$74</f>
        <v/>
      </c>
      <c r="P109" s="50">
        <f>$B$109*P$99*INDEX(Cum_OtherInc,1,P$77)*Assumptions!P$74</f>
        <v/>
      </c>
      <c r="Q109" s="50">
        <f>$B$109*Q$99*INDEX(Cum_OtherInc,1,Q$77)*Assumptions!Q$74</f>
        <v/>
      </c>
      <c r="R109" s="50">
        <f>$B$109*R$99*INDEX(Cum_OtherInc,1,R$77)*Assumptions!R$74</f>
        <v/>
      </c>
      <c r="S109" s="50">
        <f>$B$109*S$99*INDEX(Cum_OtherInc,1,S$77)*Assumptions!S$74</f>
        <v/>
      </c>
      <c r="T109" s="50">
        <f>$B$109*T$99*INDEX(Cum_OtherInc,1,T$77)*Assumptions!T$74</f>
        <v/>
      </c>
      <c r="U109" s="50">
        <f>$B$109*U$99*INDEX(Cum_OtherInc,1,U$77)*Assumptions!U$74</f>
        <v/>
      </c>
      <c r="V109" s="50">
        <f>$B$109*V$99*INDEX(Cum_OtherInc,1,V$77)*Assumptions!V$74</f>
        <v/>
      </c>
      <c r="W109" s="50">
        <f>$B$109*W$99*INDEX(Cum_OtherInc,1,W$77)*Assumptions!W$74</f>
        <v/>
      </c>
      <c r="X109" s="50">
        <f>$B$109*X$99*INDEX(Cum_OtherInc,1,X$77)*Assumptions!X$74</f>
        <v/>
      </c>
      <c r="Y109" s="50">
        <f>$B$109*Y$99*INDEX(Cum_OtherInc,1,Y$77)*Assumptions!Y$74</f>
        <v/>
      </c>
      <c r="Z109" s="50">
        <f>$B$109*Z$99*INDEX(Cum_OtherInc,1,Z$77)*Assumptions!Z$74</f>
        <v/>
      </c>
      <c r="AA109" s="50">
        <f>$B$109*AA$99*INDEX(Cum_OtherInc,1,AA$77)*Assumptions!AA$74</f>
        <v/>
      </c>
      <c r="AB109" s="50">
        <f>$B$109*AB$99*INDEX(Cum_OtherInc,1,AB$77)*Assumptions!AB$74</f>
        <v/>
      </c>
      <c r="AC109" s="50">
        <f>$B$109*AC$99*INDEX(Cum_OtherInc,1,AC$77)*Assumptions!AC$74</f>
        <v/>
      </c>
      <c r="AD109" s="50">
        <f>$B$109*AD$99*INDEX(Cum_OtherInc,1,AD$77)*Assumptions!AD$74</f>
        <v/>
      </c>
      <c r="AE109" s="50">
        <f>$B$109*AE$99*INDEX(Cum_OtherInc,1,AE$77)*Assumptions!AE$74</f>
        <v/>
      </c>
      <c r="AF109" s="50">
        <f>$B$109*AF$99*INDEX(Cum_OtherInc,1,AF$77)*Assumptions!AF$74</f>
        <v/>
      </c>
      <c r="AG109" s="50">
        <f>$B$109*AG$99*INDEX(Cum_OtherInc,1,AG$77)*Assumptions!AG$74</f>
        <v/>
      </c>
      <c r="AH109" s="50">
        <f>$B$109*AH$99*INDEX(Cum_OtherInc,1,AH$77)*Assumptions!AH$74</f>
        <v/>
      </c>
      <c r="AI109" s="50">
        <f>$B$109*AI$99*INDEX(Cum_OtherInc,1,AI$77)*Assumptions!AI$74</f>
        <v/>
      </c>
      <c r="AJ109" s="50">
        <f>$B$109*AJ$99*INDEX(Cum_OtherInc,1,AJ$77)*Assumptions!AJ$74</f>
        <v/>
      </c>
      <c r="AK109" s="50">
        <f>$B$109*AK$99*INDEX(Cum_OtherInc,1,AK$77)*Assumptions!AK$74</f>
        <v/>
      </c>
      <c r="AL109" s="50">
        <f>$B$109*AL$99*INDEX(Cum_OtherInc,1,AL$77)*Assumptions!AL$74</f>
        <v/>
      </c>
      <c r="AM109" s="50">
        <f>$B$109*AM$99*INDEX(Cum_OtherInc,1,AM$77)*Assumptions!AM$74</f>
        <v/>
      </c>
      <c r="AN109" s="50">
        <f>$B$109*AN$99*INDEX(Cum_OtherInc,1,AN$77)*Assumptions!AN$74</f>
        <v/>
      </c>
      <c r="AO109" s="50">
        <f>$B$109*AO$99*INDEX(Cum_OtherInc,1,AO$77)*Assumptions!AO$74</f>
        <v/>
      </c>
      <c r="AP109" s="50">
        <f>$B$109*AP$99*INDEX(Cum_OtherInc,1,AP$77)*Assumptions!AP$74</f>
        <v/>
      </c>
      <c r="AQ109" s="50">
        <f>$B$109*AQ$99*INDEX(Cum_OtherInc,1,AQ$77)*Assumptions!AQ$74</f>
        <v/>
      </c>
      <c r="AR109" s="50">
        <f>$B$109*AR$99*INDEX(Cum_OtherInc,1,AR$77)*Assumptions!AR$74</f>
        <v/>
      </c>
      <c r="AS109" s="50">
        <f>$B$109*AS$99*INDEX(Cum_OtherInc,1,AS$77)*Assumptions!AS$74</f>
        <v/>
      </c>
      <c r="AT109" s="50">
        <f>$B$109*AT$99*INDEX(Cum_OtherInc,1,AT$77)*Assumptions!AT$74</f>
        <v/>
      </c>
      <c r="AU109" s="50">
        <f>$B$109*AU$99*INDEX(Cum_OtherInc,1,AU$77)*Assumptions!AU$74</f>
        <v/>
      </c>
      <c r="AV109" s="50">
        <f>$B$109*AV$99*INDEX(Cum_OtherInc,1,AV$77)*Assumptions!AV$74</f>
        <v/>
      </c>
      <c r="AW109" s="50">
        <f>$B$109*AW$99*INDEX(Cum_OtherInc,1,AW$77)*Assumptions!AW$74</f>
        <v/>
      </c>
      <c r="AX109" s="50">
        <f>$B$109*AX$99*INDEX(Cum_OtherInc,1,AX$77)*Assumptions!AX$74</f>
        <v/>
      </c>
      <c r="AY109" s="50">
        <f>$B$109*AY$99*INDEX(Cum_OtherInc,1,AY$77)*Assumptions!AY$74</f>
        <v/>
      </c>
      <c r="AZ109" s="50">
        <f>$B$109*AZ$99*INDEX(Cum_OtherInc,1,AZ$77)*Assumptions!AZ$74</f>
        <v/>
      </c>
      <c r="BA109" s="50">
        <f>$B$109*BA$99*INDEX(Cum_OtherInc,1,BA$77)*Assumptions!BA$74</f>
        <v/>
      </c>
      <c r="BB109" s="50">
        <f>$B$109*BB$99*INDEX(Cum_OtherInc,1,BB$77)*Assumptions!BB$74</f>
        <v/>
      </c>
      <c r="BC109" s="50">
        <f>$B$109*BC$99*INDEX(Cum_OtherInc,1,BC$77)*Assumptions!BC$74</f>
        <v/>
      </c>
      <c r="BD109" s="50">
        <f>$B$109*BD$99*INDEX(Cum_OtherInc,1,BD$77)*Assumptions!BD$74</f>
        <v/>
      </c>
      <c r="BE109" s="50">
        <f>$B$109*BE$99*INDEX(Cum_OtherInc,1,BE$77)*Assumptions!BE$74</f>
        <v/>
      </c>
      <c r="BF109" s="50">
        <f>$B$109*BF$99*INDEX(Cum_OtherInc,1,BF$77)*Assumptions!BF$74</f>
        <v/>
      </c>
      <c r="BG109" s="50">
        <f>$B$109*BG$99*INDEX(Cum_OtherInc,1,BG$77)*Assumptions!BG$74</f>
        <v/>
      </c>
      <c r="BH109" s="50">
        <f>$B$109*BH$99*INDEX(Cum_OtherInc,1,BH$77)*Assumptions!BH$74</f>
        <v/>
      </c>
      <c r="BI109" s="50">
        <f>$B$109*BI$99*INDEX(Cum_OtherInc,1,BI$77)*Assumptions!BI$74</f>
        <v/>
      </c>
      <c r="BJ109" s="50">
        <f>$B$109*BJ$99*INDEX(Cum_OtherInc,1,BJ$77)*Assumptions!BJ$74</f>
        <v/>
      </c>
      <c r="BK109" s="50">
        <f>$B$109*BK$99*INDEX(Cum_OtherInc,1,BK$77)*Assumptions!BK$74</f>
        <v/>
      </c>
      <c r="BL109" s="50">
        <f>$B$109*BL$99*INDEX(Cum_OtherInc,1,BL$77)*Assumptions!BL$74</f>
        <v/>
      </c>
      <c r="BM109" s="50">
        <f>$B$109*BM$99*INDEX(Cum_OtherInc,1,BM$77)*Assumptions!BM$74</f>
        <v/>
      </c>
      <c r="BN109" s="50">
        <f>$B$109*BN$99*INDEX(Cum_OtherInc,1,BN$77)*Assumptions!BN$74</f>
        <v/>
      </c>
      <c r="BO109" s="50">
        <f>$B$109*BO$99*INDEX(Cum_OtherInc,1,BO$77)*Assumptions!BO$74</f>
        <v/>
      </c>
      <c r="BP109" s="50">
        <f>$B$109*BP$99*INDEX(Cum_OtherInc,1,BP$77)*Assumptions!BP$74</f>
        <v/>
      </c>
      <c r="BQ109" s="50">
        <f>$B$109*BQ$99*INDEX(Cum_OtherInc,1,BQ$77)*Assumptions!BQ$74</f>
        <v/>
      </c>
      <c r="BR109" s="50">
        <f>$B$109*BR$99*INDEX(Cum_OtherInc,1,BR$77)*Assumptions!BR$74</f>
        <v/>
      </c>
      <c r="BS109" s="50">
        <f>$B$109*BS$99*INDEX(Cum_OtherInc,1,BS$77)*Assumptions!BS$74</f>
        <v/>
      </c>
      <c r="BT109" s="50">
        <f>$B$109*BT$99*INDEX(Cum_OtherInc,1,BT$77)*Assumptions!BT$74</f>
        <v/>
      </c>
      <c r="BU109" s="50">
        <f>$B$109*BU$99*INDEX(Cum_OtherInc,1,BU$77)*Assumptions!BU$74</f>
        <v/>
      </c>
      <c r="BV109" s="50">
        <f>$B$109*BV$99*INDEX(Cum_OtherInc,1,BV$77)*Assumptions!BV$74</f>
        <v/>
      </c>
      <c r="BW109" s="50">
        <f>$B$109*BW$99*INDEX(Cum_OtherInc,1,BW$77)*Assumptions!BW$74</f>
        <v/>
      </c>
      <c r="BX109" s="50">
        <f>$B$109*BX$99*INDEX(Cum_OtherInc,1,BX$77)*Assumptions!BX$74</f>
        <v/>
      </c>
      <c r="BY109" s="50">
        <f>$B$109*BY$99*INDEX(Cum_OtherInc,1,BY$77)*Assumptions!BY$74</f>
        <v/>
      </c>
      <c r="BZ109" s="50">
        <f>$B$109*BZ$99*INDEX(Cum_OtherInc,1,BZ$77)*Assumptions!BZ$74</f>
        <v/>
      </c>
      <c r="CA109" s="50">
        <f>$B$109*CA$99*INDEX(Cum_OtherInc,1,CA$77)*Assumptions!CA$74</f>
        <v/>
      </c>
      <c r="CB109" s="50">
        <f>$B$109*CB$99*INDEX(Cum_OtherInc,1,CB$77)*Assumptions!CB$74</f>
        <v/>
      </c>
      <c r="CC109" s="50">
        <f>$B$109*CC$99*INDEX(Cum_OtherInc,1,CC$77)*Assumptions!CC$74</f>
        <v/>
      </c>
      <c r="CD109" s="50">
        <f>$B$109*CD$99*INDEX(Cum_OtherInc,1,CD$77)*Assumptions!CD$74</f>
        <v/>
      </c>
      <c r="CE109" s="50">
        <f>$B$109*CE$99*INDEX(Cum_OtherInc,1,CE$77)*Assumptions!CE$74</f>
        <v/>
      </c>
      <c r="CF109" s="50">
        <f>$B$109*CF$99*INDEX(Cum_OtherInc,1,CF$77)*Assumptions!CF$74</f>
        <v/>
      </c>
      <c r="CG109" s="50">
        <f>$B$109*CG$99*INDEX(Cum_OtherInc,1,CG$77)*Assumptions!CG$74</f>
        <v/>
      </c>
      <c r="CH109" s="50">
        <f>$B$109*CH$99*INDEX(Cum_OtherInc,1,CH$77)*Assumptions!CH$74</f>
        <v/>
      </c>
      <c r="CI109" s="50">
        <f>$B$109*CI$99*INDEX(Cum_OtherInc,1,CI$77)*Assumptions!CI$74</f>
        <v/>
      </c>
      <c r="CJ109" s="50">
        <f>$B$109*CJ$99*INDEX(Cum_OtherInc,1,CJ$77)*Assumptions!CJ$74</f>
        <v/>
      </c>
      <c r="CK109" s="50">
        <f>$B$109*CK$99*INDEX(Cum_OtherInc,1,CK$77)*Assumptions!CK$74</f>
        <v/>
      </c>
      <c r="CL109" s="50">
        <f>$B$109*CL$99*INDEX(Cum_OtherInc,1,CL$77)*Assumptions!CL$74</f>
        <v/>
      </c>
      <c r="CM109" s="50">
        <f>$B$109*CM$99*INDEX(Cum_OtherInc,1,CM$77)*Assumptions!CM$74</f>
        <v/>
      </c>
      <c r="CN109" s="50">
        <f>$B$109*CN$99*INDEX(Cum_OtherInc,1,CN$77)*Assumptions!CN$74</f>
        <v/>
      </c>
      <c r="CO109" s="50">
        <f>$B$109*CO$99*INDEX(Cum_OtherInc,1,CO$77)*Assumptions!CO$74</f>
        <v/>
      </c>
      <c r="CP109" s="50">
        <f>$B$109*CP$99*INDEX(Cum_OtherInc,1,CP$77)*Assumptions!CP$74</f>
        <v/>
      </c>
      <c r="CQ109" s="50">
        <f>$B$109*CQ$99*INDEX(Cum_OtherInc,1,CQ$77)*Assumptions!CQ$74</f>
        <v/>
      </c>
      <c r="CR109" s="50">
        <f>$B$109*CR$99*INDEX(Cum_OtherInc,1,CR$77)*Assumptions!CR$74</f>
        <v/>
      </c>
      <c r="CS109" s="50">
        <f>$B$109*CS$99*INDEX(Cum_OtherInc,1,CS$77)*Assumptions!CS$74</f>
        <v/>
      </c>
      <c r="CT109" s="50">
        <f>$B$109*CT$99*INDEX(Cum_OtherInc,1,CT$77)*Assumptions!CT$74</f>
        <v/>
      </c>
      <c r="CU109" s="50">
        <f>$B$109*CU$99*INDEX(Cum_OtherInc,1,CU$77)*Assumptions!CU$74</f>
        <v/>
      </c>
      <c r="CV109" s="50">
        <f>$B$109*CV$99*INDEX(Cum_OtherInc,1,CV$77)*Assumptions!CV$74</f>
        <v/>
      </c>
      <c r="CW109" s="50">
        <f>$B$109*CW$99*INDEX(Cum_OtherInc,1,CW$77)*Assumptions!CW$74</f>
        <v/>
      </c>
      <c r="CX109" s="50">
        <f>$B$109*CX$99*INDEX(Cum_OtherInc,1,CX$77)*Assumptions!CX$74</f>
        <v/>
      </c>
      <c r="CY109" s="50">
        <f>$B$109*CY$99*INDEX(Cum_OtherInc,1,CY$77)*Assumptions!CY$74</f>
        <v/>
      </c>
      <c r="CZ109" s="50">
        <f>$B$109*CZ$99*INDEX(Cum_OtherInc,1,CZ$77)*Assumptions!CZ$74</f>
        <v/>
      </c>
      <c r="DA109" s="50">
        <f>$B$109*DA$99*INDEX(Cum_OtherInc,1,DA$77)*Assumptions!DA$74</f>
        <v/>
      </c>
      <c r="DB109" s="50">
        <f>$B$109*DB$99*INDEX(Cum_OtherInc,1,DB$77)*Assumptions!DB$74</f>
        <v/>
      </c>
      <c r="DC109" s="50">
        <f>$B$109*DC$99*INDEX(Cum_OtherInc,1,DC$77)*Assumptions!DC$74</f>
        <v/>
      </c>
      <c r="DD109" s="50">
        <f>$B$109*DD$99*INDEX(Cum_OtherInc,1,DD$77)*Assumptions!DD$74</f>
        <v/>
      </c>
      <c r="DE109" s="50">
        <f>$B$109*DE$99*INDEX(Cum_OtherInc,1,DE$77)*Assumptions!DE$74</f>
        <v/>
      </c>
      <c r="DF109" s="50">
        <f>$B$109*DF$99*INDEX(Cum_OtherInc,1,DF$77)*Assumptions!DF$74</f>
        <v/>
      </c>
      <c r="DG109" s="50">
        <f>$B$109*DG$99*INDEX(Cum_OtherInc,1,DG$77)*Assumptions!DG$74</f>
        <v/>
      </c>
      <c r="DH109" s="50">
        <f>$B$109*DH$99*INDEX(Cum_OtherInc,1,DH$77)*Assumptions!DH$74</f>
        <v/>
      </c>
      <c r="DI109" s="50">
        <f>$B$109*DI$99*INDEX(Cum_OtherInc,1,DI$77)*Assumptions!DI$74</f>
        <v/>
      </c>
      <c r="DJ109" s="50">
        <f>$B$109*DJ$99*INDEX(Cum_OtherInc,1,DJ$77)*Assumptions!DJ$74</f>
        <v/>
      </c>
      <c r="DK109" s="50">
        <f>$B$109*DK$99*INDEX(Cum_OtherInc,1,DK$77)*Assumptions!DK$74</f>
        <v/>
      </c>
      <c r="DL109" s="50">
        <f>$B$109*DL$99*INDEX(Cum_OtherInc,1,DL$77)*Assumptions!DL$74</f>
        <v/>
      </c>
      <c r="DM109" s="50">
        <f>$B$109*DM$99*INDEX(Cum_OtherInc,1,DM$77)*Assumptions!DM$74</f>
        <v/>
      </c>
      <c r="DN109" s="50">
        <f>$B$109*DN$99*INDEX(Cum_OtherInc,1,DN$77)*Assumptions!DN$74</f>
        <v/>
      </c>
      <c r="DO109" s="50">
        <f>$B$109*DO$99*INDEX(Cum_OtherInc,1,DO$77)*Assumptions!DO$74</f>
        <v/>
      </c>
      <c r="DP109" s="50">
        <f>$B$109*DP$99*INDEX(Cum_OtherInc,1,DP$77)*Assumptions!DP$74</f>
        <v/>
      </c>
      <c r="DQ109" s="50">
        <f>$B$109*DQ$99*INDEX(Cum_OtherInc,1,DQ$77)*Assumptions!DQ$74</f>
        <v/>
      </c>
      <c r="DR109" s="50">
        <f>$B$109*DR$99*INDEX(Cum_OtherInc,1,DR$77)*Assumptions!DR$74</f>
        <v/>
      </c>
      <c r="DS109" s="50">
        <f>$B$109*DS$99*INDEX(Cum_OtherInc,1,DS$77)*Assumptions!DS$74</f>
        <v/>
      </c>
      <c r="DT109" s="50">
        <f>$B$109*DT$99*INDEX(Cum_OtherInc,1,DT$77)*Assumptions!DT$74</f>
        <v/>
      </c>
    </row>
    <row r="110">
      <c r="A110" s="10" t="inlineStr">
        <is>
          <t xml:space="preserve">  Pet</t>
        </is>
      </c>
      <c r="B110" s="53" t="n">
        <v>8</v>
      </c>
      <c r="E110" s="50">
        <f>$B$110*E$99*INDEX(Cum_OtherInc,1,E$77)*Assumptions!E$74</f>
        <v/>
      </c>
      <c r="F110" s="50">
        <f>$B$110*F$99*INDEX(Cum_OtherInc,1,F$77)*Assumptions!F$74</f>
        <v/>
      </c>
      <c r="G110" s="50">
        <f>$B$110*G$99*INDEX(Cum_OtherInc,1,G$77)*Assumptions!G$74</f>
        <v/>
      </c>
      <c r="H110" s="50">
        <f>$B$110*H$99*INDEX(Cum_OtherInc,1,H$77)*Assumptions!H$74</f>
        <v/>
      </c>
      <c r="I110" s="50">
        <f>$B$110*I$99*INDEX(Cum_OtherInc,1,I$77)*Assumptions!I$74</f>
        <v/>
      </c>
      <c r="J110" s="50">
        <f>$B$110*J$99*INDEX(Cum_OtherInc,1,J$77)*Assumptions!J$74</f>
        <v/>
      </c>
      <c r="K110" s="50">
        <f>$B$110*K$99*INDEX(Cum_OtherInc,1,K$77)*Assumptions!K$74</f>
        <v/>
      </c>
      <c r="L110" s="50">
        <f>$B$110*L$99*INDEX(Cum_OtherInc,1,L$77)*Assumptions!L$74</f>
        <v/>
      </c>
      <c r="M110" s="50">
        <f>$B$110*M$99*INDEX(Cum_OtherInc,1,M$77)*Assumptions!M$74</f>
        <v/>
      </c>
      <c r="N110" s="50">
        <f>$B$110*N$99*INDEX(Cum_OtherInc,1,N$77)*Assumptions!N$74</f>
        <v/>
      </c>
      <c r="O110" s="50">
        <f>$B$110*O$99*INDEX(Cum_OtherInc,1,O$77)*Assumptions!O$74</f>
        <v/>
      </c>
      <c r="P110" s="50">
        <f>$B$110*P$99*INDEX(Cum_OtherInc,1,P$77)*Assumptions!P$74</f>
        <v/>
      </c>
      <c r="Q110" s="50">
        <f>$B$110*Q$99*INDEX(Cum_OtherInc,1,Q$77)*Assumptions!Q$74</f>
        <v/>
      </c>
      <c r="R110" s="50">
        <f>$B$110*R$99*INDEX(Cum_OtherInc,1,R$77)*Assumptions!R$74</f>
        <v/>
      </c>
      <c r="S110" s="50">
        <f>$B$110*S$99*INDEX(Cum_OtherInc,1,S$77)*Assumptions!S$74</f>
        <v/>
      </c>
      <c r="T110" s="50">
        <f>$B$110*T$99*INDEX(Cum_OtherInc,1,T$77)*Assumptions!T$74</f>
        <v/>
      </c>
      <c r="U110" s="50">
        <f>$B$110*U$99*INDEX(Cum_OtherInc,1,U$77)*Assumptions!U$74</f>
        <v/>
      </c>
      <c r="V110" s="50">
        <f>$B$110*V$99*INDEX(Cum_OtherInc,1,V$77)*Assumptions!V$74</f>
        <v/>
      </c>
      <c r="W110" s="50">
        <f>$B$110*W$99*INDEX(Cum_OtherInc,1,W$77)*Assumptions!W$74</f>
        <v/>
      </c>
      <c r="X110" s="50">
        <f>$B$110*X$99*INDEX(Cum_OtherInc,1,X$77)*Assumptions!X$74</f>
        <v/>
      </c>
      <c r="Y110" s="50">
        <f>$B$110*Y$99*INDEX(Cum_OtherInc,1,Y$77)*Assumptions!Y$74</f>
        <v/>
      </c>
      <c r="Z110" s="50">
        <f>$B$110*Z$99*INDEX(Cum_OtherInc,1,Z$77)*Assumptions!Z$74</f>
        <v/>
      </c>
      <c r="AA110" s="50">
        <f>$B$110*AA$99*INDEX(Cum_OtherInc,1,AA$77)*Assumptions!AA$74</f>
        <v/>
      </c>
      <c r="AB110" s="50">
        <f>$B$110*AB$99*INDEX(Cum_OtherInc,1,AB$77)*Assumptions!AB$74</f>
        <v/>
      </c>
      <c r="AC110" s="50">
        <f>$B$110*AC$99*INDEX(Cum_OtherInc,1,AC$77)*Assumptions!AC$74</f>
        <v/>
      </c>
      <c r="AD110" s="50">
        <f>$B$110*AD$99*INDEX(Cum_OtherInc,1,AD$77)*Assumptions!AD$74</f>
        <v/>
      </c>
      <c r="AE110" s="50">
        <f>$B$110*AE$99*INDEX(Cum_OtherInc,1,AE$77)*Assumptions!AE$74</f>
        <v/>
      </c>
      <c r="AF110" s="50">
        <f>$B$110*AF$99*INDEX(Cum_OtherInc,1,AF$77)*Assumptions!AF$74</f>
        <v/>
      </c>
      <c r="AG110" s="50">
        <f>$B$110*AG$99*INDEX(Cum_OtherInc,1,AG$77)*Assumptions!AG$74</f>
        <v/>
      </c>
      <c r="AH110" s="50">
        <f>$B$110*AH$99*INDEX(Cum_OtherInc,1,AH$77)*Assumptions!AH$74</f>
        <v/>
      </c>
      <c r="AI110" s="50">
        <f>$B$110*AI$99*INDEX(Cum_OtherInc,1,AI$77)*Assumptions!AI$74</f>
        <v/>
      </c>
      <c r="AJ110" s="50">
        <f>$B$110*AJ$99*INDEX(Cum_OtherInc,1,AJ$77)*Assumptions!AJ$74</f>
        <v/>
      </c>
      <c r="AK110" s="50">
        <f>$B$110*AK$99*INDEX(Cum_OtherInc,1,AK$77)*Assumptions!AK$74</f>
        <v/>
      </c>
      <c r="AL110" s="50">
        <f>$B$110*AL$99*INDEX(Cum_OtherInc,1,AL$77)*Assumptions!AL$74</f>
        <v/>
      </c>
      <c r="AM110" s="50">
        <f>$B$110*AM$99*INDEX(Cum_OtherInc,1,AM$77)*Assumptions!AM$74</f>
        <v/>
      </c>
      <c r="AN110" s="50">
        <f>$B$110*AN$99*INDEX(Cum_OtherInc,1,AN$77)*Assumptions!AN$74</f>
        <v/>
      </c>
      <c r="AO110" s="50">
        <f>$B$110*AO$99*INDEX(Cum_OtherInc,1,AO$77)*Assumptions!AO$74</f>
        <v/>
      </c>
      <c r="AP110" s="50">
        <f>$B$110*AP$99*INDEX(Cum_OtherInc,1,AP$77)*Assumptions!AP$74</f>
        <v/>
      </c>
      <c r="AQ110" s="50">
        <f>$B$110*AQ$99*INDEX(Cum_OtherInc,1,AQ$77)*Assumptions!AQ$74</f>
        <v/>
      </c>
      <c r="AR110" s="50">
        <f>$B$110*AR$99*INDEX(Cum_OtherInc,1,AR$77)*Assumptions!AR$74</f>
        <v/>
      </c>
      <c r="AS110" s="50">
        <f>$B$110*AS$99*INDEX(Cum_OtherInc,1,AS$77)*Assumptions!AS$74</f>
        <v/>
      </c>
      <c r="AT110" s="50">
        <f>$B$110*AT$99*INDEX(Cum_OtherInc,1,AT$77)*Assumptions!AT$74</f>
        <v/>
      </c>
      <c r="AU110" s="50">
        <f>$B$110*AU$99*INDEX(Cum_OtherInc,1,AU$77)*Assumptions!AU$74</f>
        <v/>
      </c>
      <c r="AV110" s="50">
        <f>$B$110*AV$99*INDEX(Cum_OtherInc,1,AV$77)*Assumptions!AV$74</f>
        <v/>
      </c>
      <c r="AW110" s="50">
        <f>$B$110*AW$99*INDEX(Cum_OtherInc,1,AW$77)*Assumptions!AW$74</f>
        <v/>
      </c>
      <c r="AX110" s="50">
        <f>$B$110*AX$99*INDEX(Cum_OtherInc,1,AX$77)*Assumptions!AX$74</f>
        <v/>
      </c>
      <c r="AY110" s="50">
        <f>$B$110*AY$99*INDEX(Cum_OtherInc,1,AY$77)*Assumptions!AY$74</f>
        <v/>
      </c>
      <c r="AZ110" s="50">
        <f>$B$110*AZ$99*INDEX(Cum_OtherInc,1,AZ$77)*Assumptions!AZ$74</f>
        <v/>
      </c>
      <c r="BA110" s="50">
        <f>$B$110*BA$99*INDEX(Cum_OtherInc,1,BA$77)*Assumptions!BA$74</f>
        <v/>
      </c>
      <c r="BB110" s="50">
        <f>$B$110*BB$99*INDEX(Cum_OtherInc,1,BB$77)*Assumptions!BB$74</f>
        <v/>
      </c>
      <c r="BC110" s="50">
        <f>$B$110*BC$99*INDEX(Cum_OtherInc,1,BC$77)*Assumptions!BC$74</f>
        <v/>
      </c>
      <c r="BD110" s="50">
        <f>$B$110*BD$99*INDEX(Cum_OtherInc,1,BD$77)*Assumptions!BD$74</f>
        <v/>
      </c>
      <c r="BE110" s="50">
        <f>$B$110*BE$99*INDEX(Cum_OtherInc,1,BE$77)*Assumptions!BE$74</f>
        <v/>
      </c>
      <c r="BF110" s="50">
        <f>$B$110*BF$99*INDEX(Cum_OtherInc,1,BF$77)*Assumptions!BF$74</f>
        <v/>
      </c>
      <c r="BG110" s="50">
        <f>$B$110*BG$99*INDEX(Cum_OtherInc,1,BG$77)*Assumptions!BG$74</f>
        <v/>
      </c>
      <c r="BH110" s="50">
        <f>$B$110*BH$99*INDEX(Cum_OtherInc,1,BH$77)*Assumptions!BH$74</f>
        <v/>
      </c>
      <c r="BI110" s="50">
        <f>$B$110*BI$99*INDEX(Cum_OtherInc,1,BI$77)*Assumptions!BI$74</f>
        <v/>
      </c>
      <c r="BJ110" s="50">
        <f>$B$110*BJ$99*INDEX(Cum_OtherInc,1,BJ$77)*Assumptions!BJ$74</f>
        <v/>
      </c>
      <c r="BK110" s="50">
        <f>$B$110*BK$99*INDEX(Cum_OtherInc,1,BK$77)*Assumptions!BK$74</f>
        <v/>
      </c>
      <c r="BL110" s="50">
        <f>$B$110*BL$99*INDEX(Cum_OtherInc,1,BL$77)*Assumptions!BL$74</f>
        <v/>
      </c>
      <c r="BM110" s="50">
        <f>$B$110*BM$99*INDEX(Cum_OtherInc,1,BM$77)*Assumptions!BM$74</f>
        <v/>
      </c>
      <c r="BN110" s="50">
        <f>$B$110*BN$99*INDEX(Cum_OtherInc,1,BN$77)*Assumptions!BN$74</f>
        <v/>
      </c>
      <c r="BO110" s="50">
        <f>$B$110*BO$99*INDEX(Cum_OtherInc,1,BO$77)*Assumptions!BO$74</f>
        <v/>
      </c>
      <c r="BP110" s="50">
        <f>$B$110*BP$99*INDEX(Cum_OtherInc,1,BP$77)*Assumptions!BP$74</f>
        <v/>
      </c>
      <c r="BQ110" s="50">
        <f>$B$110*BQ$99*INDEX(Cum_OtherInc,1,BQ$77)*Assumptions!BQ$74</f>
        <v/>
      </c>
      <c r="BR110" s="50">
        <f>$B$110*BR$99*INDEX(Cum_OtherInc,1,BR$77)*Assumptions!BR$74</f>
        <v/>
      </c>
      <c r="BS110" s="50">
        <f>$B$110*BS$99*INDEX(Cum_OtherInc,1,BS$77)*Assumptions!BS$74</f>
        <v/>
      </c>
      <c r="BT110" s="50">
        <f>$B$110*BT$99*INDEX(Cum_OtherInc,1,BT$77)*Assumptions!BT$74</f>
        <v/>
      </c>
      <c r="BU110" s="50">
        <f>$B$110*BU$99*INDEX(Cum_OtherInc,1,BU$77)*Assumptions!BU$74</f>
        <v/>
      </c>
      <c r="BV110" s="50">
        <f>$B$110*BV$99*INDEX(Cum_OtherInc,1,BV$77)*Assumptions!BV$74</f>
        <v/>
      </c>
      <c r="BW110" s="50">
        <f>$B$110*BW$99*INDEX(Cum_OtherInc,1,BW$77)*Assumptions!BW$74</f>
        <v/>
      </c>
      <c r="BX110" s="50">
        <f>$B$110*BX$99*INDEX(Cum_OtherInc,1,BX$77)*Assumptions!BX$74</f>
        <v/>
      </c>
      <c r="BY110" s="50">
        <f>$B$110*BY$99*INDEX(Cum_OtherInc,1,BY$77)*Assumptions!BY$74</f>
        <v/>
      </c>
      <c r="BZ110" s="50">
        <f>$B$110*BZ$99*INDEX(Cum_OtherInc,1,BZ$77)*Assumptions!BZ$74</f>
        <v/>
      </c>
      <c r="CA110" s="50">
        <f>$B$110*CA$99*INDEX(Cum_OtherInc,1,CA$77)*Assumptions!CA$74</f>
        <v/>
      </c>
      <c r="CB110" s="50">
        <f>$B$110*CB$99*INDEX(Cum_OtherInc,1,CB$77)*Assumptions!CB$74</f>
        <v/>
      </c>
      <c r="CC110" s="50">
        <f>$B$110*CC$99*INDEX(Cum_OtherInc,1,CC$77)*Assumptions!CC$74</f>
        <v/>
      </c>
      <c r="CD110" s="50">
        <f>$B$110*CD$99*INDEX(Cum_OtherInc,1,CD$77)*Assumptions!CD$74</f>
        <v/>
      </c>
      <c r="CE110" s="50">
        <f>$B$110*CE$99*INDEX(Cum_OtherInc,1,CE$77)*Assumptions!CE$74</f>
        <v/>
      </c>
      <c r="CF110" s="50">
        <f>$B$110*CF$99*INDEX(Cum_OtherInc,1,CF$77)*Assumptions!CF$74</f>
        <v/>
      </c>
      <c r="CG110" s="50">
        <f>$B$110*CG$99*INDEX(Cum_OtherInc,1,CG$77)*Assumptions!CG$74</f>
        <v/>
      </c>
      <c r="CH110" s="50">
        <f>$B$110*CH$99*INDEX(Cum_OtherInc,1,CH$77)*Assumptions!CH$74</f>
        <v/>
      </c>
      <c r="CI110" s="50">
        <f>$B$110*CI$99*INDEX(Cum_OtherInc,1,CI$77)*Assumptions!CI$74</f>
        <v/>
      </c>
      <c r="CJ110" s="50">
        <f>$B$110*CJ$99*INDEX(Cum_OtherInc,1,CJ$77)*Assumptions!CJ$74</f>
        <v/>
      </c>
      <c r="CK110" s="50">
        <f>$B$110*CK$99*INDEX(Cum_OtherInc,1,CK$77)*Assumptions!CK$74</f>
        <v/>
      </c>
      <c r="CL110" s="50">
        <f>$B$110*CL$99*INDEX(Cum_OtherInc,1,CL$77)*Assumptions!CL$74</f>
        <v/>
      </c>
      <c r="CM110" s="50">
        <f>$B$110*CM$99*INDEX(Cum_OtherInc,1,CM$77)*Assumptions!CM$74</f>
        <v/>
      </c>
      <c r="CN110" s="50">
        <f>$B$110*CN$99*INDEX(Cum_OtherInc,1,CN$77)*Assumptions!CN$74</f>
        <v/>
      </c>
      <c r="CO110" s="50">
        <f>$B$110*CO$99*INDEX(Cum_OtherInc,1,CO$77)*Assumptions!CO$74</f>
        <v/>
      </c>
      <c r="CP110" s="50">
        <f>$B$110*CP$99*INDEX(Cum_OtherInc,1,CP$77)*Assumptions!CP$74</f>
        <v/>
      </c>
      <c r="CQ110" s="50">
        <f>$B$110*CQ$99*INDEX(Cum_OtherInc,1,CQ$77)*Assumptions!CQ$74</f>
        <v/>
      </c>
      <c r="CR110" s="50">
        <f>$B$110*CR$99*INDEX(Cum_OtherInc,1,CR$77)*Assumptions!CR$74</f>
        <v/>
      </c>
      <c r="CS110" s="50">
        <f>$B$110*CS$99*INDEX(Cum_OtherInc,1,CS$77)*Assumptions!CS$74</f>
        <v/>
      </c>
      <c r="CT110" s="50">
        <f>$B$110*CT$99*INDEX(Cum_OtherInc,1,CT$77)*Assumptions!CT$74</f>
        <v/>
      </c>
      <c r="CU110" s="50">
        <f>$B$110*CU$99*INDEX(Cum_OtherInc,1,CU$77)*Assumptions!CU$74</f>
        <v/>
      </c>
      <c r="CV110" s="50">
        <f>$B$110*CV$99*INDEX(Cum_OtherInc,1,CV$77)*Assumptions!CV$74</f>
        <v/>
      </c>
      <c r="CW110" s="50">
        <f>$B$110*CW$99*INDEX(Cum_OtherInc,1,CW$77)*Assumptions!CW$74</f>
        <v/>
      </c>
      <c r="CX110" s="50">
        <f>$B$110*CX$99*INDEX(Cum_OtherInc,1,CX$77)*Assumptions!CX$74</f>
        <v/>
      </c>
      <c r="CY110" s="50">
        <f>$B$110*CY$99*INDEX(Cum_OtherInc,1,CY$77)*Assumptions!CY$74</f>
        <v/>
      </c>
      <c r="CZ110" s="50">
        <f>$B$110*CZ$99*INDEX(Cum_OtherInc,1,CZ$77)*Assumptions!CZ$74</f>
        <v/>
      </c>
      <c r="DA110" s="50">
        <f>$B$110*DA$99*INDEX(Cum_OtherInc,1,DA$77)*Assumptions!DA$74</f>
        <v/>
      </c>
      <c r="DB110" s="50">
        <f>$B$110*DB$99*INDEX(Cum_OtherInc,1,DB$77)*Assumptions!DB$74</f>
        <v/>
      </c>
      <c r="DC110" s="50">
        <f>$B$110*DC$99*INDEX(Cum_OtherInc,1,DC$77)*Assumptions!DC$74</f>
        <v/>
      </c>
      <c r="DD110" s="50">
        <f>$B$110*DD$99*INDEX(Cum_OtherInc,1,DD$77)*Assumptions!DD$74</f>
        <v/>
      </c>
      <c r="DE110" s="50">
        <f>$B$110*DE$99*INDEX(Cum_OtherInc,1,DE$77)*Assumptions!DE$74</f>
        <v/>
      </c>
      <c r="DF110" s="50">
        <f>$B$110*DF$99*INDEX(Cum_OtherInc,1,DF$77)*Assumptions!DF$74</f>
        <v/>
      </c>
      <c r="DG110" s="50">
        <f>$B$110*DG$99*INDEX(Cum_OtherInc,1,DG$77)*Assumptions!DG$74</f>
        <v/>
      </c>
      <c r="DH110" s="50">
        <f>$B$110*DH$99*INDEX(Cum_OtherInc,1,DH$77)*Assumptions!DH$74</f>
        <v/>
      </c>
      <c r="DI110" s="50">
        <f>$B$110*DI$99*INDEX(Cum_OtherInc,1,DI$77)*Assumptions!DI$74</f>
        <v/>
      </c>
      <c r="DJ110" s="50">
        <f>$B$110*DJ$99*INDEX(Cum_OtherInc,1,DJ$77)*Assumptions!DJ$74</f>
        <v/>
      </c>
      <c r="DK110" s="50">
        <f>$B$110*DK$99*INDEX(Cum_OtherInc,1,DK$77)*Assumptions!DK$74</f>
        <v/>
      </c>
      <c r="DL110" s="50">
        <f>$B$110*DL$99*INDEX(Cum_OtherInc,1,DL$77)*Assumptions!DL$74</f>
        <v/>
      </c>
      <c r="DM110" s="50">
        <f>$B$110*DM$99*INDEX(Cum_OtherInc,1,DM$77)*Assumptions!DM$74</f>
        <v/>
      </c>
      <c r="DN110" s="50">
        <f>$B$110*DN$99*INDEX(Cum_OtherInc,1,DN$77)*Assumptions!DN$74</f>
        <v/>
      </c>
      <c r="DO110" s="50">
        <f>$B$110*DO$99*INDEX(Cum_OtherInc,1,DO$77)*Assumptions!DO$74</f>
        <v/>
      </c>
      <c r="DP110" s="50">
        <f>$B$110*DP$99*INDEX(Cum_OtherInc,1,DP$77)*Assumptions!DP$74</f>
        <v/>
      </c>
      <c r="DQ110" s="50">
        <f>$B$110*DQ$99*INDEX(Cum_OtherInc,1,DQ$77)*Assumptions!DQ$74</f>
        <v/>
      </c>
      <c r="DR110" s="50">
        <f>$B$110*DR$99*INDEX(Cum_OtherInc,1,DR$77)*Assumptions!DR$74</f>
        <v/>
      </c>
      <c r="DS110" s="50">
        <f>$B$110*DS$99*INDEX(Cum_OtherInc,1,DS$77)*Assumptions!DS$74</f>
        <v/>
      </c>
      <c r="DT110" s="50">
        <f>$B$110*DT$99*INDEX(Cum_OtherInc,1,DT$77)*Assumptions!DT$74</f>
        <v/>
      </c>
    </row>
    <row r="111">
      <c r="A111" s="10" t="inlineStr">
        <is>
          <t xml:space="preserve">  Application / admin fees</t>
        </is>
      </c>
      <c r="B111" s="53" t="n">
        <v>5</v>
      </c>
      <c r="E111" s="50">
        <f>$B$111*E$99*INDEX(Cum_OtherInc,1,E$77)*Assumptions!E$74</f>
        <v/>
      </c>
      <c r="F111" s="50">
        <f>$B$111*F$99*INDEX(Cum_OtherInc,1,F$77)*Assumptions!F$74</f>
        <v/>
      </c>
      <c r="G111" s="50">
        <f>$B$111*G$99*INDEX(Cum_OtherInc,1,G$77)*Assumptions!G$74</f>
        <v/>
      </c>
      <c r="H111" s="50">
        <f>$B$111*H$99*INDEX(Cum_OtherInc,1,H$77)*Assumptions!H$74</f>
        <v/>
      </c>
      <c r="I111" s="50">
        <f>$B$111*I$99*INDEX(Cum_OtherInc,1,I$77)*Assumptions!I$74</f>
        <v/>
      </c>
      <c r="J111" s="50">
        <f>$B$111*J$99*INDEX(Cum_OtherInc,1,J$77)*Assumptions!J$74</f>
        <v/>
      </c>
      <c r="K111" s="50">
        <f>$B$111*K$99*INDEX(Cum_OtherInc,1,K$77)*Assumptions!K$74</f>
        <v/>
      </c>
      <c r="L111" s="50">
        <f>$B$111*L$99*INDEX(Cum_OtherInc,1,L$77)*Assumptions!L$74</f>
        <v/>
      </c>
      <c r="M111" s="50">
        <f>$B$111*M$99*INDEX(Cum_OtherInc,1,M$77)*Assumptions!M$74</f>
        <v/>
      </c>
      <c r="N111" s="50">
        <f>$B$111*N$99*INDEX(Cum_OtherInc,1,N$77)*Assumptions!N$74</f>
        <v/>
      </c>
      <c r="O111" s="50">
        <f>$B$111*O$99*INDEX(Cum_OtherInc,1,O$77)*Assumptions!O$74</f>
        <v/>
      </c>
      <c r="P111" s="50">
        <f>$B$111*P$99*INDEX(Cum_OtherInc,1,P$77)*Assumptions!P$74</f>
        <v/>
      </c>
      <c r="Q111" s="50">
        <f>$B$111*Q$99*INDEX(Cum_OtherInc,1,Q$77)*Assumptions!Q$74</f>
        <v/>
      </c>
      <c r="R111" s="50">
        <f>$B$111*R$99*INDEX(Cum_OtherInc,1,R$77)*Assumptions!R$74</f>
        <v/>
      </c>
      <c r="S111" s="50">
        <f>$B$111*S$99*INDEX(Cum_OtherInc,1,S$77)*Assumptions!S$74</f>
        <v/>
      </c>
      <c r="T111" s="50">
        <f>$B$111*T$99*INDEX(Cum_OtherInc,1,T$77)*Assumptions!T$74</f>
        <v/>
      </c>
      <c r="U111" s="50">
        <f>$B$111*U$99*INDEX(Cum_OtherInc,1,U$77)*Assumptions!U$74</f>
        <v/>
      </c>
      <c r="V111" s="50">
        <f>$B$111*V$99*INDEX(Cum_OtherInc,1,V$77)*Assumptions!V$74</f>
        <v/>
      </c>
      <c r="W111" s="50">
        <f>$B$111*W$99*INDEX(Cum_OtherInc,1,W$77)*Assumptions!W$74</f>
        <v/>
      </c>
      <c r="X111" s="50">
        <f>$B$111*X$99*INDEX(Cum_OtherInc,1,X$77)*Assumptions!X$74</f>
        <v/>
      </c>
      <c r="Y111" s="50">
        <f>$B$111*Y$99*INDEX(Cum_OtherInc,1,Y$77)*Assumptions!Y$74</f>
        <v/>
      </c>
      <c r="Z111" s="50">
        <f>$B$111*Z$99*INDEX(Cum_OtherInc,1,Z$77)*Assumptions!Z$74</f>
        <v/>
      </c>
      <c r="AA111" s="50">
        <f>$B$111*AA$99*INDEX(Cum_OtherInc,1,AA$77)*Assumptions!AA$74</f>
        <v/>
      </c>
      <c r="AB111" s="50">
        <f>$B$111*AB$99*INDEX(Cum_OtherInc,1,AB$77)*Assumptions!AB$74</f>
        <v/>
      </c>
      <c r="AC111" s="50">
        <f>$B$111*AC$99*INDEX(Cum_OtherInc,1,AC$77)*Assumptions!AC$74</f>
        <v/>
      </c>
      <c r="AD111" s="50">
        <f>$B$111*AD$99*INDEX(Cum_OtherInc,1,AD$77)*Assumptions!AD$74</f>
        <v/>
      </c>
      <c r="AE111" s="50">
        <f>$B$111*AE$99*INDEX(Cum_OtherInc,1,AE$77)*Assumptions!AE$74</f>
        <v/>
      </c>
      <c r="AF111" s="50">
        <f>$B$111*AF$99*INDEX(Cum_OtherInc,1,AF$77)*Assumptions!AF$74</f>
        <v/>
      </c>
      <c r="AG111" s="50">
        <f>$B$111*AG$99*INDEX(Cum_OtherInc,1,AG$77)*Assumptions!AG$74</f>
        <v/>
      </c>
      <c r="AH111" s="50">
        <f>$B$111*AH$99*INDEX(Cum_OtherInc,1,AH$77)*Assumptions!AH$74</f>
        <v/>
      </c>
      <c r="AI111" s="50">
        <f>$B$111*AI$99*INDEX(Cum_OtherInc,1,AI$77)*Assumptions!AI$74</f>
        <v/>
      </c>
      <c r="AJ111" s="50">
        <f>$B$111*AJ$99*INDEX(Cum_OtherInc,1,AJ$77)*Assumptions!AJ$74</f>
        <v/>
      </c>
      <c r="AK111" s="50">
        <f>$B$111*AK$99*INDEX(Cum_OtherInc,1,AK$77)*Assumptions!AK$74</f>
        <v/>
      </c>
      <c r="AL111" s="50">
        <f>$B$111*AL$99*INDEX(Cum_OtherInc,1,AL$77)*Assumptions!AL$74</f>
        <v/>
      </c>
      <c r="AM111" s="50">
        <f>$B$111*AM$99*INDEX(Cum_OtherInc,1,AM$77)*Assumptions!AM$74</f>
        <v/>
      </c>
      <c r="AN111" s="50">
        <f>$B$111*AN$99*INDEX(Cum_OtherInc,1,AN$77)*Assumptions!AN$74</f>
        <v/>
      </c>
      <c r="AO111" s="50">
        <f>$B$111*AO$99*INDEX(Cum_OtherInc,1,AO$77)*Assumptions!AO$74</f>
        <v/>
      </c>
      <c r="AP111" s="50">
        <f>$B$111*AP$99*INDEX(Cum_OtherInc,1,AP$77)*Assumptions!AP$74</f>
        <v/>
      </c>
      <c r="AQ111" s="50">
        <f>$B$111*AQ$99*INDEX(Cum_OtherInc,1,AQ$77)*Assumptions!AQ$74</f>
        <v/>
      </c>
      <c r="AR111" s="50">
        <f>$B$111*AR$99*INDEX(Cum_OtherInc,1,AR$77)*Assumptions!AR$74</f>
        <v/>
      </c>
      <c r="AS111" s="50">
        <f>$B$111*AS$99*INDEX(Cum_OtherInc,1,AS$77)*Assumptions!AS$74</f>
        <v/>
      </c>
      <c r="AT111" s="50">
        <f>$B$111*AT$99*INDEX(Cum_OtherInc,1,AT$77)*Assumptions!AT$74</f>
        <v/>
      </c>
      <c r="AU111" s="50">
        <f>$B$111*AU$99*INDEX(Cum_OtherInc,1,AU$77)*Assumptions!AU$74</f>
        <v/>
      </c>
      <c r="AV111" s="50">
        <f>$B$111*AV$99*INDEX(Cum_OtherInc,1,AV$77)*Assumptions!AV$74</f>
        <v/>
      </c>
      <c r="AW111" s="50">
        <f>$B$111*AW$99*INDEX(Cum_OtherInc,1,AW$77)*Assumptions!AW$74</f>
        <v/>
      </c>
      <c r="AX111" s="50">
        <f>$B$111*AX$99*INDEX(Cum_OtherInc,1,AX$77)*Assumptions!AX$74</f>
        <v/>
      </c>
      <c r="AY111" s="50">
        <f>$B$111*AY$99*INDEX(Cum_OtherInc,1,AY$77)*Assumptions!AY$74</f>
        <v/>
      </c>
      <c r="AZ111" s="50">
        <f>$B$111*AZ$99*INDEX(Cum_OtherInc,1,AZ$77)*Assumptions!AZ$74</f>
        <v/>
      </c>
      <c r="BA111" s="50">
        <f>$B$111*BA$99*INDEX(Cum_OtherInc,1,BA$77)*Assumptions!BA$74</f>
        <v/>
      </c>
      <c r="BB111" s="50">
        <f>$B$111*BB$99*INDEX(Cum_OtherInc,1,BB$77)*Assumptions!BB$74</f>
        <v/>
      </c>
      <c r="BC111" s="50">
        <f>$B$111*BC$99*INDEX(Cum_OtherInc,1,BC$77)*Assumptions!BC$74</f>
        <v/>
      </c>
      <c r="BD111" s="50">
        <f>$B$111*BD$99*INDEX(Cum_OtherInc,1,BD$77)*Assumptions!BD$74</f>
        <v/>
      </c>
      <c r="BE111" s="50">
        <f>$B$111*BE$99*INDEX(Cum_OtherInc,1,BE$77)*Assumptions!BE$74</f>
        <v/>
      </c>
      <c r="BF111" s="50">
        <f>$B$111*BF$99*INDEX(Cum_OtherInc,1,BF$77)*Assumptions!BF$74</f>
        <v/>
      </c>
      <c r="BG111" s="50">
        <f>$B$111*BG$99*INDEX(Cum_OtherInc,1,BG$77)*Assumptions!BG$74</f>
        <v/>
      </c>
      <c r="BH111" s="50">
        <f>$B$111*BH$99*INDEX(Cum_OtherInc,1,BH$77)*Assumptions!BH$74</f>
        <v/>
      </c>
      <c r="BI111" s="50">
        <f>$B$111*BI$99*INDEX(Cum_OtherInc,1,BI$77)*Assumptions!BI$74</f>
        <v/>
      </c>
      <c r="BJ111" s="50">
        <f>$B$111*BJ$99*INDEX(Cum_OtherInc,1,BJ$77)*Assumptions!BJ$74</f>
        <v/>
      </c>
      <c r="BK111" s="50">
        <f>$B$111*BK$99*INDEX(Cum_OtherInc,1,BK$77)*Assumptions!BK$74</f>
        <v/>
      </c>
      <c r="BL111" s="50">
        <f>$B$111*BL$99*INDEX(Cum_OtherInc,1,BL$77)*Assumptions!BL$74</f>
        <v/>
      </c>
      <c r="BM111" s="50">
        <f>$B$111*BM$99*INDEX(Cum_OtherInc,1,BM$77)*Assumptions!BM$74</f>
        <v/>
      </c>
      <c r="BN111" s="50">
        <f>$B$111*BN$99*INDEX(Cum_OtherInc,1,BN$77)*Assumptions!BN$74</f>
        <v/>
      </c>
      <c r="BO111" s="50">
        <f>$B$111*BO$99*INDEX(Cum_OtherInc,1,BO$77)*Assumptions!BO$74</f>
        <v/>
      </c>
      <c r="BP111" s="50">
        <f>$B$111*BP$99*INDEX(Cum_OtherInc,1,BP$77)*Assumptions!BP$74</f>
        <v/>
      </c>
      <c r="BQ111" s="50">
        <f>$B$111*BQ$99*INDEX(Cum_OtherInc,1,BQ$77)*Assumptions!BQ$74</f>
        <v/>
      </c>
      <c r="BR111" s="50">
        <f>$B$111*BR$99*INDEX(Cum_OtherInc,1,BR$77)*Assumptions!BR$74</f>
        <v/>
      </c>
      <c r="BS111" s="50">
        <f>$B$111*BS$99*INDEX(Cum_OtherInc,1,BS$77)*Assumptions!BS$74</f>
        <v/>
      </c>
      <c r="BT111" s="50">
        <f>$B$111*BT$99*INDEX(Cum_OtherInc,1,BT$77)*Assumptions!BT$74</f>
        <v/>
      </c>
      <c r="BU111" s="50">
        <f>$B$111*BU$99*INDEX(Cum_OtherInc,1,BU$77)*Assumptions!BU$74</f>
        <v/>
      </c>
      <c r="BV111" s="50">
        <f>$B$111*BV$99*INDEX(Cum_OtherInc,1,BV$77)*Assumptions!BV$74</f>
        <v/>
      </c>
      <c r="BW111" s="50">
        <f>$B$111*BW$99*INDEX(Cum_OtherInc,1,BW$77)*Assumptions!BW$74</f>
        <v/>
      </c>
      <c r="BX111" s="50">
        <f>$B$111*BX$99*INDEX(Cum_OtherInc,1,BX$77)*Assumptions!BX$74</f>
        <v/>
      </c>
      <c r="BY111" s="50">
        <f>$B$111*BY$99*INDEX(Cum_OtherInc,1,BY$77)*Assumptions!BY$74</f>
        <v/>
      </c>
      <c r="BZ111" s="50">
        <f>$B$111*BZ$99*INDEX(Cum_OtherInc,1,BZ$77)*Assumptions!BZ$74</f>
        <v/>
      </c>
      <c r="CA111" s="50">
        <f>$B$111*CA$99*INDEX(Cum_OtherInc,1,CA$77)*Assumptions!CA$74</f>
        <v/>
      </c>
      <c r="CB111" s="50">
        <f>$B$111*CB$99*INDEX(Cum_OtherInc,1,CB$77)*Assumptions!CB$74</f>
        <v/>
      </c>
      <c r="CC111" s="50">
        <f>$B$111*CC$99*INDEX(Cum_OtherInc,1,CC$77)*Assumptions!CC$74</f>
        <v/>
      </c>
      <c r="CD111" s="50">
        <f>$B$111*CD$99*INDEX(Cum_OtherInc,1,CD$77)*Assumptions!CD$74</f>
        <v/>
      </c>
      <c r="CE111" s="50">
        <f>$B$111*CE$99*INDEX(Cum_OtherInc,1,CE$77)*Assumptions!CE$74</f>
        <v/>
      </c>
      <c r="CF111" s="50">
        <f>$B$111*CF$99*INDEX(Cum_OtherInc,1,CF$77)*Assumptions!CF$74</f>
        <v/>
      </c>
      <c r="CG111" s="50">
        <f>$B$111*CG$99*INDEX(Cum_OtherInc,1,CG$77)*Assumptions!CG$74</f>
        <v/>
      </c>
      <c r="CH111" s="50">
        <f>$B$111*CH$99*INDEX(Cum_OtherInc,1,CH$77)*Assumptions!CH$74</f>
        <v/>
      </c>
      <c r="CI111" s="50">
        <f>$B$111*CI$99*INDEX(Cum_OtherInc,1,CI$77)*Assumptions!CI$74</f>
        <v/>
      </c>
      <c r="CJ111" s="50">
        <f>$B$111*CJ$99*INDEX(Cum_OtherInc,1,CJ$77)*Assumptions!CJ$74</f>
        <v/>
      </c>
      <c r="CK111" s="50">
        <f>$B$111*CK$99*INDEX(Cum_OtherInc,1,CK$77)*Assumptions!CK$74</f>
        <v/>
      </c>
      <c r="CL111" s="50">
        <f>$B$111*CL$99*INDEX(Cum_OtherInc,1,CL$77)*Assumptions!CL$74</f>
        <v/>
      </c>
      <c r="CM111" s="50">
        <f>$B$111*CM$99*INDEX(Cum_OtherInc,1,CM$77)*Assumptions!CM$74</f>
        <v/>
      </c>
      <c r="CN111" s="50">
        <f>$B$111*CN$99*INDEX(Cum_OtherInc,1,CN$77)*Assumptions!CN$74</f>
        <v/>
      </c>
      <c r="CO111" s="50">
        <f>$B$111*CO$99*INDEX(Cum_OtherInc,1,CO$77)*Assumptions!CO$74</f>
        <v/>
      </c>
      <c r="CP111" s="50">
        <f>$B$111*CP$99*INDEX(Cum_OtherInc,1,CP$77)*Assumptions!CP$74</f>
        <v/>
      </c>
      <c r="CQ111" s="50">
        <f>$B$111*CQ$99*INDEX(Cum_OtherInc,1,CQ$77)*Assumptions!CQ$74</f>
        <v/>
      </c>
      <c r="CR111" s="50">
        <f>$B$111*CR$99*INDEX(Cum_OtherInc,1,CR$77)*Assumptions!CR$74</f>
        <v/>
      </c>
      <c r="CS111" s="50">
        <f>$B$111*CS$99*INDEX(Cum_OtherInc,1,CS$77)*Assumptions!CS$74</f>
        <v/>
      </c>
      <c r="CT111" s="50">
        <f>$B$111*CT$99*INDEX(Cum_OtherInc,1,CT$77)*Assumptions!CT$74</f>
        <v/>
      </c>
      <c r="CU111" s="50">
        <f>$B$111*CU$99*INDEX(Cum_OtherInc,1,CU$77)*Assumptions!CU$74</f>
        <v/>
      </c>
      <c r="CV111" s="50">
        <f>$B$111*CV$99*INDEX(Cum_OtherInc,1,CV$77)*Assumptions!CV$74</f>
        <v/>
      </c>
      <c r="CW111" s="50">
        <f>$B$111*CW$99*INDEX(Cum_OtherInc,1,CW$77)*Assumptions!CW$74</f>
        <v/>
      </c>
      <c r="CX111" s="50">
        <f>$B$111*CX$99*INDEX(Cum_OtherInc,1,CX$77)*Assumptions!CX$74</f>
        <v/>
      </c>
      <c r="CY111" s="50">
        <f>$B$111*CY$99*INDEX(Cum_OtherInc,1,CY$77)*Assumptions!CY$74</f>
        <v/>
      </c>
      <c r="CZ111" s="50">
        <f>$B$111*CZ$99*INDEX(Cum_OtherInc,1,CZ$77)*Assumptions!CZ$74</f>
        <v/>
      </c>
      <c r="DA111" s="50">
        <f>$B$111*DA$99*INDEX(Cum_OtherInc,1,DA$77)*Assumptions!DA$74</f>
        <v/>
      </c>
      <c r="DB111" s="50">
        <f>$B$111*DB$99*INDEX(Cum_OtherInc,1,DB$77)*Assumptions!DB$74</f>
        <v/>
      </c>
      <c r="DC111" s="50">
        <f>$B$111*DC$99*INDEX(Cum_OtherInc,1,DC$77)*Assumptions!DC$74</f>
        <v/>
      </c>
      <c r="DD111" s="50">
        <f>$B$111*DD$99*INDEX(Cum_OtherInc,1,DD$77)*Assumptions!DD$74</f>
        <v/>
      </c>
      <c r="DE111" s="50">
        <f>$B$111*DE$99*INDEX(Cum_OtherInc,1,DE$77)*Assumptions!DE$74</f>
        <v/>
      </c>
      <c r="DF111" s="50">
        <f>$B$111*DF$99*INDEX(Cum_OtherInc,1,DF$77)*Assumptions!DF$74</f>
        <v/>
      </c>
      <c r="DG111" s="50">
        <f>$B$111*DG$99*INDEX(Cum_OtherInc,1,DG$77)*Assumptions!DG$74</f>
        <v/>
      </c>
      <c r="DH111" s="50">
        <f>$B$111*DH$99*INDEX(Cum_OtherInc,1,DH$77)*Assumptions!DH$74</f>
        <v/>
      </c>
      <c r="DI111" s="50">
        <f>$B$111*DI$99*INDEX(Cum_OtherInc,1,DI$77)*Assumptions!DI$74</f>
        <v/>
      </c>
      <c r="DJ111" s="50">
        <f>$B$111*DJ$99*INDEX(Cum_OtherInc,1,DJ$77)*Assumptions!DJ$74</f>
        <v/>
      </c>
      <c r="DK111" s="50">
        <f>$B$111*DK$99*INDEX(Cum_OtherInc,1,DK$77)*Assumptions!DK$74</f>
        <v/>
      </c>
      <c r="DL111" s="50">
        <f>$B$111*DL$99*INDEX(Cum_OtherInc,1,DL$77)*Assumptions!DL$74</f>
        <v/>
      </c>
      <c r="DM111" s="50">
        <f>$B$111*DM$99*INDEX(Cum_OtherInc,1,DM$77)*Assumptions!DM$74</f>
        <v/>
      </c>
      <c r="DN111" s="50">
        <f>$B$111*DN$99*INDEX(Cum_OtherInc,1,DN$77)*Assumptions!DN$74</f>
        <v/>
      </c>
      <c r="DO111" s="50">
        <f>$B$111*DO$99*INDEX(Cum_OtherInc,1,DO$77)*Assumptions!DO$74</f>
        <v/>
      </c>
      <c r="DP111" s="50">
        <f>$B$111*DP$99*INDEX(Cum_OtherInc,1,DP$77)*Assumptions!DP$74</f>
        <v/>
      </c>
      <c r="DQ111" s="50">
        <f>$B$111*DQ$99*INDEX(Cum_OtherInc,1,DQ$77)*Assumptions!DQ$74</f>
        <v/>
      </c>
      <c r="DR111" s="50">
        <f>$B$111*DR$99*INDEX(Cum_OtherInc,1,DR$77)*Assumptions!DR$74</f>
        <v/>
      </c>
      <c r="DS111" s="50">
        <f>$B$111*DS$99*INDEX(Cum_OtherInc,1,DS$77)*Assumptions!DS$74</f>
        <v/>
      </c>
      <c r="DT111" s="50">
        <f>$B$111*DT$99*INDEX(Cum_OtherInc,1,DT$77)*Assumptions!DT$74</f>
        <v/>
      </c>
    </row>
    <row r="112">
      <c r="A112" s="10" t="inlineStr">
        <is>
          <t xml:space="preserve">  Other</t>
        </is>
      </c>
      <c r="B112" s="53" t="n">
        <v>6</v>
      </c>
      <c r="E112" s="50">
        <f>$B$112*E$99*INDEX(Cum_OtherInc,1,E$77)*Assumptions!E$74</f>
        <v/>
      </c>
      <c r="F112" s="50">
        <f>$B$112*F$99*INDEX(Cum_OtherInc,1,F$77)*Assumptions!F$74</f>
        <v/>
      </c>
      <c r="G112" s="50">
        <f>$B$112*G$99*INDEX(Cum_OtherInc,1,G$77)*Assumptions!G$74</f>
        <v/>
      </c>
      <c r="H112" s="50">
        <f>$B$112*H$99*INDEX(Cum_OtherInc,1,H$77)*Assumptions!H$74</f>
        <v/>
      </c>
      <c r="I112" s="50">
        <f>$B$112*I$99*INDEX(Cum_OtherInc,1,I$77)*Assumptions!I$74</f>
        <v/>
      </c>
      <c r="J112" s="50">
        <f>$B$112*J$99*INDEX(Cum_OtherInc,1,J$77)*Assumptions!J$74</f>
        <v/>
      </c>
      <c r="K112" s="50">
        <f>$B$112*K$99*INDEX(Cum_OtherInc,1,K$77)*Assumptions!K$74</f>
        <v/>
      </c>
      <c r="L112" s="50">
        <f>$B$112*L$99*INDEX(Cum_OtherInc,1,L$77)*Assumptions!L$74</f>
        <v/>
      </c>
      <c r="M112" s="50">
        <f>$B$112*M$99*INDEX(Cum_OtherInc,1,M$77)*Assumptions!M$74</f>
        <v/>
      </c>
      <c r="N112" s="50">
        <f>$B$112*N$99*INDEX(Cum_OtherInc,1,N$77)*Assumptions!N$74</f>
        <v/>
      </c>
      <c r="O112" s="50">
        <f>$B$112*O$99*INDEX(Cum_OtherInc,1,O$77)*Assumptions!O$74</f>
        <v/>
      </c>
      <c r="P112" s="50">
        <f>$B$112*P$99*INDEX(Cum_OtherInc,1,P$77)*Assumptions!P$74</f>
        <v/>
      </c>
      <c r="Q112" s="50">
        <f>$B$112*Q$99*INDEX(Cum_OtherInc,1,Q$77)*Assumptions!Q$74</f>
        <v/>
      </c>
      <c r="R112" s="50">
        <f>$B$112*R$99*INDEX(Cum_OtherInc,1,R$77)*Assumptions!R$74</f>
        <v/>
      </c>
      <c r="S112" s="50">
        <f>$B$112*S$99*INDEX(Cum_OtherInc,1,S$77)*Assumptions!S$74</f>
        <v/>
      </c>
      <c r="T112" s="50">
        <f>$B$112*T$99*INDEX(Cum_OtherInc,1,T$77)*Assumptions!T$74</f>
        <v/>
      </c>
      <c r="U112" s="50">
        <f>$B$112*U$99*INDEX(Cum_OtherInc,1,U$77)*Assumptions!U$74</f>
        <v/>
      </c>
      <c r="V112" s="50">
        <f>$B$112*V$99*INDEX(Cum_OtherInc,1,V$77)*Assumptions!V$74</f>
        <v/>
      </c>
      <c r="W112" s="50">
        <f>$B$112*W$99*INDEX(Cum_OtherInc,1,W$77)*Assumptions!W$74</f>
        <v/>
      </c>
      <c r="X112" s="50">
        <f>$B$112*X$99*INDEX(Cum_OtherInc,1,X$77)*Assumptions!X$74</f>
        <v/>
      </c>
      <c r="Y112" s="50">
        <f>$B$112*Y$99*INDEX(Cum_OtherInc,1,Y$77)*Assumptions!Y$74</f>
        <v/>
      </c>
      <c r="Z112" s="50">
        <f>$B$112*Z$99*INDEX(Cum_OtherInc,1,Z$77)*Assumptions!Z$74</f>
        <v/>
      </c>
      <c r="AA112" s="50">
        <f>$B$112*AA$99*INDEX(Cum_OtherInc,1,AA$77)*Assumptions!AA$74</f>
        <v/>
      </c>
      <c r="AB112" s="50">
        <f>$B$112*AB$99*INDEX(Cum_OtherInc,1,AB$77)*Assumptions!AB$74</f>
        <v/>
      </c>
      <c r="AC112" s="50">
        <f>$B$112*AC$99*INDEX(Cum_OtherInc,1,AC$77)*Assumptions!AC$74</f>
        <v/>
      </c>
      <c r="AD112" s="50">
        <f>$B$112*AD$99*INDEX(Cum_OtherInc,1,AD$77)*Assumptions!AD$74</f>
        <v/>
      </c>
      <c r="AE112" s="50">
        <f>$B$112*AE$99*INDEX(Cum_OtherInc,1,AE$77)*Assumptions!AE$74</f>
        <v/>
      </c>
      <c r="AF112" s="50">
        <f>$B$112*AF$99*INDEX(Cum_OtherInc,1,AF$77)*Assumptions!AF$74</f>
        <v/>
      </c>
      <c r="AG112" s="50">
        <f>$B$112*AG$99*INDEX(Cum_OtherInc,1,AG$77)*Assumptions!AG$74</f>
        <v/>
      </c>
      <c r="AH112" s="50">
        <f>$B$112*AH$99*INDEX(Cum_OtherInc,1,AH$77)*Assumptions!AH$74</f>
        <v/>
      </c>
      <c r="AI112" s="50">
        <f>$B$112*AI$99*INDEX(Cum_OtherInc,1,AI$77)*Assumptions!AI$74</f>
        <v/>
      </c>
      <c r="AJ112" s="50">
        <f>$B$112*AJ$99*INDEX(Cum_OtherInc,1,AJ$77)*Assumptions!AJ$74</f>
        <v/>
      </c>
      <c r="AK112" s="50">
        <f>$B$112*AK$99*INDEX(Cum_OtherInc,1,AK$77)*Assumptions!AK$74</f>
        <v/>
      </c>
      <c r="AL112" s="50">
        <f>$B$112*AL$99*INDEX(Cum_OtherInc,1,AL$77)*Assumptions!AL$74</f>
        <v/>
      </c>
      <c r="AM112" s="50">
        <f>$B$112*AM$99*INDEX(Cum_OtherInc,1,AM$77)*Assumptions!AM$74</f>
        <v/>
      </c>
      <c r="AN112" s="50">
        <f>$B$112*AN$99*INDEX(Cum_OtherInc,1,AN$77)*Assumptions!AN$74</f>
        <v/>
      </c>
      <c r="AO112" s="50">
        <f>$B$112*AO$99*INDEX(Cum_OtherInc,1,AO$77)*Assumptions!AO$74</f>
        <v/>
      </c>
      <c r="AP112" s="50">
        <f>$B$112*AP$99*INDEX(Cum_OtherInc,1,AP$77)*Assumptions!AP$74</f>
        <v/>
      </c>
      <c r="AQ112" s="50">
        <f>$B$112*AQ$99*INDEX(Cum_OtherInc,1,AQ$77)*Assumptions!AQ$74</f>
        <v/>
      </c>
      <c r="AR112" s="50">
        <f>$B$112*AR$99*INDEX(Cum_OtherInc,1,AR$77)*Assumptions!AR$74</f>
        <v/>
      </c>
      <c r="AS112" s="50">
        <f>$B$112*AS$99*INDEX(Cum_OtherInc,1,AS$77)*Assumptions!AS$74</f>
        <v/>
      </c>
      <c r="AT112" s="50">
        <f>$B$112*AT$99*INDEX(Cum_OtherInc,1,AT$77)*Assumptions!AT$74</f>
        <v/>
      </c>
      <c r="AU112" s="50">
        <f>$B$112*AU$99*INDEX(Cum_OtherInc,1,AU$77)*Assumptions!AU$74</f>
        <v/>
      </c>
      <c r="AV112" s="50">
        <f>$B$112*AV$99*INDEX(Cum_OtherInc,1,AV$77)*Assumptions!AV$74</f>
        <v/>
      </c>
      <c r="AW112" s="50">
        <f>$B$112*AW$99*INDEX(Cum_OtherInc,1,AW$77)*Assumptions!AW$74</f>
        <v/>
      </c>
      <c r="AX112" s="50">
        <f>$B$112*AX$99*INDEX(Cum_OtherInc,1,AX$77)*Assumptions!AX$74</f>
        <v/>
      </c>
      <c r="AY112" s="50">
        <f>$B$112*AY$99*INDEX(Cum_OtherInc,1,AY$77)*Assumptions!AY$74</f>
        <v/>
      </c>
      <c r="AZ112" s="50">
        <f>$B$112*AZ$99*INDEX(Cum_OtherInc,1,AZ$77)*Assumptions!AZ$74</f>
        <v/>
      </c>
      <c r="BA112" s="50">
        <f>$B$112*BA$99*INDEX(Cum_OtherInc,1,BA$77)*Assumptions!BA$74</f>
        <v/>
      </c>
      <c r="BB112" s="50">
        <f>$B$112*BB$99*INDEX(Cum_OtherInc,1,BB$77)*Assumptions!BB$74</f>
        <v/>
      </c>
      <c r="BC112" s="50">
        <f>$B$112*BC$99*INDEX(Cum_OtherInc,1,BC$77)*Assumptions!BC$74</f>
        <v/>
      </c>
      <c r="BD112" s="50">
        <f>$B$112*BD$99*INDEX(Cum_OtherInc,1,BD$77)*Assumptions!BD$74</f>
        <v/>
      </c>
      <c r="BE112" s="50">
        <f>$B$112*BE$99*INDEX(Cum_OtherInc,1,BE$77)*Assumptions!BE$74</f>
        <v/>
      </c>
      <c r="BF112" s="50">
        <f>$B$112*BF$99*INDEX(Cum_OtherInc,1,BF$77)*Assumptions!BF$74</f>
        <v/>
      </c>
      <c r="BG112" s="50">
        <f>$B$112*BG$99*INDEX(Cum_OtherInc,1,BG$77)*Assumptions!BG$74</f>
        <v/>
      </c>
      <c r="BH112" s="50">
        <f>$B$112*BH$99*INDEX(Cum_OtherInc,1,BH$77)*Assumptions!BH$74</f>
        <v/>
      </c>
      <c r="BI112" s="50">
        <f>$B$112*BI$99*INDEX(Cum_OtherInc,1,BI$77)*Assumptions!BI$74</f>
        <v/>
      </c>
      <c r="BJ112" s="50">
        <f>$B$112*BJ$99*INDEX(Cum_OtherInc,1,BJ$77)*Assumptions!BJ$74</f>
        <v/>
      </c>
      <c r="BK112" s="50">
        <f>$B$112*BK$99*INDEX(Cum_OtherInc,1,BK$77)*Assumptions!BK$74</f>
        <v/>
      </c>
      <c r="BL112" s="50">
        <f>$B$112*BL$99*INDEX(Cum_OtherInc,1,BL$77)*Assumptions!BL$74</f>
        <v/>
      </c>
      <c r="BM112" s="50">
        <f>$B$112*BM$99*INDEX(Cum_OtherInc,1,BM$77)*Assumptions!BM$74</f>
        <v/>
      </c>
      <c r="BN112" s="50">
        <f>$B$112*BN$99*INDEX(Cum_OtherInc,1,BN$77)*Assumptions!BN$74</f>
        <v/>
      </c>
      <c r="BO112" s="50">
        <f>$B$112*BO$99*INDEX(Cum_OtherInc,1,BO$77)*Assumptions!BO$74</f>
        <v/>
      </c>
      <c r="BP112" s="50">
        <f>$B$112*BP$99*INDEX(Cum_OtherInc,1,BP$77)*Assumptions!BP$74</f>
        <v/>
      </c>
      <c r="BQ112" s="50">
        <f>$B$112*BQ$99*INDEX(Cum_OtherInc,1,BQ$77)*Assumptions!BQ$74</f>
        <v/>
      </c>
      <c r="BR112" s="50">
        <f>$B$112*BR$99*INDEX(Cum_OtherInc,1,BR$77)*Assumptions!BR$74</f>
        <v/>
      </c>
      <c r="BS112" s="50">
        <f>$B$112*BS$99*INDEX(Cum_OtherInc,1,BS$77)*Assumptions!BS$74</f>
        <v/>
      </c>
      <c r="BT112" s="50">
        <f>$B$112*BT$99*INDEX(Cum_OtherInc,1,BT$77)*Assumptions!BT$74</f>
        <v/>
      </c>
      <c r="BU112" s="50">
        <f>$B$112*BU$99*INDEX(Cum_OtherInc,1,BU$77)*Assumptions!BU$74</f>
        <v/>
      </c>
      <c r="BV112" s="50">
        <f>$B$112*BV$99*INDEX(Cum_OtherInc,1,BV$77)*Assumptions!BV$74</f>
        <v/>
      </c>
      <c r="BW112" s="50">
        <f>$B$112*BW$99*INDEX(Cum_OtherInc,1,BW$77)*Assumptions!BW$74</f>
        <v/>
      </c>
      <c r="BX112" s="50">
        <f>$B$112*BX$99*INDEX(Cum_OtherInc,1,BX$77)*Assumptions!BX$74</f>
        <v/>
      </c>
      <c r="BY112" s="50">
        <f>$B$112*BY$99*INDEX(Cum_OtherInc,1,BY$77)*Assumptions!BY$74</f>
        <v/>
      </c>
      <c r="BZ112" s="50">
        <f>$B$112*BZ$99*INDEX(Cum_OtherInc,1,BZ$77)*Assumptions!BZ$74</f>
        <v/>
      </c>
      <c r="CA112" s="50">
        <f>$B$112*CA$99*INDEX(Cum_OtherInc,1,CA$77)*Assumptions!CA$74</f>
        <v/>
      </c>
      <c r="CB112" s="50">
        <f>$B$112*CB$99*INDEX(Cum_OtherInc,1,CB$77)*Assumptions!CB$74</f>
        <v/>
      </c>
      <c r="CC112" s="50">
        <f>$B$112*CC$99*INDEX(Cum_OtherInc,1,CC$77)*Assumptions!CC$74</f>
        <v/>
      </c>
      <c r="CD112" s="50">
        <f>$B$112*CD$99*INDEX(Cum_OtherInc,1,CD$77)*Assumptions!CD$74</f>
        <v/>
      </c>
      <c r="CE112" s="50">
        <f>$B$112*CE$99*INDEX(Cum_OtherInc,1,CE$77)*Assumptions!CE$74</f>
        <v/>
      </c>
      <c r="CF112" s="50">
        <f>$B$112*CF$99*INDEX(Cum_OtherInc,1,CF$77)*Assumptions!CF$74</f>
        <v/>
      </c>
      <c r="CG112" s="50">
        <f>$B$112*CG$99*INDEX(Cum_OtherInc,1,CG$77)*Assumptions!CG$74</f>
        <v/>
      </c>
      <c r="CH112" s="50">
        <f>$B$112*CH$99*INDEX(Cum_OtherInc,1,CH$77)*Assumptions!CH$74</f>
        <v/>
      </c>
      <c r="CI112" s="50">
        <f>$B$112*CI$99*INDEX(Cum_OtherInc,1,CI$77)*Assumptions!CI$74</f>
        <v/>
      </c>
      <c r="CJ112" s="50">
        <f>$B$112*CJ$99*INDEX(Cum_OtherInc,1,CJ$77)*Assumptions!CJ$74</f>
        <v/>
      </c>
      <c r="CK112" s="50">
        <f>$B$112*CK$99*INDEX(Cum_OtherInc,1,CK$77)*Assumptions!CK$74</f>
        <v/>
      </c>
      <c r="CL112" s="50">
        <f>$B$112*CL$99*INDEX(Cum_OtherInc,1,CL$77)*Assumptions!CL$74</f>
        <v/>
      </c>
      <c r="CM112" s="50">
        <f>$B$112*CM$99*INDEX(Cum_OtherInc,1,CM$77)*Assumptions!CM$74</f>
        <v/>
      </c>
      <c r="CN112" s="50">
        <f>$B$112*CN$99*INDEX(Cum_OtherInc,1,CN$77)*Assumptions!CN$74</f>
        <v/>
      </c>
      <c r="CO112" s="50">
        <f>$B$112*CO$99*INDEX(Cum_OtherInc,1,CO$77)*Assumptions!CO$74</f>
        <v/>
      </c>
      <c r="CP112" s="50">
        <f>$B$112*CP$99*INDEX(Cum_OtherInc,1,CP$77)*Assumptions!CP$74</f>
        <v/>
      </c>
      <c r="CQ112" s="50">
        <f>$B$112*CQ$99*INDEX(Cum_OtherInc,1,CQ$77)*Assumptions!CQ$74</f>
        <v/>
      </c>
      <c r="CR112" s="50">
        <f>$B$112*CR$99*INDEX(Cum_OtherInc,1,CR$77)*Assumptions!CR$74</f>
        <v/>
      </c>
      <c r="CS112" s="50">
        <f>$B$112*CS$99*INDEX(Cum_OtherInc,1,CS$77)*Assumptions!CS$74</f>
        <v/>
      </c>
      <c r="CT112" s="50">
        <f>$B$112*CT$99*INDEX(Cum_OtherInc,1,CT$77)*Assumptions!CT$74</f>
        <v/>
      </c>
      <c r="CU112" s="50">
        <f>$B$112*CU$99*INDEX(Cum_OtherInc,1,CU$77)*Assumptions!CU$74</f>
        <v/>
      </c>
      <c r="CV112" s="50">
        <f>$B$112*CV$99*INDEX(Cum_OtherInc,1,CV$77)*Assumptions!CV$74</f>
        <v/>
      </c>
      <c r="CW112" s="50">
        <f>$B$112*CW$99*INDEX(Cum_OtherInc,1,CW$77)*Assumptions!CW$74</f>
        <v/>
      </c>
      <c r="CX112" s="50">
        <f>$B$112*CX$99*INDEX(Cum_OtherInc,1,CX$77)*Assumptions!CX$74</f>
        <v/>
      </c>
      <c r="CY112" s="50">
        <f>$B$112*CY$99*INDEX(Cum_OtherInc,1,CY$77)*Assumptions!CY$74</f>
        <v/>
      </c>
      <c r="CZ112" s="50">
        <f>$B$112*CZ$99*INDEX(Cum_OtherInc,1,CZ$77)*Assumptions!CZ$74</f>
        <v/>
      </c>
      <c r="DA112" s="50">
        <f>$B$112*DA$99*INDEX(Cum_OtherInc,1,DA$77)*Assumptions!DA$74</f>
        <v/>
      </c>
      <c r="DB112" s="50">
        <f>$B$112*DB$99*INDEX(Cum_OtherInc,1,DB$77)*Assumptions!DB$74</f>
        <v/>
      </c>
      <c r="DC112" s="50">
        <f>$B$112*DC$99*INDEX(Cum_OtherInc,1,DC$77)*Assumptions!DC$74</f>
        <v/>
      </c>
      <c r="DD112" s="50">
        <f>$B$112*DD$99*INDEX(Cum_OtherInc,1,DD$77)*Assumptions!DD$74</f>
        <v/>
      </c>
      <c r="DE112" s="50">
        <f>$B$112*DE$99*INDEX(Cum_OtherInc,1,DE$77)*Assumptions!DE$74</f>
        <v/>
      </c>
      <c r="DF112" s="50">
        <f>$B$112*DF$99*INDEX(Cum_OtherInc,1,DF$77)*Assumptions!DF$74</f>
        <v/>
      </c>
      <c r="DG112" s="50">
        <f>$B$112*DG$99*INDEX(Cum_OtherInc,1,DG$77)*Assumptions!DG$74</f>
        <v/>
      </c>
      <c r="DH112" s="50">
        <f>$B$112*DH$99*INDEX(Cum_OtherInc,1,DH$77)*Assumptions!DH$74</f>
        <v/>
      </c>
      <c r="DI112" s="50">
        <f>$B$112*DI$99*INDEX(Cum_OtherInc,1,DI$77)*Assumptions!DI$74</f>
        <v/>
      </c>
      <c r="DJ112" s="50">
        <f>$B$112*DJ$99*INDEX(Cum_OtherInc,1,DJ$77)*Assumptions!DJ$74</f>
        <v/>
      </c>
      <c r="DK112" s="50">
        <f>$B$112*DK$99*INDEX(Cum_OtherInc,1,DK$77)*Assumptions!DK$74</f>
        <v/>
      </c>
      <c r="DL112" s="50">
        <f>$B$112*DL$99*INDEX(Cum_OtherInc,1,DL$77)*Assumptions!DL$74</f>
        <v/>
      </c>
      <c r="DM112" s="50">
        <f>$B$112*DM$99*INDEX(Cum_OtherInc,1,DM$77)*Assumptions!DM$74</f>
        <v/>
      </c>
      <c r="DN112" s="50">
        <f>$B$112*DN$99*INDEX(Cum_OtherInc,1,DN$77)*Assumptions!DN$74</f>
        <v/>
      </c>
      <c r="DO112" s="50">
        <f>$B$112*DO$99*INDEX(Cum_OtherInc,1,DO$77)*Assumptions!DO$74</f>
        <v/>
      </c>
      <c r="DP112" s="50">
        <f>$B$112*DP$99*INDEX(Cum_OtherInc,1,DP$77)*Assumptions!DP$74</f>
        <v/>
      </c>
      <c r="DQ112" s="50">
        <f>$B$112*DQ$99*INDEX(Cum_OtherInc,1,DQ$77)*Assumptions!DQ$74</f>
        <v/>
      </c>
      <c r="DR112" s="50">
        <f>$B$112*DR$99*INDEX(Cum_OtherInc,1,DR$77)*Assumptions!DR$74</f>
        <v/>
      </c>
      <c r="DS112" s="50">
        <f>$B$112*DS$99*INDEX(Cum_OtherInc,1,DS$77)*Assumptions!DS$74</f>
        <v/>
      </c>
      <c r="DT112" s="50">
        <f>$B$112*DT$99*INDEX(Cum_OtherInc,1,DT$77)*Assumptions!DT$74</f>
        <v/>
      </c>
    </row>
    <row r="113">
      <c r="A113" s="10" t="inlineStr">
        <is>
          <t>Total other income ($/mo)</t>
        </is>
      </c>
      <c r="E113" s="50">
        <f>SUM(E107:E112)</f>
        <v/>
      </c>
      <c r="F113" s="50">
        <f>SUM(F107:F112)</f>
        <v/>
      </c>
      <c r="G113" s="50">
        <f>SUM(G107:G112)</f>
        <v/>
      </c>
      <c r="H113" s="50">
        <f>SUM(H107:H112)</f>
        <v/>
      </c>
      <c r="I113" s="50">
        <f>SUM(I107:I112)</f>
        <v/>
      </c>
      <c r="J113" s="50">
        <f>SUM(J107:J112)</f>
        <v/>
      </c>
      <c r="K113" s="50">
        <f>SUM(K107:K112)</f>
        <v/>
      </c>
      <c r="L113" s="50">
        <f>SUM(L107:L112)</f>
        <v/>
      </c>
      <c r="M113" s="50">
        <f>SUM(M107:M112)</f>
        <v/>
      </c>
      <c r="N113" s="50">
        <f>SUM(N107:N112)</f>
        <v/>
      </c>
      <c r="O113" s="50">
        <f>SUM(O107:O112)</f>
        <v/>
      </c>
      <c r="P113" s="50">
        <f>SUM(P107:P112)</f>
        <v/>
      </c>
      <c r="Q113" s="50">
        <f>SUM(Q107:Q112)</f>
        <v/>
      </c>
      <c r="R113" s="50">
        <f>SUM(R107:R112)</f>
        <v/>
      </c>
      <c r="S113" s="50">
        <f>SUM(S107:S112)</f>
        <v/>
      </c>
      <c r="T113" s="50">
        <f>SUM(T107:T112)</f>
        <v/>
      </c>
      <c r="U113" s="50">
        <f>SUM(U107:U112)</f>
        <v/>
      </c>
      <c r="V113" s="50">
        <f>SUM(V107:V112)</f>
        <v/>
      </c>
      <c r="W113" s="50">
        <f>SUM(W107:W112)</f>
        <v/>
      </c>
      <c r="X113" s="50">
        <f>SUM(X107:X112)</f>
        <v/>
      </c>
      <c r="Y113" s="50">
        <f>SUM(Y107:Y112)</f>
        <v/>
      </c>
      <c r="Z113" s="50">
        <f>SUM(Z107:Z112)</f>
        <v/>
      </c>
      <c r="AA113" s="50">
        <f>SUM(AA107:AA112)</f>
        <v/>
      </c>
      <c r="AB113" s="50">
        <f>SUM(AB107:AB112)</f>
        <v/>
      </c>
      <c r="AC113" s="50">
        <f>SUM(AC107:AC112)</f>
        <v/>
      </c>
      <c r="AD113" s="50">
        <f>SUM(AD107:AD112)</f>
        <v/>
      </c>
      <c r="AE113" s="50">
        <f>SUM(AE107:AE112)</f>
        <v/>
      </c>
      <c r="AF113" s="50">
        <f>SUM(AF107:AF112)</f>
        <v/>
      </c>
      <c r="AG113" s="50">
        <f>SUM(AG107:AG112)</f>
        <v/>
      </c>
      <c r="AH113" s="50">
        <f>SUM(AH107:AH112)</f>
        <v/>
      </c>
      <c r="AI113" s="50">
        <f>SUM(AI107:AI112)</f>
        <v/>
      </c>
      <c r="AJ113" s="50">
        <f>SUM(AJ107:AJ112)</f>
        <v/>
      </c>
      <c r="AK113" s="50">
        <f>SUM(AK107:AK112)</f>
        <v/>
      </c>
      <c r="AL113" s="50">
        <f>SUM(AL107:AL112)</f>
        <v/>
      </c>
      <c r="AM113" s="50">
        <f>SUM(AM107:AM112)</f>
        <v/>
      </c>
      <c r="AN113" s="50">
        <f>SUM(AN107:AN112)</f>
        <v/>
      </c>
      <c r="AO113" s="50">
        <f>SUM(AO107:AO112)</f>
        <v/>
      </c>
      <c r="AP113" s="50">
        <f>SUM(AP107:AP112)</f>
        <v/>
      </c>
      <c r="AQ113" s="50">
        <f>SUM(AQ107:AQ112)</f>
        <v/>
      </c>
      <c r="AR113" s="50">
        <f>SUM(AR107:AR112)</f>
        <v/>
      </c>
      <c r="AS113" s="50">
        <f>SUM(AS107:AS112)</f>
        <v/>
      </c>
      <c r="AT113" s="50">
        <f>SUM(AT107:AT112)</f>
        <v/>
      </c>
      <c r="AU113" s="50">
        <f>SUM(AU107:AU112)</f>
        <v/>
      </c>
      <c r="AV113" s="50">
        <f>SUM(AV107:AV112)</f>
        <v/>
      </c>
      <c r="AW113" s="50">
        <f>SUM(AW107:AW112)</f>
        <v/>
      </c>
      <c r="AX113" s="50">
        <f>SUM(AX107:AX112)</f>
        <v/>
      </c>
      <c r="AY113" s="50">
        <f>SUM(AY107:AY112)</f>
        <v/>
      </c>
      <c r="AZ113" s="50">
        <f>SUM(AZ107:AZ112)</f>
        <v/>
      </c>
      <c r="BA113" s="50">
        <f>SUM(BA107:BA112)</f>
        <v/>
      </c>
      <c r="BB113" s="50">
        <f>SUM(BB107:BB112)</f>
        <v/>
      </c>
      <c r="BC113" s="50">
        <f>SUM(BC107:BC112)</f>
        <v/>
      </c>
      <c r="BD113" s="50">
        <f>SUM(BD107:BD112)</f>
        <v/>
      </c>
      <c r="BE113" s="50">
        <f>SUM(BE107:BE112)</f>
        <v/>
      </c>
      <c r="BF113" s="50">
        <f>SUM(BF107:BF112)</f>
        <v/>
      </c>
      <c r="BG113" s="50">
        <f>SUM(BG107:BG112)</f>
        <v/>
      </c>
      <c r="BH113" s="50">
        <f>SUM(BH107:BH112)</f>
        <v/>
      </c>
      <c r="BI113" s="50">
        <f>SUM(BI107:BI112)</f>
        <v/>
      </c>
      <c r="BJ113" s="50">
        <f>SUM(BJ107:BJ112)</f>
        <v/>
      </c>
      <c r="BK113" s="50">
        <f>SUM(BK107:BK112)</f>
        <v/>
      </c>
      <c r="BL113" s="50">
        <f>SUM(BL107:BL112)</f>
        <v/>
      </c>
      <c r="BM113" s="50">
        <f>SUM(BM107:BM112)</f>
        <v/>
      </c>
      <c r="BN113" s="50">
        <f>SUM(BN107:BN112)</f>
        <v/>
      </c>
      <c r="BO113" s="50">
        <f>SUM(BO107:BO112)</f>
        <v/>
      </c>
      <c r="BP113" s="50">
        <f>SUM(BP107:BP112)</f>
        <v/>
      </c>
      <c r="BQ113" s="50">
        <f>SUM(BQ107:BQ112)</f>
        <v/>
      </c>
      <c r="BR113" s="50">
        <f>SUM(BR107:BR112)</f>
        <v/>
      </c>
      <c r="BS113" s="50">
        <f>SUM(BS107:BS112)</f>
        <v/>
      </c>
      <c r="BT113" s="50">
        <f>SUM(BT107:BT112)</f>
        <v/>
      </c>
      <c r="BU113" s="50">
        <f>SUM(BU107:BU112)</f>
        <v/>
      </c>
      <c r="BV113" s="50">
        <f>SUM(BV107:BV112)</f>
        <v/>
      </c>
      <c r="BW113" s="50">
        <f>SUM(BW107:BW112)</f>
        <v/>
      </c>
      <c r="BX113" s="50">
        <f>SUM(BX107:BX112)</f>
        <v/>
      </c>
      <c r="BY113" s="50">
        <f>SUM(BY107:BY112)</f>
        <v/>
      </c>
      <c r="BZ113" s="50">
        <f>SUM(BZ107:BZ112)</f>
        <v/>
      </c>
      <c r="CA113" s="50">
        <f>SUM(CA107:CA112)</f>
        <v/>
      </c>
      <c r="CB113" s="50">
        <f>SUM(CB107:CB112)</f>
        <v/>
      </c>
      <c r="CC113" s="50">
        <f>SUM(CC107:CC112)</f>
        <v/>
      </c>
      <c r="CD113" s="50">
        <f>SUM(CD107:CD112)</f>
        <v/>
      </c>
      <c r="CE113" s="50">
        <f>SUM(CE107:CE112)</f>
        <v/>
      </c>
      <c r="CF113" s="50">
        <f>SUM(CF107:CF112)</f>
        <v/>
      </c>
      <c r="CG113" s="50">
        <f>SUM(CG107:CG112)</f>
        <v/>
      </c>
      <c r="CH113" s="50">
        <f>SUM(CH107:CH112)</f>
        <v/>
      </c>
      <c r="CI113" s="50">
        <f>SUM(CI107:CI112)</f>
        <v/>
      </c>
      <c r="CJ113" s="50">
        <f>SUM(CJ107:CJ112)</f>
        <v/>
      </c>
      <c r="CK113" s="50">
        <f>SUM(CK107:CK112)</f>
        <v/>
      </c>
      <c r="CL113" s="50">
        <f>SUM(CL107:CL112)</f>
        <v/>
      </c>
      <c r="CM113" s="50">
        <f>SUM(CM107:CM112)</f>
        <v/>
      </c>
      <c r="CN113" s="50">
        <f>SUM(CN107:CN112)</f>
        <v/>
      </c>
      <c r="CO113" s="50">
        <f>SUM(CO107:CO112)</f>
        <v/>
      </c>
      <c r="CP113" s="50">
        <f>SUM(CP107:CP112)</f>
        <v/>
      </c>
      <c r="CQ113" s="50">
        <f>SUM(CQ107:CQ112)</f>
        <v/>
      </c>
      <c r="CR113" s="50">
        <f>SUM(CR107:CR112)</f>
        <v/>
      </c>
      <c r="CS113" s="50">
        <f>SUM(CS107:CS112)</f>
        <v/>
      </c>
      <c r="CT113" s="50">
        <f>SUM(CT107:CT112)</f>
        <v/>
      </c>
      <c r="CU113" s="50">
        <f>SUM(CU107:CU112)</f>
        <v/>
      </c>
      <c r="CV113" s="50">
        <f>SUM(CV107:CV112)</f>
        <v/>
      </c>
      <c r="CW113" s="50">
        <f>SUM(CW107:CW112)</f>
        <v/>
      </c>
      <c r="CX113" s="50">
        <f>SUM(CX107:CX112)</f>
        <v/>
      </c>
      <c r="CY113" s="50">
        <f>SUM(CY107:CY112)</f>
        <v/>
      </c>
      <c r="CZ113" s="50">
        <f>SUM(CZ107:CZ112)</f>
        <v/>
      </c>
      <c r="DA113" s="50">
        <f>SUM(DA107:DA112)</f>
        <v/>
      </c>
      <c r="DB113" s="50">
        <f>SUM(DB107:DB112)</f>
        <v/>
      </c>
      <c r="DC113" s="50">
        <f>SUM(DC107:DC112)</f>
        <v/>
      </c>
      <c r="DD113" s="50">
        <f>SUM(DD107:DD112)</f>
        <v/>
      </c>
      <c r="DE113" s="50">
        <f>SUM(DE107:DE112)</f>
        <v/>
      </c>
      <c r="DF113" s="50">
        <f>SUM(DF107:DF112)</f>
        <v/>
      </c>
      <c r="DG113" s="50">
        <f>SUM(DG107:DG112)</f>
        <v/>
      </c>
      <c r="DH113" s="50">
        <f>SUM(DH107:DH112)</f>
        <v/>
      </c>
      <c r="DI113" s="50">
        <f>SUM(DI107:DI112)</f>
        <v/>
      </c>
      <c r="DJ113" s="50">
        <f>SUM(DJ107:DJ112)</f>
        <v/>
      </c>
      <c r="DK113" s="50">
        <f>SUM(DK107:DK112)</f>
        <v/>
      </c>
      <c r="DL113" s="50">
        <f>SUM(DL107:DL112)</f>
        <v/>
      </c>
      <c r="DM113" s="50">
        <f>SUM(DM107:DM112)</f>
        <v/>
      </c>
      <c r="DN113" s="50">
        <f>SUM(DN107:DN112)</f>
        <v/>
      </c>
      <c r="DO113" s="50">
        <f>SUM(DO107:DO112)</f>
        <v/>
      </c>
      <c r="DP113" s="50">
        <f>SUM(DP107:DP112)</f>
        <v/>
      </c>
      <c r="DQ113" s="50">
        <f>SUM(DQ107:DQ112)</f>
        <v/>
      </c>
      <c r="DR113" s="50">
        <f>SUM(DR107:DR112)</f>
        <v/>
      </c>
      <c r="DS113" s="50">
        <f>SUM(DS107:DS112)</f>
        <v/>
      </c>
      <c r="DT113" s="50">
        <f>SUM(DT107:DT112)</f>
        <v/>
      </c>
    </row>
    <row r="114">
      <c r="A114" s="3" t="inlineStr">
        <is>
          <t>MF EGI ($/mo)</t>
        </is>
      </c>
      <c r="E114" s="60">
        <f>E$103+E$104+E$105+E$113</f>
        <v/>
      </c>
      <c r="F114" s="60">
        <f>F$103+F$104+F$105+F$113</f>
        <v/>
      </c>
      <c r="G114" s="60">
        <f>G$103+G$104+G$105+G$113</f>
        <v/>
      </c>
      <c r="H114" s="60">
        <f>H$103+H$104+H$105+H$113</f>
        <v/>
      </c>
      <c r="I114" s="60">
        <f>I$103+I$104+I$105+I$113</f>
        <v/>
      </c>
      <c r="J114" s="60">
        <f>J$103+J$104+J$105+J$113</f>
        <v/>
      </c>
      <c r="K114" s="60">
        <f>K$103+K$104+K$105+K$113</f>
        <v/>
      </c>
      <c r="L114" s="60">
        <f>L$103+L$104+L$105+L$113</f>
        <v/>
      </c>
      <c r="M114" s="60">
        <f>M$103+M$104+M$105+M$113</f>
        <v/>
      </c>
      <c r="N114" s="60">
        <f>N$103+N$104+N$105+N$113</f>
        <v/>
      </c>
      <c r="O114" s="60">
        <f>O$103+O$104+O$105+O$113</f>
        <v/>
      </c>
      <c r="P114" s="60">
        <f>P$103+P$104+P$105+P$113</f>
        <v/>
      </c>
      <c r="Q114" s="60">
        <f>Q$103+Q$104+Q$105+Q$113</f>
        <v/>
      </c>
      <c r="R114" s="60">
        <f>R$103+R$104+R$105+R$113</f>
        <v/>
      </c>
      <c r="S114" s="60">
        <f>S$103+S$104+S$105+S$113</f>
        <v/>
      </c>
      <c r="T114" s="60">
        <f>T$103+T$104+T$105+T$113</f>
        <v/>
      </c>
      <c r="U114" s="60">
        <f>U$103+U$104+U$105+U$113</f>
        <v/>
      </c>
      <c r="V114" s="60">
        <f>V$103+V$104+V$105+V$113</f>
        <v/>
      </c>
      <c r="W114" s="60">
        <f>W$103+W$104+W$105+W$113</f>
        <v/>
      </c>
      <c r="X114" s="60">
        <f>X$103+X$104+X$105+X$113</f>
        <v/>
      </c>
      <c r="Y114" s="60">
        <f>Y$103+Y$104+Y$105+Y$113</f>
        <v/>
      </c>
      <c r="Z114" s="60">
        <f>Z$103+Z$104+Z$105+Z$113</f>
        <v/>
      </c>
      <c r="AA114" s="60">
        <f>AA$103+AA$104+AA$105+AA$113</f>
        <v/>
      </c>
      <c r="AB114" s="60">
        <f>AB$103+AB$104+AB$105+AB$113</f>
        <v/>
      </c>
      <c r="AC114" s="60">
        <f>AC$103+AC$104+AC$105+AC$113</f>
        <v/>
      </c>
      <c r="AD114" s="60">
        <f>AD$103+AD$104+AD$105+AD$113</f>
        <v/>
      </c>
      <c r="AE114" s="60">
        <f>AE$103+AE$104+AE$105+AE$113</f>
        <v/>
      </c>
      <c r="AF114" s="60">
        <f>AF$103+AF$104+AF$105+AF$113</f>
        <v/>
      </c>
      <c r="AG114" s="60">
        <f>AG$103+AG$104+AG$105+AG$113</f>
        <v/>
      </c>
      <c r="AH114" s="60">
        <f>AH$103+AH$104+AH$105+AH$113</f>
        <v/>
      </c>
      <c r="AI114" s="60">
        <f>AI$103+AI$104+AI$105+AI$113</f>
        <v/>
      </c>
      <c r="AJ114" s="60">
        <f>AJ$103+AJ$104+AJ$105+AJ$113</f>
        <v/>
      </c>
      <c r="AK114" s="60">
        <f>AK$103+AK$104+AK$105+AK$113</f>
        <v/>
      </c>
      <c r="AL114" s="60">
        <f>AL$103+AL$104+AL$105+AL$113</f>
        <v/>
      </c>
      <c r="AM114" s="60">
        <f>AM$103+AM$104+AM$105+AM$113</f>
        <v/>
      </c>
      <c r="AN114" s="60">
        <f>AN$103+AN$104+AN$105+AN$113</f>
        <v/>
      </c>
      <c r="AO114" s="60">
        <f>AO$103+AO$104+AO$105+AO$113</f>
        <v/>
      </c>
      <c r="AP114" s="60">
        <f>AP$103+AP$104+AP$105+AP$113</f>
        <v/>
      </c>
      <c r="AQ114" s="60">
        <f>AQ$103+AQ$104+AQ$105+AQ$113</f>
        <v/>
      </c>
      <c r="AR114" s="60">
        <f>AR$103+AR$104+AR$105+AR$113</f>
        <v/>
      </c>
      <c r="AS114" s="60">
        <f>AS$103+AS$104+AS$105+AS$113</f>
        <v/>
      </c>
      <c r="AT114" s="60">
        <f>AT$103+AT$104+AT$105+AT$113</f>
        <v/>
      </c>
      <c r="AU114" s="60">
        <f>AU$103+AU$104+AU$105+AU$113</f>
        <v/>
      </c>
      <c r="AV114" s="60">
        <f>AV$103+AV$104+AV$105+AV$113</f>
        <v/>
      </c>
      <c r="AW114" s="60">
        <f>AW$103+AW$104+AW$105+AW$113</f>
        <v/>
      </c>
      <c r="AX114" s="60">
        <f>AX$103+AX$104+AX$105+AX$113</f>
        <v/>
      </c>
      <c r="AY114" s="60">
        <f>AY$103+AY$104+AY$105+AY$113</f>
        <v/>
      </c>
      <c r="AZ114" s="60">
        <f>AZ$103+AZ$104+AZ$105+AZ$113</f>
        <v/>
      </c>
      <c r="BA114" s="60">
        <f>BA$103+BA$104+BA$105+BA$113</f>
        <v/>
      </c>
      <c r="BB114" s="60">
        <f>BB$103+BB$104+BB$105+BB$113</f>
        <v/>
      </c>
      <c r="BC114" s="60">
        <f>BC$103+BC$104+BC$105+BC$113</f>
        <v/>
      </c>
      <c r="BD114" s="60">
        <f>BD$103+BD$104+BD$105+BD$113</f>
        <v/>
      </c>
      <c r="BE114" s="60">
        <f>BE$103+BE$104+BE$105+BE$113</f>
        <v/>
      </c>
      <c r="BF114" s="60">
        <f>BF$103+BF$104+BF$105+BF$113</f>
        <v/>
      </c>
      <c r="BG114" s="60">
        <f>BG$103+BG$104+BG$105+BG$113</f>
        <v/>
      </c>
      <c r="BH114" s="60">
        <f>BH$103+BH$104+BH$105+BH$113</f>
        <v/>
      </c>
      <c r="BI114" s="60">
        <f>BI$103+BI$104+BI$105+BI$113</f>
        <v/>
      </c>
      <c r="BJ114" s="60">
        <f>BJ$103+BJ$104+BJ$105+BJ$113</f>
        <v/>
      </c>
      <c r="BK114" s="60">
        <f>BK$103+BK$104+BK$105+BK$113</f>
        <v/>
      </c>
      <c r="BL114" s="60">
        <f>BL$103+BL$104+BL$105+BL$113</f>
        <v/>
      </c>
      <c r="BM114" s="60">
        <f>BM$103+BM$104+BM$105+BM$113</f>
        <v/>
      </c>
      <c r="BN114" s="60">
        <f>BN$103+BN$104+BN$105+BN$113</f>
        <v/>
      </c>
      <c r="BO114" s="60">
        <f>BO$103+BO$104+BO$105+BO$113</f>
        <v/>
      </c>
      <c r="BP114" s="60">
        <f>BP$103+BP$104+BP$105+BP$113</f>
        <v/>
      </c>
      <c r="BQ114" s="60">
        <f>BQ$103+BQ$104+BQ$105+BQ$113</f>
        <v/>
      </c>
      <c r="BR114" s="60">
        <f>BR$103+BR$104+BR$105+BR$113</f>
        <v/>
      </c>
      <c r="BS114" s="60">
        <f>BS$103+BS$104+BS$105+BS$113</f>
        <v/>
      </c>
      <c r="BT114" s="60">
        <f>BT$103+BT$104+BT$105+BT$113</f>
        <v/>
      </c>
      <c r="BU114" s="60">
        <f>BU$103+BU$104+BU$105+BU$113</f>
        <v/>
      </c>
      <c r="BV114" s="60">
        <f>BV$103+BV$104+BV$105+BV$113</f>
        <v/>
      </c>
      <c r="BW114" s="60">
        <f>BW$103+BW$104+BW$105+BW$113</f>
        <v/>
      </c>
      <c r="BX114" s="60">
        <f>BX$103+BX$104+BX$105+BX$113</f>
        <v/>
      </c>
      <c r="BY114" s="60">
        <f>BY$103+BY$104+BY$105+BY$113</f>
        <v/>
      </c>
      <c r="BZ114" s="60">
        <f>BZ$103+BZ$104+BZ$105+BZ$113</f>
        <v/>
      </c>
      <c r="CA114" s="60">
        <f>CA$103+CA$104+CA$105+CA$113</f>
        <v/>
      </c>
      <c r="CB114" s="60">
        <f>CB$103+CB$104+CB$105+CB$113</f>
        <v/>
      </c>
      <c r="CC114" s="60">
        <f>CC$103+CC$104+CC$105+CC$113</f>
        <v/>
      </c>
      <c r="CD114" s="60">
        <f>CD$103+CD$104+CD$105+CD$113</f>
        <v/>
      </c>
      <c r="CE114" s="60">
        <f>CE$103+CE$104+CE$105+CE$113</f>
        <v/>
      </c>
      <c r="CF114" s="60">
        <f>CF$103+CF$104+CF$105+CF$113</f>
        <v/>
      </c>
      <c r="CG114" s="60">
        <f>CG$103+CG$104+CG$105+CG$113</f>
        <v/>
      </c>
      <c r="CH114" s="60">
        <f>CH$103+CH$104+CH$105+CH$113</f>
        <v/>
      </c>
      <c r="CI114" s="60">
        <f>CI$103+CI$104+CI$105+CI$113</f>
        <v/>
      </c>
      <c r="CJ114" s="60">
        <f>CJ$103+CJ$104+CJ$105+CJ$113</f>
        <v/>
      </c>
      <c r="CK114" s="60">
        <f>CK$103+CK$104+CK$105+CK$113</f>
        <v/>
      </c>
      <c r="CL114" s="60">
        <f>CL$103+CL$104+CL$105+CL$113</f>
        <v/>
      </c>
      <c r="CM114" s="60">
        <f>CM$103+CM$104+CM$105+CM$113</f>
        <v/>
      </c>
      <c r="CN114" s="60">
        <f>CN$103+CN$104+CN$105+CN$113</f>
        <v/>
      </c>
      <c r="CO114" s="60">
        <f>CO$103+CO$104+CO$105+CO$113</f>
        <v/>
      </c>
      <c r="CP114" s="60">
        <f>CP$103+CP$104+CP$105+CP$113</f>
        <v/>
      </c>
      <c r="CQ114" s="60">
        <f>CQ$103+CQ$104+CQ$105+CQ$113</f>
        <v/>
      </c>
      <c r="CR114" s="60">
        <f>CR$103+CR$104+CR$105+CR$113</f>
        <v/>
      </c>
      <c r="CS114" s="60">
        <f>CS$103+CS$104+CS$105+CS$113</f>
        <v/>
      </c>
      <c r="CT114" s="60">
        <f>CT$103+CT$104+CT$105+CT$113</f>
        <v/>
      </c>
      <c r="CU114" s="60">
        <f>CU$103+CU$104+CU$105+CU$113</f>
        <v/>
      </c>
      <c r="CV114" s="60">
        <f>CV$103+CV$104+CV$105+CV$113</f>
        <v/>
      </c>
      <c r="CW114" s="60">
        <f>CW$103+CW$104+CW$105+CW$113</f>
        <v/>
      </c>
      <c r="CX114" s="60">
        <f>CX$103+CX$104+CX$105+CX$113</f>
        <v/>
      </c>
      <c r="CY114" s="60">
        <f>CY$103+CY$104+CY$105+CY$113</f>
        <v/>
      </c>
      <c r="CZ114" s="60">
        <f>CZ$103+CZ$104+CZ$105+CZ$113</f>
        <v/>
      </c>
      <c r="DA114" s="60">
        <f>DA$103+DA$104+DA$105+DA$113</f>
        <v/>
      </c>
      <c r="DB114" s="60">
        <f>DB$103+DB$104+DB$105+DB$113</f>
        <v/>
      </c>
      <c r="DC114" s="60">
        <f>DC$103+DC$104+DC$105+DC$113</f>
        <v/>
      </c>
      <c r="DD114" s="60">
        <f>DD$103+DD$104+DD$105+DD$113</f>
        <v/>
      </c>
      <c r="DE114" s="60">
        <f>DE$103+DE$104+DE$105+DE$113</f>
        <v/>
      </c>
      <c r="DF114" s="60">
        <f>DF$103+DF$104+DF$105+DF$113</f>
        <v/>
      </c>
      <c r="DG114" s="60">
        <f>DG$103+DG$104+DG$105+DG$113</f>
        <v/>
      </c>
      <c r="DH114" s="60">
        <f>DH$103+DH$104+DH$105+DH$113</f>
        <v/>
      </c>
      <c r="DI114" s="60">
        <f>DI$103+DI$104+DI$105+DI$113</f>
        <v/>
      </c>
      <c r="DJ114" s="60">
        <f>DJ$103+DJ$104+DJ$105+DJ$113</f>
        <v/>
      </c>
      <c r="DK114" s="60">
        <f>DK$103+DK$104+DK$105+DK$113</f>
        <v/>
      </c>
      <c r="DL114" s="60">
        <f>DL$103+DL$104+DL$105+DL$113</f>
        <v/>
      </c>
      <c r="DM114" s="60">
        <f>DM$103+DM$104+DM$105+DM$113</f>
        <v/>
      </c>
      <c r="DN114" s="60">
        <f>DN$103+DN$104+DN$105+DN$113</f>
        <v/>
      </c>
      <c r="DO114" s="60">
        <f>DO$103+DO$104+DO$105+DO$113</f>
        <v/>
      </c>
      <c r="DP114" s="60">
        <f>DP$103+DP$104+DP$105+DP$113</f>
        <v/>
      </c>
      <c r="DQ114" s="60">
        <f>DQ$103+DQ$104+DQ$105+DQ$113</f>
        <v/>
      </c>
      <c r="DR114" s="60">
        <f>DR$103+DR$104+DR$105+DR$113</f>
        <v/>
      </c>
      <c r="DS114" s="60">
        <f>DS$103+DS$104+DS$105+DS$113</f>
        <v/>
      </c>
      <c r="DT114" s="60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6" t="n">
        <v>6.5</v>
      </c>
    </row>
    <row r="12">
      <c r="A12" s="10" t="inlineStr">
        <is>
          <t>Recoverable Tax ($/SF/yr)</t>
        </is>
      </c>
      <c r="B12" s="56" t="n">
        <v>4</v>
      </c>
    </row>
    <row r="13">
      <c r="A13" s="10" t="inlineStr">
        <is>
          <t>Recoverable Insurance ($/SF/yr)</t>
        </is>
      </c>
      <c r="B13" s="56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6" t="n">
        <v>30</v>
      </c>
      <c r="F17" s="54" t="n">
        <v>0.02</v>
      </c>
      <c r="G17" s="11" t="inlineStr">
        <is>
          <t>NNN</t>
        </is>
      </c>
      <c r="H17" s="56" t="n">
        <v>0</v>
      </c>
      <c r="I17" s="54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6" t="n">
        <v>33</v>
      </c>
      <c r="F18" s="54" t="n">
        <v>0.015</v>
      </c>
      <c r="G18" s="11" t="inlineStr">
        <is>
          <t>NNN</t>
        </is>
      </c>
      <c r="H18" s="56" t="n">
        <v>0</v>
      </c>
      <c r="I18" s="54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6" t="n">
        <v>46</v>
      </c>
      <c r="F19" s="54" t="n">
        <v>0.03</v>
      </c>
      <c r="G19" s="11" t="inlineStr">
        <is>
          <t>NNN</t>
        </is>
      </c>
      <c r="H19" s="56" t="n">
        <v>0</v>
      </c>
      <c r="I19" s="54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6" t="n">
        <v>31</v>
      </c>
      <c r="F20" s="54" t="n">
        <v>0.025</v>
      </c>
      <c r="G20" s="11" t="inlineStr">
        <is>
          <t>Modified Gross</t>
        </is>
      </c>
      <c r="H20" s="56" t="n">
        <v>0</v>
      </c>
      <c r="I20" s="54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6" t="n">
        <v>40</v>
      </c>
      <c r="F21" s="54" t="n">
        <v>0.02</v>
      </c>
      <c r="G21" s="11" t="inlineStr">
        <is>
          <t>NNN</t>
        </is>
      </c>
      <c r="H21" s="56" t="n">
        <v>0</v>
      </c>
      <c r="I21" s="54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6" t="n">
        <v>42</v>
      </c>
      <c r="F22" s="54" t="n">
        <v>0.025</v>
      </c>
      <c r="G22" s="11" t="inlineStr">
        <is>
          <t>NNN</t>
        </is>
      </c>
      <c r="H22" s="56" t="n">
        <v>0</v>
      </c>
      <c r="I22" s="54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0">
        <f>IF(Assumptions!E$74=0,0,IF(Assumptions!E$72&lt;$C$17,0,IF(Assumptions!E$72&lt;=$D$17,$E$17*$B$17/12*(1+$F$17)^INT((Assumptions!E$72-$C$17)/12),IF(Assumptions!E$72&lt;=$D$17+RetailDowntime,0,1)*$E$17*$B$17/12*INDEX(Cum_RetailRent,1,E$77)*RenewalRentFactor)))</f>
        <v/>
      </c>
      <c r="F29" s="50">
        <f>IF(Assumptions!F$74=0,0,IF(Assumptions!F$72&lt;$C$17,0,IF(Assumptions!F$72&lt;=$D$17,$E$17*$B$17/12*(1+$F$17)^INT((Assumptions!F$72-$C$17)/12),IF(Assumptions!F$72&lt;=$D$17+RetailDowntime,0,1)*$E$17*$B$17/12*INDEX(Cum_RetailRent,1,F$77)*RenewalRentFactor)))</f>
        <v/>
      </c>
      <c r="G29" s="50">
        <f>IF(Assumptions!G$74=0,0,IF(Assumptions!G$72&lt;$C$17,0,IF(Assumptions!G$72&lt;=$D$17,$E$17*$B$17/12*(1+$F$17)^INT((Assumptions!G$72-$C$17)/12),IF(Assumptions!G$72&lt;=$D$17+RetailDowntime,0,1)*$E$17*$B$17/12*INDEX(Cum_RetailRent,1,G$77)*RenewalRentFactor)))</f>
        <v/>
      </c>
      <c r="H29" s="50">
        <f>IF(Assumptions!H$74=0,0,IF(Assumptions!H$72&lt;$C$17,0,IF(Assumptions!H$72&lt;=$D$17,$E$17*$B$17/12*(1+$F$17)^INT((Assumptions!H$72-$C$17)/12),IF(Assumptions!H$72&lt;=$D$17+RetailDowntime,0,1)*$E$17*$B$17/12*INDEX(Cum_RetailRent,1,H$77)*RenewalRentFactor)))</f>
        <v/>
      </c>
      <c r="I29" s="50">
        <f>IF(Assumptions!I$74=0,0,IF(Assumptions!I$72&lt;$C$17,0,IF(Assumptions!I$72&lt;=$D$17,$E$17*$B$17/12*(1+$F$17)^INT((Assumptions!I$72-$C$17)/12),IF(Assumptions!I$72&lt;=$D$17+RetailDowntime,0,1)*$E$17*$B$17/12*INDEX(Cum_RetailRent,1,I$77)*RenewalRentFactor)))</f>
        <v/>
      </c>
      <c r="J29" s="50">
        <f>IF(Assumptions!J$74=0,0,IF(Assumptions!J$72&lt;$C$17,0,IF(Assumptions!J$72&lt;=$D$17,$E$17*$B$17/12*(1+$F$17)^INT((Assumptions!J$72-$C$17)/12),IF(Assumptions!J$72&lt;=$D$17+RetailDowntime,0,1)*$E$17*$B$17/12*INDEX(Cum_RetailRent,1,J$77)*RenewalRentFactor)))</f>
        <v/>
      </c>
      <c r="K29" s="50">
        <f>IF(Assumptions!K$74=0,0,IF(Assumptions!K$72&lt;$C$17,0,IF(Assumptions!K$72&lt;=$D$17,$E$17*$B$17/12*(1+$F$17)^INT((Assumptions!K$72-$C$17)/12),IF(Assumptions!K$72&lt;=$D$17+RetailDowntime,0,1)*$E$17*$B$17/12*INDEX(Cum_RetailRent,1,K$77)*RenewalRentFactor)))</f>
        <v/>
      </c>
      <c r="L29" s="50">
        <f>IF(Assumptions!L$74=0,0,IF(Assumptions!L$72&lt;$C$17,0,IF(Assumptions!L$72&lt;=$D$17,$E$17*$B$17/12*(1+$F$17)^INT((Assumptions!L$72-$C$17)/12),IF(Assumptions!L$72&lt;=$D$17+RetailDowntime,0,1)*$E$17*$B$17/12*INDEX(Cum_RetailRent,1,L$77)*RenewalRentFactor)))</f>
        <v/>
      </c>
      <c r="M29" s="50">
        <f>IF(Assumptions!M$74=0,0,IF(Assumptions!M$72&lt;$C$17,0,IF(Assumptions!M$72&lt;=$D$17,$E$17*$B$17/12*(1+$F$17)^INT((Assumptions!M$72-$C$17)/12),IF(Assumptions!M$72&lt;=$D$17+RetailDowntime,0,1)*$E$17*$B$17/12*INDEX(Cum_RetailRent,1,M$77)*RenewalRentFactor)))</f>
        <v/>
      </c>
      <c r="N29" s="50">
        <f>IF(Assumptions!N$74=0,0,IF(Assumptions!N$72&lt;$C$17,0,IF(Assumptions!N$72&lt;=$D$17,$E$17*$B$17/12*(1+$F$17)^INT((Assumptions!N$72-$C$17)/12),IF(Assumptions!N$72&lt;=$D$17+RetailDowntime,0,1)*$E$17*$B$17/12*INDEX(Cum_RetailRent,1,N$77)*RenewalRentFactor)))</f>
        <v/>
      </c>
      <c r="O29" s="50">
        <f>IF(Assumptions!O$74=0,0,IF(Assumptions!O$72&lt;$C$17,0,IF(Assumptions!O$72&lt;=$D$17,$E$17*$B$17/12*(1+$F$17)^INT((Assumptions!O$72-$C$17)/12),IF(Assumptions!O$72&lt;=$D$17+RetailDowntime,0,1)*$E$17*$B$17/12*INDEX(Cum_RetailRent,1,O$77)*RenewalRentFactor)))</f>
        <v/>
      </c>
      <c r="P29" s="50">
        <f>IF(Assumptions!P$74=0,0,IF(Assumptions!P$72&lt;$C$17,0,IF(Assumptions!P$72&lt;=$D$17,$E$17*$B$17/12*(1+$F$17)^INT((Assumptions!P$72-$C$17)/12),IF(Assumptions!P$72&lt;=$D$17+RetailDowntime,0,1)*$E$17*$B$17/12*INDEX(Cum_RetailRent,1,P$77)*RenewalRentFactor)))</f>
        <v/>
      </c>
      <c r="Q29" s="50">
        <f>IF(Assumptions!Q$74=0,0,IF(Assumptions!Q$72&lt;$C$17,0,IF(Assumptions!Q$72&lt;=$D$17,$E$17*$B$17/12*(1+$F$17)^INT((Assumptions!Q$72-$C$17)/12),IF(Assumptions!Q$72&lt;=$D$17+RetailDowntime,0,1)*$E$17*$B$17/12*INDEX(Cum_RetailRent,1,Q$77)*RenewalRentFactor)))</f>
        <v/>
      </c>
      <c r="R29" s="50">
        <f>IF(Assumptions!R$74=0,0,IF(Assumptions!R$72&lt;$C$17,0,IF(Assumptions!R$72&lt;=$D$17,$E$17*$B$17/12*(1+$F$17)^INT((Assumptions!R$72-$C$17)/12),IF(Assumptions!R$72&lt;=$D$17+RetailDowntime,0,1)*$E$17*$B$17/12*INDEX(Cum_RetailRent,1,R$77)*RenewalRentFactor)))</f>
        <v/>
      </c>
      <c r="S29" s="50">
        <f>IF(Assumptions!S$74=0,0,IF(Assumptions!S$72&lt;$C$17,0,IF(Assumptions!S$72&lt;=$D$17,$E$17*$B$17/12*(1+$F$17)^INT((Assumptions!S$72-$C$17)/12),IF(Assumptions!S$72&lt;=$D$17+RetailDowntime,0,1)*$E$17*$B$17/12*INDEX(Cum_RetailRent,1,S$77)*RenewalRentFactor)))</f>
        <v/>
      </c>
      <c r="T29" s="50">
        <f>IF(Assumptions!T$74=0,0,IF(Assumptions!T$72&lt;$C$17,0,IF(Assumptions!T$72&lt;=$D$17,$E$17*$B$17/12*(1+$F$17)^INT((Assumptions!T$72-$C$17)/12),IF(Assumptions!T$72&lt;=$D$17+RetailDowntime,0,1)*$E$17*$B$17/12*INDEX(Cum_RetailRent,1,T$77)*RenewalRentFactor)))</f>
        <v/>
      </c>
      <c r="U29" s="50">
        <f>IF(Assumptions!U$74=0,0,IF(Assumptions!U$72&lt;$C$17,0,IF(Assumptions!U$72&lt;=$D$17,$E$17*$B$17/12*(1+$F$17)^INT((Assumptions!U$72-$C$17)/12),IF(Assumptions!U$72&lt;=$D$17+RetailDowntime,0,1)*$E$17*$B$17/12*INDEX(Cum_RetailRent,1,U$77)*RenewalRentFactor)))</f>
        <v/>
      </c>
      <c r="V29" s="50">
        <f>IF(Assumptions!V$74=0,0,IF(Assumptions!V$72&lt;$C$17,0,IF(Assumptions!V$72&lt;=$D$17,$E$17*$B$17/12*(1+$F$17)^INT((Assumptions!V$72-$C$17)/12),IF(Assumptions!V$72&lt;=$D$17+RetailDowntime,0,1)*$E$17*$B$17/12*INDEX(Cum_RetailRent,1,V$77)*RenewalRentFactor)))</f>
        <v/>
      </c>
      <c r="W29" s="50">
        <f>IF(Assumptions!W$74=0,0,IF(Assumptions!W$72&lt;$C$17,0,IF(Assumptions!W$72&lt;=$D$17,$E$17*$B$17/12*(1+$F$17)^INT((Assumptions!W$72-$C$17)/12),IF(Assumptions!W$72&lt;=$D$17+RetailDowntime,0,1)*$E$17*$B$17/12*INDEX(Cum_RetailRent,1,W$77)*RenewalRentFactor)))</f>
        <v/>
      </c>
      <c r="X29" s="50">
        <f>IF(Assumptions!X$74=0,0,IF(Assumptions!X$72&lt;$C$17,0,IF(Assumptions!X$72&lt;=$D$17,$E$17*$B$17/12*(1+$F$17)^INT((Assumptions!X$72-$C$17)/12),IF(Assumptions!X$72&lt;=$D$17+RetailDowntime,0,1)*$E$17*$B$17/12*INDEX(Cum_RetailRent,1,X$77)*RenewalRentFactor)))</f>
        <v/>
      </c>
      <c r="Y29" s="50">
        <f>IF(Assumptions!Y$74=0,0,IF(Assumptions!Y$72&lt;$C$17,0,IF(Assumptions!Y$72&lt;=$D$17,$E$17*$B$17/12*(1+$F$17)^INT((Assumptions!Y$72-$C$17)/12),IF(Assumptions!Y$72&lt;=$D$17+RetailDowntime,0,1)*$E$17*$B$17/12*INDEX(Cum_RetailRent,1,Y$77)*RenewalRentFactor)))</f>
        <v/>
      </c>
      <c r="Z29" s="50">
        <f>IF(Assumptions!Z$74=0,0,IF(Assumptions!Z$72&lt;$C$17,0,IF(Assumptions!Z$72&lt;=$D$17,$E$17*$B$17/12*(1+$F$17)^INT((Assumptions!Z$72-$C$17)/12),IF(Assumptions!Z$72&lt;=$D$17+RetailDowntime,0,1)*$E$17*$B$17/12*INDEX(Cum_RetailRent,1,Z$77)*RenewalRentFactor)))</f>
        <v/>
      </c>
      <c r="AA29" s="50">
        <f>IF(Assumptions!AA$74=0,0,IF(Assumptions!AA$72&lt;$C$17,0,IF(Assumptions!AA$72&lt;=$D$17,$E$17*$B$17/12*(1+$F$17)^INT((Assumptions!AA$72-$C$17)/12),IF(Assumptions!AA$72&lt;=$D$17+RetailDowntime,0,1)*$E$17*$B$17/12*INDEX(Cum_RetailRent,1,AA$77)*RenewalRentFactor)))</f>
        <v/>
      </c>
      <c r="AB29" s="50">
        <f>IF(Assumptions!AB$74=0,0,IF(Assumptions!AB$72&lt;$C$17,0,IF(Assumptions!AB$72&lt;=$D$17,$E$17*$B$17/12*(1+$F$17)^INT((Assumptions!AB$72-$C$17)/12),IF(Assumptions!AB$72&lt;=$D$17+RetailDowntime,0,1)*$E$17*$B$17/12*INDEX(Cum_RetailRent,1,AB$77)*RenewalRentFactor)))</f>
        <v/>
      </c>
      <c r="AC29" s="50">
        <f>IF(Assumptions!AC$74=0,0,IF(Assumptions!AC$72&lt;$C$17,0,IF(Assumptions!AC$72&lt;=$D$17,$E$17*$B$17/12*(1+$F$17)^INT((Assumptions!AC$72-$C$17)/12),IF(Assumptions!AC$72&lt;=$D$17+RetailDowntime,0,1)*$E$17*$B$17/12*INDEX(Cum_RetailRent,1,AC$77)*RenewalRentFactor)))</f>
        <v/>
      </c>
      <c r="AD29" s="50">
        <f>IF(Assumptions!AD$74=0,0,IF(Assumptions!AD$72&lt;$C$17,0,IF(Assumptions!AD$72&lt;=$D$17,$E$17*$B$17/12*(1+$F$17)^INT((Assumptions!AD$72-$C$17)/12),IF(Assumptions!AD$72&lt;=$D$17+RetailDowntime,0,1)*$E$17*$B$17/12*INDEX(Cum_RetailRent,1,AD$77)*RenewalRentFactor)))</f>
        <v/>
      </c>
      <c r="AE29" s="50">
        <f>IF(Assumptions!AE$74=0,0,IF(Assumptions!AE$72&lt;$C$17,0,IF(Assumptions!AE$72&lt;=$D$17,$E$17*$B$17/12*(1+$F$17)^INT((Assumptions!AE$72-$C$17)/12),IF(Assumptions!AE$72&lt;=$D$17+RetailDowntime,0,1)*$E$17*$B$17/12*INDEX(Cum_RetailRent,1,AE$77)*RenewalRentFactor)))</f>
        <v/>
      </c>
      <c r="AF29" s="50">
        <f>IF(Assumptions!AF$74=0,0,IF(Assumptions!AF$72&lt;$C$17,0,IF(Assumptions!AF$72&lt;=$D$17,$E$17*$B$17/12*(1+$F$17)^INT((Assumptions!AF$72-$C$17)/12),IF(Assumptions!AF$72&lt;=$D$17+RetailDowntime,0,1)*$E$17*$B$17/12*INDEX(Cum_RetailRent,1,AF$77)*RenewalRentFactor)))</f>
        <v/>
      </c>
      <c r="AG29" s="50">
        <f>IF(Assumptions!AG$74=0,0,IF(Assumptions!AG$72&lt;$C$17,0,IF(Assumptions!AG$72&lt;=$D$17,$E$17*$B$17/12*(1+$F$17)^INT((Assumptions!AG$72-$C$17)/12),IF(Assumptions!AG$72&lt;=$D$17+RetailDowntime,0,1)*$E$17*$B$17/12*INDEX(Cum_RetailRent,1,AG$77)*RenewalRentFactor)))</f>
        <v/>
      </c>
      <c r="AH29" s="50">
        <f>IF(Assumptions!AH$74=0,0,IF(Assumptions!AH$72&lt;$C$17,0,IF(Assumptions!AH$72&lt;=$D$17,$E$17*$B$17/12*(1+$F$17)^INT((Assumptions!AH$72-$C$17)/12),IF(Assumptions!AH$72&lt;=$D$17+RetailDowntime,0,1)*$E$17*$B$17/12*INDEX(Cum_RetailRent,1,AH$77)*RenewalRentFactor)))</f>
        <v/>
      </c>
      <c r="AI29" s="50">
        <f>IF(Assumptions!AI$74=0,0,IF(Assumptions!AI$72&lt;$C$17,0,IF(Assumptions!AI$72&lt;=$D$17,$E$17*$B$17/12*(1+$F$17)^INT((Assumptions!AI$72-$C$17)/12),IF(Assumptions!AI$72&lt;=$D$17+RetailDowntime,0,1)*$E$17*$B$17/12*INDEX(Cum_RetailRent,1,AI$77)*RenewalRentFactor)))</f>
        <v/>
      </c>
      <c r="AJ29" s="50">
        <f>IF(Assumptions!AJ$74=0,0,IF(Assumptions!AJ$72&lt;$C$17,0,IF(Assumptions!AJ$72&lt;=$D$17,$E$17*$B$17/12*(1+$F$17)^INT((Assumptions!AJ$72-$C$17)/12),IF(Assumptions!AJ$72&lt;=$D$17+RetailDowntime,0,1)*$E$17*$B$17/12*INDEX(Cum_RetailRent,1,AJ$77)*RenewalRentFactor)))</f>
        <v/>
      </c>
      <c r="AK29" s="50">
        <f>IF(Assumptions!AK$74=0,0,IF(Assumptions!AK$72&lt;$C$17,0,IF(Assumptions!AK$72&lt;=$D$17,$E$17*$B$17/12*(1+$F$17)^INT((Assumptions!AK$72-$C$17)/12),IF(Assumptions!AK$72&lt;=$D$17+RetailDowntime,0,1)*$E$17*$B$17/12*INDEX(Cum_RetailRent,1,AK$77)*RenewalRentFactor)))</f>
        <v/>
      </c>
      <c r="AL29" s="50">
        <f>IF(Assumptions!AL$74=0,0,IF(Assumptions!AL$72&lt;$C$17,0,IF(Assumptions!AL$72&lt;=$D$17,$E$17*$B$17/12*(1+$F$17)^INT((Assumptions!AL$72-$C$17)/12),IF(Assumptions!AL$72&lt;=$D$17+RetailDowntime,0,1)*$E$17*$B$17/12*INDEX(Cum_RetailRent,1,AL$77)*RenewalRentFactor)))</f>
        <v/>
      </c>
      <c r="AM29" s="50">
        <f>IF(Assumptions!AM$74=0,0,IF(Assumptions!AM$72&lt;$C$17,0,IF(Assumptions!AM$72&lt;=$D$17,$E$17*$B$17/12*(1+$F$17)^INT((Assumptions!AM$72-$C$17)/12),IF(Assumptions!AM$72&lt;=$D$17+RetailDowntime,0,1)*$E$17*$B$17/12*INDEX(Cum_RetailRent,1,AM$77)*RenewalRentFactor)))</f>
        <v/>
      </c>
      <c r="AN29" s="50">
        <f>IF(Assumptions!AN$74=0,0,IF(Assumptions!AN$72&lt;$C$17,0,IF(Assumptions!AN$72&lt;=$D$17,$E$17*$B$17/12*(1+$F$17)^INT((Assumptions!AN$72-$C$17)/12),IF(Assumptions!AN$72&lt;=$D$17+RetailDowntime,0,1)*$E$17*$B$17/12*INDEX(Cum_RetailRent,1,AN$77)*RenewalRentFactor)))</f>
        <v/>
      </c>
      <c r="AO29" s="50">
        <f>IF(Assumptions!AO$74=0,0,IF(Assumptions!AO$72&lt;$C$17,0,IF(Assumptions!AO$72&lt;=$D$17,$E$17*$B$17/12*(1+$F$17)^INT((Assumptions!AO$72-$C$17)/12),IF(Assumptions!AO$72&lt;=$D$17+RetailDowntime,0,1)*$E$17*$B$17/12*INDEX(Cum_RetailRent,1,AO$77)*RenewalRentFactor)))</f>
        <v/>
      </c>
      <c r="AP29" s="50">
        <f>IF(Assumptions!AP$74=0,0,IF(Assumptions!AP$72&lt;$C$17,0,IF(Assumptions!AP$72&lt;=$D$17,$E$17*$B$17/12*(1+$F$17)^INT((Assumptions!AP$72-$C$17)/12),IF(Assumptions!AP$72&lt;=$D$17+RetailDowntime,0,1)*$E$17*$B$17/12*INDEX(Cum_RetailRent,1,AP$77)*RenewalRentFactor)))</f>
        <v/>
      </c>
      <c r="AQ29" s="50">
        <f>IF(Assumptions!AQ$74=0,0,IF(Assumptions!AQ$72&lt;$C$17,0,IF(Assumptions!AQ$72&lt;=$D$17,$E$17*$B$17/12*(1+$F$17)^INT((Assumptions!AQ$72-$C$17)/12),IF(Assumptions!AQ$72&lt;=$D$17+RetailDowntime,0,1)*$E$17*$B$17/12*INDEX(Cum_RetailRent,1,AQ$77)*RenewalRentFactor)))</f>
        <v/>
      </c>
      <c r="AR29" s="50">
        <f>IF(Assumptions!AR$74=0,0,IF(Assumptions!AR$72&lt;$C$17,0,IF(Assumptions!AR$72&lt;=$D$17,$E$17*$B$17/12*(1+$F$17)^INT((Assumptions!AR$72-$C$17)/12),IF(Assumptions!AR$72&lt;=$D$17+RetailDowntime,0,1)*$E$17*$B$17/12*INDEX(Cum_RetailRent,1,AR$77)*RenewalRentFactor)))</f>
        <v/>
      </c>
      <c r="AS29" s="50">
        <f>IF(Assumptions!AS$74=0,0,IF(Assumptions!AS$72&lt;$C$17,0,IF(Assumptions!AS$72&lt;=$D$17,$E$17*$B$17/12*(1+$F$17)^INT((Assumptions!AS$72-$C$17)/12),IF(Assumptions!AS$72&lt;=$D$17+RetailDowntime,0,1)*$E$17*$B$17/12*INDEX(Cum_RetailRent,1,AS$77)*RenewalRentFactor)))</f>
        <v/>
      </c>
      <c r="AT29" s="50">
        <f>IF(Assumptions!AT$74=0,0,IF(Assumptions!AT$72&lt;$C$17,0,IF(Assumptions!AT$72&lt;=$D$17,$E$17*$B$17/12*(1+$F$17)^INT((Assumptions!AT$72-$C$17)/12),IF(Assumptions!AT$72&lt;=$D$17+RetailDowntime,0,1)*$E$17*$B$17/12*INDEX(Cum_RetailRent,1,AT$77)*RenewalRentFactor)))</f>
        <v/>
      </c>
      <c r="AU29" s="50">
        <f>IF(Assumptions!AU$74=0,0,IF(Assumptions!AU$72&lt;$C$17,0,IF(Assumptions!AU$72&lt;=$D$17,$E$17*$B$17/12*(1+$F$17)^INT((Assumptions!AU$72-$C$17)/12),IF(Assumptions!AU$72&lt;=$D$17+RetailDowntime,0,1)*$E$17*$B$17/12*INDEX(Cum_RetailRent,1,AU$77)*RenewalRentFactor)))</f>
        <v/>
      </c>
      <c r="AV29" s="50">
        <f>IF(Assumptions!AV$74=0,0,IF(Assumptions!AV$72&lt;$C$17,0,IF(Assumptions!AV$72&lt;=$D$17,$E$17*$B$17/12*(1+$F$17)^INT((Assumptions!AV$72-$C$17)/12),IF(Assumptions!AV$72&lt;=$D$17+RetailDowntime,0,1)*$E$17*$B$17/12*INDEX(Cum_RetailRent,1,AV$77)*RenewalRentFactor)))</f>
        <v/>
      </c>
      <c r="AW29" s="50">
        <f>IF(Assumptions!AW$74=0,0,IF(Assumptions!AW$72&lt;$C$17,0,IF(Assumptions!AW$72&lt;=$D$17,$E$17*$B$17/12*(1+$F$17)^INT((Assumptions!AW$72-$C$17)/12),IF(Assumptions!AW$72&lt;=$D$17+RetailDowntime,0,1)*$E$17*$B$17/12*INDEX(Cum_RetailRent,1,AW$77)*RenewalRentFactor)))</f>
        <v/>
      </c>
      <c r="AX29" s="50">
        <f>IF(Assumptions!AX$74=0,0,IF(Assumptions!AX$72&lt;$C$17,0,IF(Assumptions!AX$72&lt;=$D$17,$E$17*$B$17/12*(1+$F$17)^INT((Assumptions!AX$72-$C$17)/12),IF(Assumptions!AX$72&lt;=$D$17+RetailDowntime,0,1)*$E$17*$B$17/12*INDEX(Cum_RetailRent,1,AX$77)*RenewalRentFactor)))</f>
        <v/>
      </c>
      <c r="AY29" s="50">
        <f>IF(Assumptions!AY$74=0,0,IF(Assumptions!AY$72&lt;$C$17,0,IF(Assumptions!AY$72&lt;=$D$17,$E$17*$B$17/12*(1+$F$17)^INT((Assumptions!AY$72-$C$17)/12),IF(Assumptions!AY$72&lt;=$D$17+RetailDowntime,0,1)*$E$17*$B$17/12*INDEX(Cum_RetailRent,1,AY$77)*RenewalRentFactor)))</f>
        <v/>
      </c>
      <c r="AZ29" s="50">
        <f>IF(Assumptions!AZ$74=0,0,IF(Assumptions!AZ$72&lt;$C$17,0,IF(Assumptions!AZ$72&lt;=$D$17,$E$17*$B$17/12*(1+$F$17)^INT((Assumptions!AZ$72-$C$17)/12),IF(Assumptions!AZ$72&lt;=$D$17+RetailDowntime,0,1)*$E$17*$B$17/12*INDEX(Cum_RetailRent,1,AZ$77)*RenewalRentFactor)))</f>
        <v/>
      </c>
      <c r="BA29" s="50">
        <f>IF(Assumptions!BA$74=0,0,IF(Assumptions!BA$72&lt;$C$17,0,IF(Assumptions!BA$72&lt;=$D$17,$E$17*$B$17/12*(1+$F$17)^INT((Assumptions!BA$72-$C$17)/12),IF(Assumptions!BA$72&lt;=$D$17+RetailDowntime,0,1)*$E$17*$B$17/12*INDEX(Cum_RetailRent,1,BA$77)*RenewalRentFactor)))</f>
        <v/>
      </c>
      <c r="BB29" s="50">
        <f>IF(Assumptions!BB$74=0,0,IF(Assumptions!BB$72&lt;$C$17,0,IF(Assumptions!BB$72&lt;=$D$17,$E$17*$B$17/12*(1+$F$17)^INT((Assumptions!BB$72-$C$17)/12),IF(Assumptions!BB$72&lt;=$D$17+RetailDowntime,0,1)*$E$17*$B$17/12*INDEX(Cum_RetailRent,1,BB$77)*RenewalRentFactor)))</f>
        <v/>
      </c>
      <c r="BC29" s="50">
        <f>IF(Assumptions!BC$74=0,0,IF(Assumptions!BC$72&lt;$C$17,0,IF(Assumptions!BC$72&lt;=$D$17,$E$17*$B$17/12*(1+$F$17)^INT((Assumptions!BC$72-$C$17)/12),IF(Assumptions!BC$72&lt;=$D$17+RetailDowntime,0,1)*$E$17*$B$17/12*INDEX(Cum_RetailRent,1,BC$77)*RenewalRentFactor)))</f>
        <v/>
      </c>
      <c r="BD29" s="50">
        <f>IF(Assumptions!BD$74=0,0,IF(Assumptions!BD$72&lt;$C$17,0,IF(Assumptions!BD$72&lt;=$D$17,$E$17*$B$17/12*(1+$F$17)^INT((Assumptions!BD$72-$C$17)/12),IF(Assumptions!BD$72&lt;=$D$17+RetailDowntime,0,1)*$E$17*$B$17/12*INDEX(Cum_RetailRent,1,BD$77)*RenewalRentFactor)))</f>
        <v/>
      </c>
      <c r="BE29" s="50">
        <f>IF(Assumptions!BE$74=0,0,IF(Assumptions!BE$72&lt;$C$17,0,IF(Assumptions!BE$72&lt;=$D$17,$E$17*$B$17/12*(1+$F$17)^INT((Assumptions!BE$72-$C$17)/12),IF(Assumptions!BE$72&lt;=$D$17+RetailDowntime,0,1)*$E$17*$B$17/12*INDEX(Cum_RetailRent,1,BE$77)*RenewalRentFactor)))</f>
        <v/>
      </c>
      <c r="BF29" s="50">
        <f>IF(Assumptions!BF$74=0,0,IF(Assumptions!BF$72&lt;$C$17,0,IF(Assumptions!BF$72&lt;=$D$17,$E$17*$B$17/12*(1+$F$17)^INT((Assumptions!BF$72-$C$17)/12),IF(Assumptions!BF$72&lt;=$D$17+RetailDowntime,0,1)*$E$17*$B$17/12*INDEX(Cum_RetailRent,1,BF$77)*RenewalRentFactor)))</f>
        <v/>
      </c>
      <c r="BG29" s="50">
        <f>IF(Assumptions!BG$74=0,0,IF(Assumptions!BG$72&lt;$C$17,0,IF(Assumptions!BG$72&lt;=$D$17,$E$17*$B$17/12*(1+$F$17)^INT((Assumptions!BG$72-$C$17)/12),IF(Assumptions!BG$72&lt;=$D$17+RetailDowntime,0,1)*$E$17*$B$17/12*INDEX(Cum_RetailRent,1,BG$77)*RenewalRentFactor)))</f>
        <v/>
      </c>
      <c r="BH29" s="50">
        <f>IF(Assumptions!BH$74=0,0,IF(Assumptions!BH$72&lt;$C$17,0,IF(Assumptions!BH$72&lt;=$D$17,$E$17*$B$17/12*(1+$F$17)^INT((Assumptions!BH$72-$C$17)/12),IF(Assumptions!BH$72&lt;=$D$17+RetailDowntime,0,1)*$E$17*$B$17/12*INDEX(Cum_RetailRent,1,BH$77)*RenewalRentFactor)))</f>
        <v/>
      </c>
      <c r="BI29" s="50">
        <f>IF(Assumptions!BI$74=0,0,IF(Assumptions!BI$72&lt;$C$17,0,IF(Assumptions!BI$72&lt;=$D$17,$E$17*$B$17/12*(1+$F$17)^INT((Assumptions!BI$72-$C$17)/12),IF(Assumptions!BI$72&lt;=$D$17+RetailDowntime,0,1)*$E$17*$B$17/12*INDEX(Cum_RetailRent,1,BI$77)*RenewalRentFactor)))</f>
        <v/>
      </c>
      <c r="BJ29" s="50">
        <f>IF(Assumptions!BJ$74=0,0,IF(Assumptions!BJ$72&lt;$C$17,0,IF(Assumptions!BJ$72&lt;=$D$17,$E$17*$B$17/12*(1+$F$17)^INT((Assumptions!BJ$72-$C$17)/12),IF(Assumptions!BJ$72&lt;=$D$17+RetailDowntime,0,1)*$E$17*$B$17/12*INDEX(Cum_RetailRent,1,BJ$77)*RenewalRentFactor)))</f>
        <v/>
      </c>
      <c r="BK29" s="50">
        <f>IF(Assumptions!BK$74=0,0,IF(Assumptions!BK$72&lt;$C$17,0,IF(Assumptions!BK$72&lt;=$D$17,$E$17*$B$17/12*(1+$F$17)^INT((Assumptions!BK$72-$C$17)/12),IF(Assumptions!BK$72&lt;=$D$17+RetailDowntime,0,1)*$E$17*$B$17/12*INDEX(Cum_RetailRent,1,BK$77)*RenewalRentFactor)))</f>
        <v/>
      </c>
      <c r="BL29" s="50">
        <f>IF(Assumptions!BL$74=0,0,IF(Assumptions!BL$72&lt;$C$17,0,IF(Assumptions!BL$72&lt;=$D$17,$E$17*$B$17/12*(1+$F$17)^INT((Assumptions!BL$72-$C$17)/12),IF(Assumptions!BL$72&lt;=$D$17+RetailDowntime,0,1)*$E$17*$B$17/12*INDEX(Cum_RetailRent,1,BL$77)*RenewalRentFactor)))</f>
        <v/>
      </c>
      <c r="BM29" s="50">
        <f>IF(Assumptions!BM$74=0,0,IF(Assumptions!BM$72&lt;$C$17,0,IF(Assumptions!BM$72&lt;=$D$17,$E$17*$B$17/12*(1+$F$17)^INT((Assumptions!BM$72-$C$17)/12),IF(Assumptions!BM$72&lt;=$D$17+RetailDowntime,0,1)*$E$17*$B$17/12*INDEX(Cum_RetailRent,1,BM$77)*RenewalRentFactor)))</f>
        <v/>
      </c>
      <c r="BN29" s="50">
        <f>IF(Assumptions!BN$74=0,0,IF(Assumptions!BN$72&lt;$C$17,0,IF(Assumptions!BN$72&lt;=$D$17,$E$17*$B$17/12*(1+$F$17)^INT((Assumptions!BN$72-$C$17)/12),IF(Assumptions!BN$72&lt;=$D$17+RetailDowntime,0,1)*$E$17*$B$17/12*INDEX(Cum_RetailRent,1,BN$77)*RenewalRentFactor)))</f>
        <v/>
      </c>
      <c r="BO29" s="50">
        <f>IF(Assumptions!BO$74=0,0,IF(Assumptions!BO$72&lt;$C$17,0,IF(Assumptions!BO$72&lt;=$D$17,$E$17*$B$17/12*(1+$F$17)^INT((Assumptions!BO$72-$C$17)/12),IF(Assumptions!BO$72&lt;=$D$17+RetailDowntime,0,1)*$E$17*$B$17/12*INDEX(Cum_RetailRent,1,BO$77)*RenewalRentFactor)))</f>
        <v/>
      </c>
      <c r="BP29" s="50">
        <f>IF(Assumptions!BP$74=0,0,IF(Assumptions!BP$72&lt;$C$17,0,IF(Assumptions!BP$72&lt;=$D$17,$E$17*$B$17/12*(1+$F$17)^INT((Assumptions!BP$72-$C$17)/12),IF(Assumptions!BP$72&lt;=$D$17+RetailDowntime,0,1)*$E$17*$B$17/12*INDEX(Cum_RetailRent,1,BP$77)*RenewalRentFactor)))</f>
        <v/>
      </c>
      <c r="BQ29" s="50">
        <f>IF(Assumptions!BQ$74=0,0,IF(Assumptions!BQ$72&lt;$C$17,0,IF(Assumptions!BQ$72&lt;=$D$17,$E$17*$B$17/12*(1+$F$17)^INT((Assumptions!BQ$72-$C$17)/12),IF(Assumptions!BQ$72&lt;=$D$17+RetailDowntime,0,1)*$E$17*$B$17/12*INDEX(Cum_RetailRent,1,BQ$77)*RenewalRentFactor)))</f>
        <v/>
      </c>
      <c r="BR29" s="50">
        <f>IF(Assumptions!BR$74=0,0,IF(Assumptions!BR$72&lt;$C$17,0,IF(Assumptions!BR$72&lt;=$D$17,$E$17*$B$17/12*(1+$F$17)^INT((Assumptions!BR$72-$C$17)/12),IF(Assumptions!BR$72&lt;=$D$17+RetailDowntime,0,1)*$E$17*$B$17/12*INDEX(Cum_RetailRent,1,BR$77)*RenewalRentFactor)))</f>
        <v/>
      </c>
      <c r="BS29" s="50">
        <f>IF(Assumptions!BS$74=0,0,IF(Assumptions!BS$72&lt;$C$17,0,IF(Assumptions!BS$72&lt;=$D$17,$E$17*$B$17/12*(1+$F$17)^INT((Assumptions!BS$72-$C$17)/12),IF(Assumptions!BS$72&lt;=$D$17+RetailDowntime,0,1)*$E$17*$B$17/12*INDEX(Cum_RetailRent,1,BS$77)*RenewalRentFactor)))</f>
        <v/>
      </c>
      <c r="BT29" s="50">
        <f>IF(Assumptions!BT$74=0,0,IF(Assumptions!BT$72&lt;$C$17,0,IF(Assumptions!BT$72&lt;=$D$17,$E$17*$B$17/12*(1+$F$17)^INT((Assumptions!BT$72-$C$17)/12),IF(Assumptions!BT$72&lt;=$D$17+RetailDowntime,0,1)*$E$17*$B$17/12*INDEX(Cum_RetailRent,1,BT$77)*RenewalRentFactor)))</f>
        <v/>
      </c>
      <c r="BU29" s="50">
        <f>IF(Assumptions!BU$74=0,0,IF(Assumptions!BU$72&lt;$C$17,0,IF(Assumptions!BU$72&lt;=$D$17,$E$17*$B$17/12*(1+$F$17)^INT((Assumptions!BU$72-$C$17)/12),IF(Assumptions!BU$72&lt;=$D$17+RetailDowntime,0,1)*$E$17*$B$17/12*INDEX(Cum_RetailRent,1,BU$77)*RenewalRentFactor)))</f>
        <v/>
      </c>
      <c r="BV29" s="50">
        <f>IF(Assumptions!BV$74=0,0,IF(Assumptions!BV$72&lt;$C$17,0,IF(Assumptions!BV$72&lt;=$D$17,$E$17*$B$17/12*(1+$F$17)^INT((Assumptions!BV$72-$C$17)/12),IF(Assumptions!BV$72&lt;=$D$17+RetailDowntime,0,1)*$E$17*$B$17/12*INDEX(Cum_RetailRent,1,BV$77)*RenewalRentFactor)))</f>
        <v/>
      </c>
      <c r="BW29" s="50">
        <f>IF(Assumptions!BW$74=0,0,IF(Assumptions!BW$72&lt;$C$17,0,IF(Assumptions!BW$72&lt;=$D$17,$E$17*$B$17/12*(1+$F$17)^INT((Assumptions!BW$72-$C$17)/12),IF(Assumptions!BW$72&lt;=$D$17+RetailDowntime,0,1)*$E$17*$B$17/12*INDEX(Cum_RetailRent,1,BW$77)*RenewalRentFactor)))</f>
        <v/>
      </c>
      <c r="BX29" s="50">
        <f>IF(Assumptions!BX$74=0,0,IF(Assumptions!BX$72&lt;$C$17,0,IF(Assumptions!BX$72&lt;=$D$17,$E$17*$B$17/12*(1+$F$17)^INT((Assumptions!BX$72-$C$17)/12),IF(Assumptions!BX$72&lt;=$D$17+RetailDowntime,0,1)*$E$17*$B$17/12*INDEX(Cum_RetailRent,1,BX$77)*RenewalRentFactor)))</f>
        <v/>
      </c>
      <c r="BY29" s="50">
        <f>IF(Assumptions!BY$74=0,0,IF(Assumptions!BY$72&lt;$C$17,0,IF(Assumptions!BY$72&lt;=$D$17,$E$17*$B$17/12*(1+$F$17)^INT((Assumptions!BY$72-$C$17)/12),IF(Assumptions!BY$72&lt;=$D$17+RetailDowntime,0,1)*$E$17*$B$17/12*INDEX(Cum_RetailRent,1,BY$77)*RenewalRentFactor)))</f>
        <v/>
      </c>
      <c r="BZ29" s="50">
        <f>IF(Assumptions!BZ$74=0,0,IF(Assumptions!BZ$72&lt;$C$17,0,IF(Assumptions!BZ$72&lt;=$D$17,$E$17*$B$17/12*(1+$F$17)^INT((Assumptions!BZ$72-$C$17)/12),IF(Assumptions!BZ$72&lt;=$D$17+RetailDowntime,0,1)*$E$17*$B$17/12*INDEX(Cum_RetailRent,1,BZ$77)*RenewalRentFactor)))</f>
        <v/>
      </c>
      <c r="CA29" s="50">
        <f>IF(Assumptions!CA$74=0,0,IF(Assumptions!CA$72&lt;$C$17,0,IF(Assumptions!CA$72&lt;=$D$17,$E$17*$B$17/12*(1+$F$17)^INT((Assumptions!CA$72-$C$17)/12),IF(Assumptions!CA$72&lt;=$D$17+RetailDowntime,0,1)*$E$17*$B$17/12*INDEX(Cum_RetailRent,1,CA$77)*RenewalRentFactor)))</f>
        <v/>
      </c>
      <c r="CB29" s="50">
        <f>IF(Assumptions!CB$74=0,0,IF(Assumptions!CB$72&lt;$C$17,0,IF(Assumptions!CB$72&lt;=$D$17,$E$17*$B$17/12*(1+$F$17)^INT((Assumptions!CB$72-$C$17)/12),IF(Assumptions!CB$72&lt;=$D$17+RetailDowntime,0,1)*$E$17*$B$17/12*INDEX(Cum_RetailRent,1,CB$77)*RenewalRentFactor)))</f>
        <v/>
      </c>
      <c r="CC29" s="50">
        <f>IF(Assumptions!CC$74=0,0,IF(Assumptions!CC$72&lt;$C$17,0,IF(Assumptions!CC$72&lt;=$D$17,$E$17*$B$17/12*(1+$F$17)^INT((Assumptions!CC$72-$C$17)/12),IF(Assumptions!CC$72&lt;=$D$17+RetailDowntime,0,1)*$E$17*$B$17/12*INDEX(Cum_RetailRent,1,CC$77)*RenewalRentFactor)))</f>
        <v/>
      </c>
      <c r="CD29" s="50">
        <f>IF(Assumptions!CD$74=0,0,IF(Assumptions!CD$72&lt;$C$17,0,IF(Assumptions!CD$72&lt;=$D$17,$E$17*$B$17/12*(1+$F$17)^INT((Assumptions!CD$72-$C$17)/12),IF(Assumptions!CD$72&lt;=$D$17+RetailDowntime,0,1)*$E$17*$B$17/12*INDEX(Cum_RetailRent,1,CD$77)*RenewalRentFactor)))</f>
        <v/>
      </c>
      <c r="CE29" s="50">
        <f>IF(Assumptions!CE$74=0,0,IF(Assumptions!CE$72&lt;$C$17,0,IF(Assumptions!CE$72&lt;=$D$17,$E$17*$B$17/12*(1+$F$17)^INT((Assumptions!CE$72-$C$17)/12),IF(Assumptions!CE$72&lt;=$D$17+RetailDowntime,0,1)*$E$17*$B$17/12*INDEX(Cum_RetailRent,1,CE$77)*RenewalRentFactor)))</f>
        <v/>
      </c>
      <c r="CF29" s="50">
        <f>IF(Assumptions!CF$74=0,0,IF(Assumptions!CF$72&lt;$C$17,0,IF(Assumptions!CF$72&lt;=$D$17,$E$17*$B$17/12*(1+$F$17)^INT((Assumptions!CF$72-$C$17)/12),IF(Assumptions!CF$72&lt;=$D$17+RetailDowntime,0,1)*$E$17*$B$17/12*INDEX(Cum_RetailRent,1,CF$77)*RenewalRentFactor)))</f>
        <v/>
      </c>
      <c r="CG29" s="50">
        <f>IF(Assumptions!CG$74=0,0,IF(Assumptions!CG$72&lt;$C$17,0,IF(Assumptions!CG$72&lt;=$D$17,$E$17*$B$17/12*(1+$F$17)^INT((Assumptions!CG$72-$C$17)/12),IF(Assumptions!CG$72&lt;=$D$17+RetailDowntime,0,1)*$E$17*$B$17/12*INDEX(Cum_RetailRent,1,CG$77)*RenewalRentFactor)))</f>
        <v/>
      </c>
      <c r="CH29" s="50">
        <f>IF(Assumptions!CH$74=0,0,IF(Assumptions!CH$72&lt;$C$17,0,IF(Assumptions!CH$72&lt;=$D$17,$E$17*$B$17/12*(1+$F$17)^INT((Assumptions!CH$72-$C$17)/12),IF(Assumptions!CH$72&lt;=$D$17+RetailDowntime,0,1)*$E$17*$B$17/12*INDEX(Cum_RetailRent,1,CH$77)*RenewalRentFactor)))</f>
        <v/>
      </c>
      <c r="CI29" s="50">
        <f>IF(Assumptions!CI$74=0,0,IF(Assumptions!CI$72&lt;$C$17,0,IF(Assumptions!CI$72&lt;=$D$17,$E$17*$B$17/12*(1+$F$17)^INT((Assumptions!CI$72-$C$17)/12),IF(Assumptions!CI$72&lt;=$D$17+RetailDowntime,0,1)*$E$17*$B$17/12*INDEX(Cum_RetailRent,1,CI$77)*RenewalRentFactor)))</f>
        <v/>
      </c>
      <c r="CJ29" s="50">
        <f>IF(Assumptions!CJ$74=0,0,IF(Assumptions!CJ$72&lt;$C$17,0,IF(Assumptions!CJ$72&lt;=$D$17,$E$17*$B$17/12*(1+$F$17)^INT((Assumptions!CJ$72-$C$17)/12),IF(Assumptions!CJ$72&lt;=$D$17+RetailDowntime,0,1)*$E$17*$B$17/12*INDEX(Cum_RetailRent,1,CJ$77)*RenewalRentFactor)))</f>
        <v/>
      </c>
      <c r="CK29" s="50">
        <f>IF(Assumptions!CK$74=0,0,IF(Assumptions!CK$72&lt;$C$17,0,IF(Assumptions!CK$72&lt;=$D$17,$E$17*$B$17/12*(1+$F$17)^INT((Assumptions!CK$72-$C$17)/12),IF(Assumptions!CK$72&lt;=$D$17+RetailDowntime,0,1)*$E$17*$B$17/12*INDEX(Cum_RetailRent,1,CK$77)*RenewalRentFactor)))</f>
        <v/>
      </c>
      <c r="CL29" s="50">
        <f>IF(Assumptions!CL$74=0,0,IF(Assumptions!CL$72&lt;$C$17,0,IF(Assumptions!CL$72&lt;=$D$17,$E$17*$B$17/12*(1+$F$17)^INT((Assumptions!CL$72-$C$17)/12),IF(Assumptions!CL$72&lt;=$D$17+RetailDowntime,0,1)*$E$17*$B$17/12*INDEX(Cum_RetailRent,1,CL$77)*RenewalRentFactor)))</f>
        <v/>
      </c>
      <c r="CM29" s="50">
        <f>IF(Assumptions!CM$74=0,0,IF(Assumptions!CM$72&lt;$C$17,0,IF(Assumptions!CM$72&lt;=$D$17,$E$17*$B$17/12*(1+$F$17)^INT((Assumptions!CM$72-$C$17)/12),IF(Assumptions!CM$72&lt;=$D$17+RetailDowntime,0,1)*$E$17*$B$17/12*INDEX(Cum_RetailRent,1,CM$77)*RenewalRentFactor)))</f>
        <v/>
      </c>
      <c r="CN29" s="50">
        <f>IF(Assumptions!CN$74=0,0,IF(Assumptions!CN$72&lt;$C$17,0,IF(Assumptions!CN$72&lt;=$D$17,$E$17*$B$17/12*(1+$F$17)^INT((Assumptions!CN$72-$C$17)/12),IF(Assumptions!CN$72&lt;=$D$17+RetailDowntime,0,1)*$E$17*$B$17/12*INDEX(Cum_RetailRent,1,CN$77)*RenewalRentFactor)))</f>
        <v/>
      </c>
      <c r="CO29" s="50">
        <f>IF(Assumptions!CO$74=0,0,IF(Assumptions!CO$72&lt;$C$17,0,IF(Assumptions!CO$72&lt;=$D$17,$E$17*$B$17/12*(1+$F$17)^INT((Assumptions!CO$72-$C$17)/12),IF(Assumptions!CO$72&lt;=$D$17+RetailDowntime,0,1)*$E$17*$B$17/12*INDEX(Cum_RetailRent,1,CO$77)*RenewalRentFactor)))</f>
        <v/>
      </c>
      <c r="CP29" s="50">
        <f>IF(Assumptions!CP$74=0,0,IF(Assumptions!CP$72&lt;$C$17,0,IF(Assumptions!CP$72&lt;=$D$17,$E$17*$B$17/12*(1+$F$17)^INT((Assumptions!CP$72-$C$17)/12),IF(Assumptions!CP$72&lt;=$D$17+RetailDowntime,0,1)*$E$17*$B$17/12*INDEX(Cum_RetailRent,1,CP$77)*RenewalRentFactor)))</f>
        <v/>
      </c>
      <c r="CQ29" s="50">
        <f>IF(Assumptions!CQ$74=0,0,IF(Assumptions!CQ$72&lt;$C$17,0,IF(Assumptions!CQ$72&lt;=$D$17,$E$17*$B$17/12*(1+$F$17)^INT((Assumptions!CQ$72-$C$17)/12),IF(Assumptions!CQ$72&lt;=$D$17+RetailDowntime,0,1)*$E$17*$B$17/12*INDEX(Cum_RetailRent,1,CQ$77)*RenewalRentFactor)))</f>
        <v/>
      </c>
      <c r="CR29" s="50">
        <f>IF(Assumptions!CR$74=0,0,IF(Assumptions!CR$72&lt;$C$17,0,IF(Assumptions!CR$72&lt;=$D$17,$E$17*$B$17/12*(1+$F$17)^INT((Assumptions!CR$72-$C$17)/12),IF(Assumptions!CR$72&lt;=$D$17+RetailDowntime,0,1)*$E$17*$B$17/12*INDEX(Cum_RetailRent,1,CR$77)*RenewalRentFactor)))</f>
        <v/>
      </c>
      <c r="CS29" s="50">
        <f>IF(Assumptions!CS$74=0,0,IF(Assumptions!CS$72&lt;$C$17,0,IF(Assumptions!CS$72&lt;=$D$17,$E$17*$B$17/12*(1+$F$17)^INT((Assumptions!CS$72-$C$17)/12),IF(Assumptions!CS$72&lt;=$D$17+RetailDowntime,0,1)*$E$17*$B$17/12*INDEX(Cum_RetailRent,1,CS$77)*RenewalRentFactor)))</f>
        <v/>
      </c>
      <c r="CT29" s="50">
        <f>IF(Assumptions!CT$74=0,0,IF(Assumptions!CT$72&lt;$C$17,0,IF(Assumptions!CT$72&lt;=$D$17,$E$17*$B$17/12*(1+$F$17)^INT((Assumptions!CT$72-$C$17)/12),IF(Assumptions!CT$72&lt;=$D$17+RetailDowntime,0,1)*$E$17*$B$17/12*INDEX(Cum_RetailRent,1,CT$77)*RenewalRentFactor)))</f>
        <v/>
      </c>
      <c r="CU29" s="50">
        <f>IF(Assumptions!CU$74=0,0,IF(Assumptions!CU$72&lt;$C$17,0,IF(Assumptions!CU$72&lt;=$D$17,$E$17*$B$17/12*(1+$F$17)^INT((Assumptions!CU$72-$C$17)/12),IF(Assumptions!CU$72&lt;=$D$17+RetailDowntime,0,1)*$E$17*$B$17/12*INDEX(Cum_RetailRent,1,CU$77)*RenewalRentFactor)))</f>
        <v/>
      </c>
      <c r="CV29" s="50">
        <f>IF(Assumptions!CV$74=0,0,IF(Assumptions!CV$72&lt;$C$17,0,IF(Assumptions!CV$72&lt;=$D$17,$E$17*$B$17/12*(1+$F$17)^INT((Assumptions!CV$72-$C$17)/12),IF(Assumptions!CV$72&lt;=$D$17+RetailDowntime,0,1)*$E$17*$B$17/12*INDEX(Cum_RetailRent,1,CV$77)*RenewalRentFactor)))</f>
        <v/>
      </c>
      <c r="CW29" s="50">
        <f>IF(Assumptions!CW$74=0,0,IF(Assumptions!CW$72&lt;$C$17,0,IF(Assumptions!CW$72&lt;=$D$17,$E$17*$B$17/12*(1+$F$17)^INT((Assumptions!CW$72-$C$17)/12),IF(Assumptions!CW$72&lt;=$D$17+RetailDowntime,0,1)*$E$17*$B$17/12*INDEX(Cum_RetailRent,1,CW$77)*RenewalRentFactor)))</f>
        <v/>
      </c>
      <c r="CX29" s="50">
        <f>IF(Assumptions!CX$74=0,0,IF(Assumptions!CX$72&lt;$C$17,0,IF(Assumptions!CX$72&lt;=$D$17,$E$17*$B$17/12*(1+$F$17)^INT((Assumptions!CX$72-$C$17)/12),IF(Assumptions!CX$72&lt;=$D$17+RetailDowntime,0,1)*$E$17*$B$17/12*INDEX(Cum_RetailRent,1,CX$77)*RenewalRentFactor)))</f>
        <v/>
      </c>
      <c r="CY29" s="50">
        <f>IF(Assumptions!CY$74=0,0,IF(Assumptions!CY$72&lt;$C$17,0,IF(Assumptions!CY$72&lt;=$D$17,$E$17*$B$17/12*(1+$F$17)^INT((Assumptions!CY$72-$C$17)/12),IF(Assumptions!CY$72&lt;=$D$17+RetailDowntime,0,1)*$E$17*$B$17/12*INDEX(Cum_RetailRent,1,CY$77)*RenewalRentFactor)))</f>
        <v/>
      </c>
      <c r="CZ29" s="50">
        <f>IF(Assumptions!CZ$74=0,0,IF(Assumptions!CZ$72&lt;$C$17,0,IF(Assumptions!CZ$72&lt;=$D$17,$E$17*$B$17/12*(1+$F$17)^INT((Assumptions!CZ$72-$C$17)/12),IF(Assumptions!CZ$72&lt;=$D$17+RetailDowntime,0,1)*$E$17*$B$17/12*INDEX(Cum_RetailRent,1,CZ$77)*RenewalRentFactor)))</f>
        <v/>
      </c>
      <c r="DA29" s="50">
        <f>IF(Assumptions!DA$74=0,0,IF(Assumptions!DA$72&lt;$C$17,0,IF(Assumptions!DA$72&lt;=$D$17,$E$17*$B$17/12*(1+$F$17)^INT((Assumptions!DA$72-$C$17)/12),IF(Assumptions!DA$72&lt;=$D$17+RetailDowntime,0,1)*$E$17*$B$17/12*INDEX(Cum_RetailRent,1,DA$77)*RenewalRentFactor)))</f>
        <v/>
      </c>
      <c r="DB29" s="50">
        <f>IF(Assumptions!DB$74=0,0,IF(Assumptions!DB$72&lt;$C$17,0,IF(Assumptions!DB$72&lt;=$D$17,$E$17*$B$17/12*(1+$F$17)^INT((Assumptions!DB$72-$C$17)/12),IF(Assumptions!DB$72&lt;=$D$17+RetailDowntime,0,1)*$E$17*$B$17/12*INDEX(Cum_RetailRent,1,DB$77)*RenewalRentFactor)))</f>
        <v/>
      </c>
      <c r="DC29" s="50">
        <f>IF(Assumptions!DC$74=0,0,IF(Assumptions!DC$72&lt;$C$17,0,IF(Assumptions!DC$72&lt;=$D$17,$E$17*$B$17/12*(1+$F$17)^INT((Assumptions!DC$72-$C$17)/12),IF(Assumptions!DC$72&lt;=$D$17+RetailDowntime,0,1)*$E$17*$B$17/12*INDEX(Cum_RetailRent,1,DC$77)*RenewalRentFactor)))</f>
        <v/>
      </c>
      <c r="DD29" s="50">
        <f>IF(Assumptions!DD$74=0,0,IF(Assumptions!DD$72&lt;$C$17,0,IF(Assumptions!DD$72&lt;=$D$17,$E$17*$B$17/12*(1+$F$17)^INT((Assumptions!DD$72-$C$17)/12),IF(Assumptions!DD$72&lt;=$D$17+RetailDowntime,0,1)*$E$17*$B$17/12*INDEX(Cum_RetailRent,1,DD$77)*RenewalRentFactor)))</f>
        <v/>
      </c>
      <c r="DE29" s="50">
        <f>IF(Assumptions!DE$74=0,0,IF(Assumptions!DE$72&lt;$C$17,0,IF(Assumptions!DE$72&lt;=$D$17,$E$17*$B$17/12*(1+$F$17)^INT((Assumptions!DE$72-$C$17)/12),IF(Assumptions!DE$72&lt;=$D$17+RetailDowntime,0,1)*$E$17*$B$17/12*INDEX(Cum_RetailRent,1,DE$77)*RenewalRentFactor)))</f>
        <v/>
      </c>
      <c r="DF29" s="50">
        <f>IF(Assumptions!DF$74=0,0,IF(Assumptions!DF$72&lt;$C$17,0,IF(Assumptions!DF$72&lt;=$D$17,$E$17*$B$17/12*(1+$F$17)^INT((Assumptions!DF$72-$C$17)/12),IF(Assumptions!DF$72&lt;=$D$17+RetailDowntime,0,1)*$E$17*$B$17/12*INDEX(Cum_RetailRent,1,DF$77)*RenewalRentFactor)))</f>
        <v/>
      </c>
      <c r="DG29" s="50">
        <f>IF(Assumptions!DG$74=0,0,IF(Assumptions!DG$72&lt;$C$17,0,IF(Assumptions!DG$72&lt;=$D$17,$E$17*$B$17/12*(1+$F$17)^INT((Assumptions!DG$72-$C$17)/12),IF(Assumptions!DG$72&lt;=$D$17+RetailDowntime,0,1)*$E$17*$B$17/12*INDEX(Cum_RetailRent,1,DG$77)*RenewalRentFactor)))</f>
        <v/>
      </c>
      <c r="DH29" s="50">
        <f>IF(Assumptions!DH$74=0,0,IF(Assumptions!DH$72&lt;$C$17,0,IF(Assumptions!DH$72&lt;=$D$17,$E$17*$B$17/12*(1+$F$17)^INT((Assumptions!DH$72-$C$17)/12),IF(Assumptions!DH$72&lt;=$D$17+RetailDowntime,0,1)*$E$17*$B$17/12*INDEX(Cum_RetailRent,1,DH$77)*RenewalRentFactor)))</f>
        <v/>
      </c>
      <c r="DI29" s="50">
        <f>IF(Assumptions!DI$74=0,0,IF(Assumptions!DI$72&lt;$C$17,0,IF(Assumptions!DI$72&lt;=$D$17,$E$17*$B$17/12*(1+$F$17)^INT((Assumptions!DI$72-$C$17)/12),IF(Assumptions!DI$72&lt;=$D$17+RetailDowntime,0,1)*$E$17*$B$17/12*INDEX(Cum_RetailRent,1,DI$77)*RenewalRentFactor)))</f>
        <v/>
      </c>
      <c r="DJ29" s="50">
        <f>IF(Assumptions!DJ$74=0,0,IF(Assumptions!DJ$72&lt;$C$17,0,IF(Assumptions!DJ$72&lt;=$D$17,$E$17*$B$17/12*(1+$F$17)^INT((Assumptions!DJ$72-$C$17)/12),IF(Assumptions!DJ$72&lt;=$D$17+RetailDowntime,0,1)*$E$17*$B$17/12*INDEX(Cum_RetailRent,1,DJ$77)*RenewalRentFactor)))</f>
        <v/>
      </c>
      <c r="DK29" s="50">
        <f>IF(Assumptions!DK$74=0,0,IF(Assumptions!DK$72&lt;$C$17,0,IF(Assumptions!DK$72&lt;=$D$17,$E$17*$B$17/12*(1+$F$17)^INT((Assumptions!DK$72-$C$17)/12),IF(Assumptions!DK$72&lt;=$D$17+RetailDowntime,0,1)*$E$17*$B$17/12*INDEX(Cum_RetailRent,1,DK$77)*RenewalRentFactor)))</f>
        <v/>
      </c>
      <c r="DL29" s="50">
        <f>IF(Assumptions!DL$74=0,0,IF(Assumptions!DL$72&lt;$C$17,0,IF(Assumptions!DL$72&lt;=$D$17,$E$17*$B$17/12*(1+$F$17)^INT((Assumptions!DL$72-$C$17)/12),IF(Assumptions!DL$72&lt;=$D$17+RetailDowntime,0,1)*$E$17*$B$17/12*INDEX(Cum_RetailRent,1,DL$77)*RenewalRentFactor)))</f>
        <v/>
      </c>
      <c r="DM29" s="50">
        <f>IF(Assumptions!DM$74=0,0,IF(Assumptions!DM$72&lt;$C$17,0,IF(Assumptions!DM$72&lt;=$D$17,$E$17*$B$17/12*(1+$F$17)^INT((Assumptions!DM$72-$C$17)/12),IF(Assumptions!DM$72&lt;=$D$17+RetailDowntime,0,1)*$E$17*$B$17/12*INDEX(Cum_RetailRent,1,DM$77)*RenewalRentFactor)))</f>
        <v/>
      </c>
      <c r="DN29" s="50">
        <f>IF(Assumptions!DN$74=0,0,IF(Assumptions!DN$72&lt;$C$17,0,IF(Assumptions!DN$72&lt;=$D$17,$E$17*$B$17/12*(1+$F$17)^INT((Assumptions!DN$72-$C$17)/12),IF(Assumptions!DN$72&lt;=$D$17+RetailDowntime,0,1)*$E$17*$B$17/12*INDEX(Cum_RetailRent,1,DN$77)*RenewalRentFactor)))</f>
        <v/>
      </c>
      <c r="DO29" s="50">
        <f>IF(Assumptions!DO$74=0,0,IF(Assumptions!DO$72&lt;$C$17,0,IF(Assumptions!DO$72&lt;=$D$17,$E$17*$B$17/12*(1+$F$17)^INT((Assumptions!DO$72-$C$17)/12),IF(Assumptions!DO$72&lt;=$D$17+RetailDowntime,0,1)*$E$17*$B$17/12*INDEX(Cum_RetailRent,1,DO$77)*RenewalRentFactor)))</f>
        <v/>
      </c>
      <c r="DP29" s="50">
        <f>IF(Assumptions!DP$74=0,0,IF(Assumptions!DP$72&lt;$C$17,0,IF(Assumptions!DP$72&lt;=$D$17,$E$17*$B$17/12*(1+$F$17)^INT((Assumptions!DP$72-$C$17)/12),IF(Assumptions!DP$72&lt;=$D$17+RetailDowntime,0,1)*$E$17*$B$17/12*INDEX(Cum_RetailRent,1,DP$77)*RenewalRentFactor)))</f>
        <v/>
      </c>
      <c r="DQ29" s="50">
        <f>IF(Assumptions!DQ$74=0,0,IF(Assumptions!DQ$72&lt;$C$17,0,IF(Assumptions!DQ$72&lt;=$D$17,$E$17*$B$17/12*(1+$F$17)^INT((Assumptions!DQ$72-$C$17)/12),IF(Assumptions!DQ$72&lt;=$D$17+RetailDowntime,0,1)*$E$17*$B$17/12*INDEX(Cum_RetailRent,1,DQ$77)*RenewalRentFactor)))</f>
        <v/>
      </c>
      <c r="DR29" s="50">
        <f>IF(Assumptions!DR$74=0,0,IF(Assumptions!DR$72&lt;$C$17,0,IF(Assumptions!DR$72&lt;=$D$17,$E$17*$B$17/12*(1+$F$17)^INT((Assumptions!DR$72-$C$17)/12),IF(Assumptions!DR$72&lt;=$D$17+RetailDowntime,0,1)*$E$17*$B$17/12*INDEX(Cum_RetailRent,1,DR$77)*RenewalRentFactor)))</f>
        <v/>
      </c>
      <c r="DS29" s="50">
        <f>IF(Assumptions!DS$74=0,0,IF(Assumptions!DS$72&lt;$C$17,0,IF(Assumptions!DS$72&lt;=$D$17,$E$17*$B$17/12*(1+$F$17)^INT((Assumptions!DS$72-$C$17)/12),IF(Assumptions!DS$72&lt;=$D$17+RetailDowntime,0,1)*$E$17*$B$17/12*INDEX(Cum_RetailRent,1,DS$77)*RenewalRentFactor)))</f>
        <v/>
      </c>
      <c r="DT29" s="50">
        <f>IF(Assumptions!DT$74=0,0,IF(Assumptions!DT$72&lt;$C$17,0,IF(Assumptions!DT$72&lt;=$D$17,$E$17*$B$17/12*(1+$F$17)^INT((Assumptions!DT$72-$C$17)/12),IF(Assumptions!DT$72&lt;=$D$17+RetailDowntime,0,1)*$E$17*$B$17/12*INDEX(Cum_RetailRent,1,DT$77)*RenewalRentFactor)))</f>
        <v/>
      </c>
    </row>
    <row r="30">
      <c r="A30" s="10" t="inlineStr">
        <is>
          <t xml:space="preserve">  Pharmacy</t>
        </is>
      </c>
      <c r="E30" s="50">
        <f>IF(Assumptions!E$74=0,0,IF(Assumptions!E$72&lt;$C$18,0,IF(Assumptions!E$72&lt;=$D$18,$E$18*$B$18/12*(1+$F$18)^INT((Assumptions!E$72-$C$18)/12),IF(Assumptions!E$72&lt;=$D$18+RetailDowntime,0,1)*$E$18*$B$18/12*INDEX(Cum_RetailRent,1,E$77)*RenewalRentFactor)))</f>
        <v/>
      </c>
      <c r="F30" s="50">
        <f>IF(Assumptions!F$74=0,0,IF(Assumptions!F$72&lt;$C$18,0,IF(Assumptions!F$72&lt;=$D$18,$E$18*$B$18/12*(1+$F$18)^INT((Assumptions!F$72-$C$18)/12),IF(Assumptions!F$72&lt;=$D$18+RetailDowntime,0,1)*$E$18*$B$18/12*INDEX(Cum_RetailRent,1,F$77)*RenewalRentFactor)))</f>
        <v/>
      </c>
      <c r="G30" s="50">
        <f>IF(Assumptions!G$74=0,0,IF(Assumptions!G$72&lt;$C$18,0,IF(Assumptions!G$72&lt;=$D$18,$E$18*$B$18/12*(1+$F$18)^INT((Assumptions!G$72-$C$18)/12),IF(Assumptions!G$72&lt;=$D$18+RetailDowntime,0,1)*$E$18*$B$18/12*INDEX(Cum_RetailRent,1,G$77)*RenewalRentFactor)))</f>
        <v/>
      </c>
      <c r="H30" s="50">
        <f>IF(Assumptions!H$74=0,0,IF(Assumptions!H$72&lt;$C$18,0,IF(Assumptions!H$72&lt;=$D$18,$E$18*$B$18/12*(1+$F$18)^INT((Assumptions!H$72-$C$18)/12),IF(Assumptions!H$72&lt;=$D$18+RetailDowntime,0,1)*$E$18*$B$18/12*INDEX(Cum_RetailRent,1,H$77)*RenewalRentFactor)))</f>
        <v/>
      </c>
      <c r="I30" s="50">
        <f>IF(Assumptions!I$74=0,0,IF(Assumptions!I$72&lt;$C$18,0,IF(Assumptions!I$72&lt;=$D$18,$E$18*$B$18/12*(1+$F$18)^INT((Assumptions!I$72-$C$18)/12),IF(Assumptions!I$72&lt;=$D$18+RetailDowntime,0,1)*$E$18*$B$18/12*INDEX(Cum_RetailRent,1,I$77)*RenewalRentFactor)))</f>
        <v/>
      </c>
      <c r="J30" s="50">
        <f>IF(Assumptions!J$74=0,0,IF(Assumptions!J$72&lt;$C$18,0,IF(Assumptions!J$72&lt;=$D$18,$E$18*$B$18/12*(1+$F$18)^INT((Assumptions!J$72-$C$18)/12),IF(Assumptions!J$72&lt;=$D$18+RetailDowntime,0,1)*$E$18*$B$18/12*INDEX(Cum_RetailRent,1,J$77)*RenewalRentFactor)))</f>
        <v/>
      </c>
      <c r="K30" s="50">
        <f>IF(Assumptions!K$74=0,0,IF(Assumptions!K$72&lt;$C$18,0,IF(Assumptions!K$72&lt;=$D$18,$E$18*$B$18/12*(1+$F$18)^INT((Assumptions!K$72-$C$18)/12),IF(Assumptions!K$72&lt;=$D$18+RetailDowntime,0,1)*$E$18*$B$18/12*INDEX(Cum_RetailRent,1,K$77)*RenewalRentFactor)))</f>
        <v/>
      </c>
      <c r="L30" s="50">
        <f>IF(Assumptions!L$74=0,0,IF(Assumptions!L$72&lt;$C$18,0,IF(Assumptions!L$72&lt;=$D$18,$E$18*$B$18/12*(1+$F$18)^INT((Assumptions!L$72-$C$18)/12),IF(Assumptions!L$72&lt;=$D$18+RetailDowntime,0,1)*$E$18*$B$18/12*INDEX(Cum_RetailRent,1,L$77)*RenewalRentFactor)))</f>
        <v/>
      </c>
      <c r="M30" s="50">
        <f>IF(Assumptions!M$74=0,0,IF(Assumptions!M$72&lt;$C$18,0,IF(Assumptions!M$72&lt;=$D$18,$E$18*$B$18/12*(1+$F$18)^INT((Assumptions!M$72-$C$18)/12),IF(Assumptions!M$72&lt;=$D$18+RetailDowntime,0,1)*$E$18*$B$18/12*INDEX(Cum_RetailRent,1,M$77)*RenewalRentFactor)))</f>
        <v/>
      </c>
      <c r="N30" s="50">
        <f>IF(Assumptions!N$74=0,0,IF(Assumptions!N$72&lt;$C$18,0,IF(Assumptions!N$72&lt;=$D$18,$E$18*$B$18/12*(1+$F$18)^INT((Assumptions!N$72-$C$18)/12),IF(Assumptions!N$72&lt;=$D$18+RetailDowntime,0,1)*$E$18*$B$18/12*INDEX(Cum_RetailRent,1,N$77)*RenewalRentFactor)))</f>
        <v/>
      </c>
      <c r="O30" s="50">
        <f>IF(Assumptions!O$74=0,0,IF(Assumptions!O$72&lt;$C$18,0,IF(Assumptions!O$72&lt;=$D$18,$E$18*$B$18/12*(1+$F$18)^INT((Assumptions!O$72-$C$18)/12),IF(Assumptions!O$72&lt;=$D$18+RetailDowntime,0,1)*$E$18*$B$18/12*INDEX(Cum_RetailRent,1,O$77)*RenewalRentFactor)))</f>
        <v/>
      </c>
      <c r="P30" s="50">
        <f>IF(Assumptions!P$74=0,0,IF(Assumptions!P$72&lt;$C$18,0,IF(Assumptions!P$72&lt;=$D$18,$E$18*$B$18/12*(1+$F$18)^INT((Assumptions!P$72-$C$18)/12),IF(Assumptions!P$72&lt;=$D$18+RetailDowntime,0,1)*$E$18*$B$18/12*INDEX(Cum_RetailRent,1,P$77)*RenewalRentFactor)))</f>
        <v/>
      </c>
      <c r="Q30" s="50">
        <f>IF(Assumptions!Q$74=0,0,IF(Assumptions!Q$72&lt;$C$18,0,IF(Assumptions!Q$72&lt;=$D$18,$E$18*$B$18/12*(1+$F$18)^INT((Assumptions!Q$72-$C$18)/12),IF(Assumptions!Q$72&lt;=$D$18+RetailDowntime,0,1)*$E$18*$B$18/12*INDEX(Cum_RetailRent,1,Q$77)*RenewalRentFactor)))</f>
        <v/>
      </c>
      <c r="R30" s="50">
        <f>IF(Assumptions!R$74=0,0,IF(Assumptions!R$72&lt;$C$18,0,IF(Assumptions!R$72&lt;=$D$18,$E$18*$B$18/12*(1+$F$18)^INT((Assumptions!R$72-$C$18)/12),IF(Assumptions!R$72&lt;=$D$18+RetailDowntime,0,1)*$E$18*$B$18/12*INDEX(Cum_RetailRent,1,R$77)*RenewalRentFactor)))</f>
        <v/>
      </c>
      <c r="S30" s="50">
        <f>IF(Assumptions!S$74=0,0,IF(Assumptions!S$72&lt;$C$18,0,IF(Assumptions!S$72&lt;=$D$18,$E$18*$B$18/12*(1+$F$18)^INT((Assumptions!S$72-$C$18)/12),IF(Assumptions!S$72&lt;=$D$18+RetailDowntime,0,1)*$E$18*$B$18/12*INDEX(Cum_RetailRent,1,S$77)*RenewalRentFactor)))</f>
        <v/>
      </c>
      <c r="T30" s="50">
        <f>IF(Assumptions!T$74=0,0,IF(Assumptions!T$72&lt;$C$18,0,IF(Assumptions!T$72&lt;=$D$18,$E$18*$B$18/12*(1+$F$18)^INT((Assumptions!T$72-$C$18)/12),IF(Assumptions!T$72&lt;=$D$18+RetailDowntime,0,1)*$E$18*$B$18/12*INDEX(Cum_RetailRent,1,T$77)*RenewalRentFactor)))</f>
        <v/>
      </c>
      <c r="U30" s="50">
        <f>IF(Assumptions!U$74=0,0,IF(Assumptions!U$72&lt;$C$18,0,IF(Assumptions!U$72&lt;=$D$18,$E$18*$B$18/12*(1+$F$18)^INT((Assumptions!U$72-$C$18)/12),IF(Assumptions!U$72&lt;=$D$18+RetailDowntime,0,1)*$E$18*$B$18/12*INDEX(Cum_RetailRent,1,U$77)*RenewalRentFactor)))</f>
        <v/>
      </c>
      <c r="V30" s="50">
        <f>IF(Assumptions!V$74=0,0,IF(Assumptions!V$72&lt;$C$18,0,IF(Assumptions!V$72&lt;=$D$18,$E$18*$B$18/12*(1+$F$18)^INT((Assumptions!V$72-$C$18)/12),IF(Assumptions!V$72&lt;=$D$18+RetailDowntime,0,1)*$E$18*$B$18/12*INDEX(Cum_RetailRent,1,V$77)*RenewalRentFactor)))</f>
        <v/>
      </c>
      <c r="W30" s="50">
        <f>IF(Assumptions!W$74=0,0,IF(Assumptions!W$72&lt;$C$18,0,IF(Assumptions!W$72&lt;=$D$18,$E$18*$B$18/12*(1+$F$18)^INT((Assumptions!W$72-$C$18)/12),IF(Assumptions!W$72&lt;=$D$18+RetailDowntime,0,1)*$E$18*$B$18/12*INDEX(Cum_RetailRent,1,W$77)*RenewalRentFactor)))</f>
        <v/>
      </c>
      <c r="X30" s="50">
        <f>IF(Assumptions!X$74=0,0,IF(Assumptions!X$72&lt;$C$18,0,IF(Assumptions!X$72&lt;=$D$18,$E$18*$B$18/12*(1+$F$18)^INT((Assumptions!X$72-$C$18)/12),IF(Assumptions!X$72&lt;=$D$18+RetailDowntime,0,1)*$E$18*$B$18/12*INDEX(Cum_RetailRent,1,X$77)*RenewalRentFactor)))</f>
        <v/>
      </c>
      <c r="Y30" s="50">
        <f>IF(Assumptions!Y$74=0,0,IF(Assumptions!Y$72&lt;$C$18,0,IF(Assumptions!Y$72&lt;=$D$18,$E$18*$B$18/12*(1+$F$18)^INT((Assumptions!Y$72-$C$18)/12),IF(Assumptions!Y$72&lt;=$D$18+RetailDowntime,0,1)*$E$18*$B$18/12*INDEX(Cum_RetailRent,1,Y$77)*RenewalRentFactor)))</f>
        <v/>
      </c>
      <c r="Z30" s="50">
        <f>IF(Assumptions!Z$74=0,0,IF(Assumptions!Z$72&lt;$C$18,0,IF(Assumptions!Z$72&lt;=$D$18,$E$18*$B$18/12*(1+$F$18)^INT((Assumptions!Z$72-$C$18)/12),IF(Assumptions!Z$72&lt;=$D$18+RetailDowntime,0,1)*$E$18*$B$18/12*INDEX(Cum_RetailRent,1,Z$77)*RenewalRentFactor)))</f>
        <v/>
      </c>
      <c r="AA30" s="50">
        <f>IF(Assumptions!AA$74=0,0,IF(Assumptions!AA$72&lt;$C$18,0,IF(Assumptions!AA$72&lt;=$D$18,$E$18*$B$18/12*(1+$F$18)^INT((Assumptions!AA$72-$C$18)/12),IF(Assumptions!AA$72&lt;=$D$18+RetailDowntime,0,1)*$E$18*$B$18/12*INDEX(Cum_RetailRent,1,AA$77)*RenewalRentFactor)))</f>
        <v/>
      </c>
      <c r="AB30" s="50">
        <f>IF(Assumptions!AB$74=0,0,IF(Assumptions!AB$72&lt;$C$18,0,IF(Assumptions!AB$72&lt;=$D$18,$E$18*$B$18/12*(1+$F$18)^INT((Assumptions!AB$72-$C$18)/12),IF(Assumptions!AB$72&lt;=$D$18+RetailDowntime,0,1)*$E$18*$B$18/12*INDEX(Cum_RetailRent,1,AB$77)*RenewalRentFactor)))</f>
        <v/>
      </c>
      <c r="AC30" s="50">
        <f>IF(Assumptions!AC$74=0,0,IF(Assumptions!AC$72&lt;$C$18,0,IF(Assumptions!AC$72&lt;=$D$18,$E$18*$B$18/12*(1+$F$18)^INT((Assumptions!AC$72-$C$18)/12),IF(Assumptions!AC$72&lt;=$D$18+RetailDowntime,0,1)*$E$18*$B$18/12*INDEX(Cum_RetailRent,1,AC$77)*RenewalRentFactor)))</f>
        <v/>
      </c>
      <c r="AD30" s="50">
        <f>IF(Assumptions!AD$74=0,0,IF(Assumptions!AD$72&lt;$C$18,0,IF(Assumptions!AD$72&lt;=$D$18,$E$18*$B$18/12*(1+$F$18)^INT((Assumptions!AD$72-$C$18)/12),IF(Assumptions!AD$72&lt;=$D$18+RetailDowntime,0,1)*$E$18*$B$18/12*INDEX(Cum_RetailRent,1,AD$77)*RenewalRentFactor)))</f>
        <v/>
      </c>
      <c r="AE30" s="50">
        <f>IF(Assumptions!AE$74=0,0,IF(Assumptions!AE$72&lt;$C$18,0,IF(Assumptions!AE$72&lt;=$D$18,$E$18*$B$18/12*(1+$F$18)^INT((Assumptions!AE$72-$C$18)/12),IF(Assumptions!AE$72&lt;=$D$18+RetailDowntime,0,1)*$E$18*$B$18/12*INDEX(Cum_RetailRent,1,AE$77)*RenewalRentFactor)))</f>
        <v/>
      </c>
      <c r="AF30" s="50">
        <f>IF(Assumptions!AF$74=0,0,IF(Assumptions!AF$72&lt;$C$18,0,IF(Assumptions!AF$72&lt;=$D$18,$E$18*$B$18/12*(1+$F$18)^INT((Assumptions!AF$72-$C$18)/12),IF(Assumptions!AF$72&lt;=$D$18+RetailDowntime,0,1)*$E$18*$B$18/12*INDEX(Cum_RetailRent,1,AF$77)*RenewalRentFactor)))</f>
        <v/>
      </c>
      <c r="AG30" s="50">
        <f>IF(Assumptions!AG$74=0,0,IF(Assumptions!AG$72&lt;$C$18,0,IF(Assumptions!AG$72&lt;=$D$18,$E$18*$B$18/12*(1+$F$18)^INT((Assumptions!AG$72-$C$18)/12),IF(Assumptions!AG$72&lt;=$D$18+RetailDowntime,0,1)*$E$18*$B$18/12*INDEX(Cum_RetailRent,1,AG$77)*RenewalRentFactor)))</f>
        <v/>
      </c>
      <c r="AH30" s="50">
        <f>IF(Assumptions!AH$74=0,0,IF(Assumptions!AH$72&lt;$C$18,0,IF(Assumptions!AH$72&lt;=$D$18,$E$18*$B$18/12*(1+$F$18)^INT((Assumptions!AH$72-$C$18)/12),IF(Assumptions!AH$72&lt;=$D$18+RetailDowntime,0,1)*$E$18*$B$18/12*INDEX(Cum_RetailRent,1,AH$77)*RenewalRentFactor)))</f>
        <v/>
      </c>
      <c r="AI30" s="50">
        <f>IF(Assumptions!AI$74=0,0,IF(Assumptions!AI$72&lt;$C$18,0,IF(Assumptions!AI$72&lt;=$D$18,$E$18*$B$18/12*(1+$F$18)^INT((Assumptions!AI$72-$C$18)/12),IF(Assumptions!AI$72&lt;=$D$18+RetailDowntime,0,1)*$E$18*$B$18/12*INDEX(Cum_RetailRent,1,AI$77)*RenewalRentFactor)))</f>
        <v/>
      </c>
      <c r="AJ30" s="50">
        <f>IF(Assumptions!AJ$74=0,0,IF(Assumptions!AJ$72&lt;$C$18,0,IF(Assumptions!AJ$72&lt;=$D$18,$E$18*$B$18/12*(1+$F$18)^INT((Assumptions!AJ$72-$C$18)/12),IF(Assumptions!AJ$72&lt;=$D$18+RetailDowntime,0,1)*$E$18*$B$18/12*INDEX(Cum_RetailRent,1,AJ$77)*RenewalRentFactor)))</f>
        <v/>
      </c>
      <c r="AK30" s="50">
        <f>IF(Assumptions!AK$74=0,0,IF(Assumptions!AK$72&lt;$C$18,0,IF(Assumptions!AK$72&lt;=$D$18,$E$18*$B$18/12*(1+$F$18)^INT((Assumptions!AK$72-$C$18)/12),IF(Assumptions!AK$72&lt;=$D$18+RetailDowntime,0,1)*$E$18*$B$18/12*INDEX(Cum_RetailRent,1,AK$77)*RenewalRentFactor)))</f>
        <v/>
      </c>
      <c r="AL30" s="50">
        <f>IF(Assumptions!AL$74=0,0,IF(Assumptions!AL$72&lt;$C$18,0,IF(Assumptions!AL$72&lt;=$D$18,$E$18*$B$18/12*(1+$F$18)^INT((Assumptions!AL$72-$C$18)/12),IF(Assumptions!AL$72&lt;=$D$18+RetailDowntime,0,1)*$E$18*$B$18/12*INDEX(Cum_RetailRent,1,AL$77)*RenewalRentFactor)))</f>
        <v/>
      </c>
      <c r="AM30" s="50">
        <f>IF(Assumptions!AM$74=0,0,IF(Assumptions!AM$72&lt;$C$18,0,IF(Assumptions!AM$72&lt;=$D$18,$E$18*$B$18/12*(1+$F$18)^INT((Assumptions!AM$72-$C$18)/12),IF(Assumptions!AM$72&lt;=$D$18+RetailDowntime,0,1)*$E$18*$B$18/12*INDEX(Cum_RetailRent,1,AM$77)*RenewalRentFactor)))</f>
        <v/>
      </c>
      <c r="AN30" s="50">
        <f>IF(Assumptions!AN$74=0,0,IF(Assumptions!AN$72&lt;$C$18,0,IF(Assumptions!AN$72&lt;=$D$18,$E$18*$B$18/12*(1+$F$18)^INT((Assumptions!AN$72-$C$18)/12),IF(Assumptions!AN$72&lt;=$D$18+RetailDowntime,0,1)*$E$18*$B$18/12*INDEX(Cum_RetailRent,1,AN$77)*RenewalRentFactor)))</f>
        <v/>
      </c>
      <c r="AO30" s="50">
        <f>IF(Assumptions!AO$74=0,0,IF(Assumptions!AO$72&lt;$C$18,0,IF(Assumptions!AO$72&lt;=$D$18,$E$18*$B$18/12*(1+$F$18)^INT((Assumptions!AO$72-$C$18)/12),IF(Assumptions!AO$72&lt;=$D$18+RetailDowntime,0,1)*$E$18*$B$18/12*INDEX(Cum_RetailRent,1,AO$77)*RenewalRentFactor)))</f>
        <v/>
      </c>
      <c r="AP30" s="50">
        <f>IF(Assumptions!AP$74=0,0,IF(Assumptions!AP$72&lt;$C$18,0,IF(Assumptions!AP$72&lt;=$D$18,$E$18*$B$18/12*(1+$F$18)^INT((Assumptions!AP$72-$C$18)/12),IF(Assumptions!AP$72&lt;=$D$18+RetailDowntime,0,1)*$E$18*$B$18/12*INDEX(Cum_RetailRent,1,AP$77)*RenewalRentFactor)))</f>
        <v/>
      </c>
      <c r="AQ30" s="50">
        <f>IF(Assumptions!AQ$74=0,0,IF(Assumptions!AQ$72&lt;$C$18,0,IF(Assumptions!AQ$72&lt;=$D$18,$E$18*$B$18/12*(1+$F$18)^INT((Assumptions!AQ$72-$C$18)/12),IF(Assumptions!AQ$72&lt;=$D$18+RetailDowntime,0,1)*$E$18*$B$18/12*INDEX(Cum_RetailRent,1,AQ$77)*RenewalRentFactor)))</f>
        <v/>
      </c>
      <c r="AR30" s="50">
        <f>IF(Assumptions!AR$74=0,0,IF(Assumptions!AR$72&lt;$C$18,0,IF(Assumptions!AR$72&lt;=$D$18,$E$18*$B$18/12*(1+$F$18)^INT((Assumptions!AR$72-$C$18)/12),IF(Assumptions!AR$72&lt;=$D$18+RetailDowntime,0,1)*$E$18*$B$18/12*INDEX(Cum_RetailRent,1,AR$77)*RenewalRentFactor)))</f>
        <v/>
      </c>
      <c r="AS30" s="50">
        <f>IF(Assumptions!AS$74=0,0,IF(Assumptions!AS$72&lt;$C$18,0,IF(Assumptions!AS$72&lt;=$D$18,$E$18*$B$18/12*(1+$F$18)^INT((Assumptions!AS$72-$C$18)/12),IF(Assumptions!AS$72&lt;=$D$18+RetailDowntime,0,1)*$E$18*$B$18/12*INDEX(Cum_RetailRent,1,AS$77)*RenewalRentFactor)))</f>
        <v/>
      </c>
      <c r="AT30" s="50">
        <f>IF(Assumptions!AT$74=0,0,IF(Assumptions!AT$72&lt;$C$18,0,IF(Assumptions!AT$72&lt;=$D$18,$E$18*$B$18/12*(1+$F$18)^INT((Assumptions!AT$72-$C$18)/12),IF(Assumptions!AT$72&lt;=$D$18+RetailDowntime,0,1)*$E$18*$B$18/12*INDEX(Cum_RetailRent,1,AT$77)*RenewalRentFactor)))</f>
        <v/>
      </c>
      <c r="AU30" s="50">
        <f>IF(Assumptions!AU$74=0,0,IF(Assumptions!AU$72&lt;$C$18,0,IF(Assumptions!AU$72&lt;=$D$18,$E$18*$B$18/12*(1+$F$18)^INT((Assumptions!AU$72-$C$18)/12),IF(Assumptions!AU$72&lt;=$D$18+RetailDowntime,0,1)*$E$18*$B$18/12*INDEX(Cum_RetailRent,1,AU$77)*RenewalRentFactor)))</f>
        <v/>
      </c>
      <c r="AV30" s="50">
        <f>IF(Assumptions!AV$74=0,0,IF(Assumptions!AV$72&lt;$C$18,0,IF(Assumptions!AV$72&lt;=$D$18,$E$18*$B$18/12*(1+$F$18)^INT((Assumptions!AV$72-$C$18)/12),IF(Assumptions!AV$72&lt;=$D$18+RetailDowntime,0,1)*$E$18*$B$18/12*INDEX(Cum_RetailRent,1,AV$77)*RenewalRentFactor)))</f>
        <v/>
      </c>
      <c r="AW30" s="50">
        <f>IF(Assumptions!AW$74=0,0,IF(Assumptions!AW$72&lt;$C$18,0,IF(Assumptions!AW$72&lt;=$D$18,$E$18*$B$18/12*(1+$F$18)^INT((Assumptions!AW$72-$C$18)/12),IF(Assumptions!AW$72&lt;=$D$18+RetailDowntime,0,1)*$E$18*$B$18/12*INDEX(Cum_RetailRent,1,AW$77)*RenewalRentFactor)))</f>
        <v/>
      </c>
      <c r="AX30" s="50">
        <f>IF(Assumptions!AX$74=0,0,IF(Assumptions!AX$72&lt;$C$18,0,IF(Assumptions!AX$72&lt;=$D$18,$E$18*$B$18/12*(1+$F$18)^INT((Assumptions!AX$72-$C$18)/12),IF(Assumptions!AX$72&lt;=$D$18+RetailDowntime,0,1)*$E$18*$B$18/12*INDEX(Cum_RetailRent,1,AX$77)*RenewalRentFactor)))</f>
        <v/>
      </c>
      <c r="AY30" s="50">
        <f>IF(Assumptions!AY$74=0,0,IF(Assumptions!AY$72&lt;$C$18,0,IF(Assumptions!AY$72&lt;=$D$18,$E$18*$B$18/12*(1+$F$18)^INT((Assumptions!AY$72-$C$18)/12),IF(Assumptions!AY$72&lt;=$D$18+RetailDowntime,0,1)*$E$18*$B$18/12*INDEX(Cum_RetailRent,1,AY$77)*RenewalRentFactor)))</f>
        <v/>
      </c>
      <c r="AZ30" s="50">
        <f>IF(Assumptions!AZ$74=0,0,IF(Assumptions!AZ$72&lt;$C$18,0,IF(Assumptions!AZ$72&lt;=$D$18,$E$18*$B$18/12*(1+$F$18)^INT((Assumptions!AZ$72-$C$18)/12),IF(Assumptions!AZ$72&lt;=$D$18+RetailDowntime,0,1)*$E$18*$B$18/12*INDEX(Cum_RetailRent,1,AZ$77)*RenewalRentFactor)))</f>
        <v/>
      </c>
      <c r="BA30" s="50">
        <f>IF(Assumptions!BA$74=0,0,IF(Assumptions!BA$72&lt;$C$18,0,IF(Assumptions!BA$72&lt;=$D$18,$E$18*$B$18/12*(1+$F$18)^INT((Assumptions!BA$72-$C$18)/12),IF(Assumptions!BA$72&lt;=$D$18+RetailDowntime,0,1)*$E$18*$B$18/12*INDEX(Cum_RetailRent,1,BA$77)*RenewalRentFactor)))</f>
        <v/>
      </c>
      <c r="BB30" s="50">
        <f>IF(Assumptions!BB$74=0,0,IF(Assumptions!BB$72&lt;$C$18,0,IF(Assumptions!BB$72&lt;=$D$18,$E$18*$B$18/12*(1+$F$18)^INT((Assumptions!BB$72-$C$18)/12),IF(Assumptions!BB$72&lt;=$D$18+RetailDowntime,0,1)*$E$18*$B$18/12*INDEX(Cum_RetailRent,1,BB$77)*RenewalRentFactor)))</f>
        <v/>
      </c>
      <c r="BC30" s="50">
        <f>IF(Assumptions!BC$74=0,0,IF(Assumptions!BC$72&lt;$C$18,0,IF(Assumptions!BC$72&lt;=$D$18,$E$18*$B$18/12*(1+$F$18)^INT((Assumptions!BC$72-$C$18)/12),IF(Assumptions!BC$72&lt;=$D$18+RetailDowntime,0,1)*$E$18*$B$18/12*INDEX(Cum_RetailRent,1,BC$77)*RenewalRentFactor)))</f>
        <v/>
      </c>
      <c r="BD30" s="50">
        <f>IF(Assumptions!BD$74=0,0,IF(Assumptions!BD$72&lt;$C$18,0,IF(Assumptions!BD$72&lt;=$D$18,$E$18*$B$18/12*(1+$F$18)^INT((Assumptions!BD$72-$C$18)/12),IF(Assumptions!BD$72&lt;=$D$18+RetailDowntime,0,1)*$E$18*$B$18/12*INDEX(Cum_RetailRent,1,BD$77)*RenewalRentFactor)))</f>
        <v/>
      </c>
      <c r="BE30" s="50">
        <f>IF(Assumptions!BE$74=0,0,IF(Assumptions!BE$72&lt;$C$18,0,IF(Assumptions!BE$72&lt;=$D$18,$E$18*$B$18/12*(1+$F$18)^INT((Assumptions!BE$72-$C$18)/12),IF(Assumptions!BE$72&lt;=$D$18+RetailDowntime,0,1)*$E$18*$B$18/12*INDEX(Cum_RetailRent,1,BE$77)*RenewalRentFactor)))</f>
        <v/>
      </c>
      <c r="BF30" s="50">
        <f>IF(Assumptions!BF$74=0,0,IF(Assumptions!BF$72&lt;$C$18,0,IF(Assumptions!BF$72&lt;=$D$18,$E$18*$B$18/12*(1+$F$18)^INT((Assumptions!BF$72-$C$18)/12),IF(Assumptions!BF$72&lt;=$D$18+RetailDowntime,0,1)*$E$18*$B$18/12*INDEX(Cum_RetailRent,1,BF$77)*RenewalRentFactor)))</f>
        <v/>
      </c>
      <c r="BG30" s="50">
        <f>IF(Assumptions!BG$74=0,0,IF(Assumptions!BG$72&lt;$C$18,0,IF(Assumptions!BG$72&lt;=$D$18,$E$18*$B$18/12*(1+$F$18)^INT((Assumptions!BG$72-$C$18)/12),IF(Assumptions!BG$72&lt;=$D$18+RetailDowntime,0,1)*$E$18*$B$18/12*INDEX(Cum_RetailRent,1,BG$77)*RenewalRentFactor)))</f>
        <v/>
      </c>
      <c r="BH30" s="50">
        <f>IF(Assumptions!BH$74=0,0,IF(Assumptions!BH$72&lt;$C$18,0,IF(Assumptions!BH$72&lt;=$D$18,$E$18*$B$18/12*(1+$F$18)^INT((Assumptions!BH$72-$C$18)/12),IF(Assumptions!BH$72&lt;=$D$18+RetailDowntime,0,1)*$E$18*$B$18/12*INDEX(Cum_RetailRent,1,BH$77)*RenewalRentFactor)))</f>
        <v/>
      </c>
      <c r="BI30" s="50">
        <f>IF(Assumptions!BI$74=0,0,IF(Assumptions!BI$72&lt;$C$18,0,IF(Assumptions!BI$72&lt;=$D$18,$E$18*$B$18/12*(1+$F$18)^INT((Assumptions!BI$72-$C$18)/12),IF(Assumptions!BI$72&lt;=$D$18+RetailDowntime,0,1)*$E$18*$B$18/12*INDEX(Cum_RetailRent,1,BI$77)*RenewalRentFactor)))</f>
        <v/>
      </c>
      <c r="BJ30" s="50">
        <f>IF(Assumptions!BJ$74=0,0,IF(Assumptions!BJ$72&lt;$C$18,0,IF(Assumptions!BJ$72&lt;=$D$18,$E$18*$B$18/12*(1+$F$18)^INT((Assumptions!BJ$72-$C$18)/12),IF(Assumptions!BJ$72&lt;=$D$18+RetailDowntime,0,1)*$E$18*$B$18/12*INDEX(Cum_RetailRent,1,BJ$77)*RenewalRentFactor)))</f>
        <v/>
      </c>
      <c r="BK30" s="50">
        <f>IF(Assumptions!BK$74=0,0,IF(Assumptions!BK$72&lt;$C$18,0,IF(Assumptions!BK$72&lt;=$D$18,$E$18*$B$18/12*(1+$F$18)^INT((Assumptions!BK$72-$C$18)/12),IF(Assumptions!BK$72&lt;=$D$18+RetailDowntime,0,1)*$E$18*$B$18/12*INDEX(Cum_RetailRent,1,BK$77)*RenewalRentFactor)))</f>
        <v/>
      </c>
      <c r="BL30" s="50">
        <f>IF(Assumptions!BL$74=0,0,IF(Assumptions!BL$72&lt;$C$18,0,IF(Assumptions!BL$72&lt;=$D$18,$E$18*$B$18/12*(1+$F$18)^INT((Assumptions!BL$72-$C$18)/12),IF(Assumptions!BL$72&lt;=$D$18+RetailDowntime,0,1)*$E$18*$B$18/12*INDEX(Cum_RetailRent,1,BL$77)*RenewalRentFactor)))</f>
        <v/>
      </c>
      <c r="BM30" s="50">
        <f>IF(Assumptions!BM$74=0,0,IF(Assumptions!BM$72&lt;$C$18,0,IF(Assumptions!BM$72&lt;=$D$18,$E$18*$B$18/12*(1+$F$18)^INT((Assumptions!BM$72-$C$18)/12),IF(Assumptions!BM$72&lt;=$D$18+RetailDowntime,0,1)*$E$18*$B$18/12*INDEX(Cum_RetailRent,1,BM$77)*RenewalRentFactor)))</f>
        <v/>
      </c>
      <c r="BN30" s="50">
        <f>IF(Assumptions!BN$74=0,0,IF(Assumptions!BN$72&lt;$C$18,0,IF(Assumptions!BN$72&lt;=$D$18,$E$18*$B$18/12*(1+$F$18)^INT((Assumptions!BN$72-$C$18)/12),IF(Assumptions!BN$72&lt;=$D$18+RetailDowntime,0,1)*$E$18*$B$18/12*INDEX(Cum_RetailRent,1,BN$77)*RenewalRentFactor)))</f>
        <v/>
      </c>
      <c r="BO30" s="50">
        <f>IF(Assumptions!BO$74=0,0,IF(Assumptions!BO$72&lt;$C$18,0,IF(Assumptions!BO$72&lt;=$D$18,$E$18*$B$18/12*(1+$F$18)^INT((Assumptions!BO$72-$C$18)/12),IF(Assumptions!BO$72&lt;=$D$18+RetailDowntime,0,1)*$E$18*$B$18/12*INDEX(Cum_RetailRent,1,BO$77)*RenewalRentFactor)))</f>
        <v/>
      </c>
      <c r="BP30" s="50">
        <f>IF(Assumptions!BP$74=0,0,IF(Assumptions!BP$72&lt;$C$18,0,IF(Assumptions!BP$72&lt;=$D$18,$E$18*$B$18/12*(1+$F$18)^INT((Assumptions!BP$72-$C$18)/12),IF(Assumptions!BP$72&lt;=$D$18+RetailDowntime,0,1)*$E$18*$B$18/12*INDEX(Cum_RetailRent,1,BP$77)*RenewalRentFactor)))</f>
        <v/>
      </c>
      <c r="BQ30" s="50">
        <f>IF(Assumptions!BQ$74=0,0,IF(Assumptions!BQ$72&lt;$C$18,0,IF(Assumptions!BQ$72&lt;=$D$18,$E$18*$B$18/12*(1+$F$18)^INT((Assumptions!BQ$72-$C$18)/12),IF(Assumptions!BQ$72&lt;=$D$18+RetailDowntime,0,1)*$E$18*$B$18/12*INDEX(Cum_RetailRent,1,BQ$77)*RenewalRentFactor)))</f>
        <v/>
      </c>
      <c r="BR30" s="50">
        <f>IF(Assumptions!BR$74=0,0,IF(Assumptions!BR$72&lt;$C$18,0,IF(Assumptions!BR$72&lt;=$D$18,$E$18*$B$18/12*(1+$F$18)^INT((Assumptions!BR$72-$C$18)/12),IF(Assumptions!BR$72&lt;=$D$18+RetailDowntime,0,1)*$E$18*$B$18/12*INDEX(Cum_RetailRent,1,BR$77)*RenewalRentFactor)))</f>
        <v/>
      </c>
      <c r="BS30" s="50">
        <f>IF(Assumptions!BS$74=0,0,IF(Assumptions!BS$72&lt;$C$18,0,IF(Assumptions!BS$72&lt;=$D$18,$E$18*$B$18/12*(1+$F$18)^INT((Assumptions!BS$72-$C$18)/12),IF(Assumptions!BS$72&lt;=$D$18+RetailDowntime,0,1)*$E$18*$B$18/12*INDEX(Cum_RetailRent,1,BS$77)*RenewalRentFactor)))</f>
        <v/>
      </c>
      <c r="BT30" s="50">
        <f>IF(Assumptions!BT$74=0,0,IF(Assumptions!BT$72&lt;$C$18,0,IF(Assumptions!BT$72&lt;=$D$18,$E$18*$B$18/12*(1+$F$18)^INT((Assumptions!BT$72-$C$18)/12),IF(Assumptions!BT$72&lt;=$D$18+RetailDowntime,0,1)*$E$18*$B$18/12*INDEX(Cum_RetailRent,1,BT$77)*RenewalRentFactor)))</f>
        <v/>
      </c>
      <c r="BU30" s="50">
        <f>IF(Assumptions!BU$74=0,0,IF(Assumptions!BU$72&lt;$C$18,0,IF(Assumptions!BU$72&lt;=$D$18,$E$18*$B$18/12*(1+$F$18)^INT((Assumptions!BU$72-$C$18)/12),IF(Assumptions!BU$72&lt;=$D$18+RetailDowntime,0,1)*$E$18*$B$18/12*INDEX(Cum_RetailRent,1,BU$77)*RenewalRentFactor)))</f>
        <v/>
      </c>
      <c r="BV30" s="50">
        <f>IF(Assumptions!BV$74=0,0,IF(Assumptions!BV$72&lt;$C$18,0,IF(Assumptions!BV$72&lt;=$D$18,$E$18*$B$18/12*(1+$F$18)^INT((Assumptions!BV$72-$C$18)/12),IF(Assumptions!BV$72&lt;=$D$18+RetailDowntime,0,1)*$E$18*$B$18/12*INDEX(Cum_RetailRent,1,BV$77)*RenewalRentFactor)))</f>
        <v/>
      </c>
      <c r="BW30" s="50">
        <f>IF(Assumptions!BW$74=0,0,IF(Assumptions!BW$72&lt;$C$18,0,IF(Assumptions!BW$72&lt;=$D$18,$E$18*$B$18/12*(1+$F$18)^INT((Assumptions!BW$72-$C$18)/12),IF(Assumptions!BW$72&lt;=$D$18+RetailDowntime,0,1)*$E$18*$B$18/12*INDEX(Cum_RetailRent,1,BW$77)*RenewalRentFactor)))</f>
        <v/>
      </c>
      <c r="BX30" s="50">
        <f>IF(Assumptions!BX$74=0,0,IF(Assumptions!BX$72&lt;$C$18,0,IF(Assumptions!BX$72&lt;=$D$18,$E$18*$B$18/12*(1+$F$18)^INT((Assumptions!BX$72-$C$18)/12),IF(Assumptions!BX$72&lt;=$D$18+RetailDowntime,0,1)*$E$18*$B$18/12*INDEX(Cum_RetailRent,1,BX$77)*RenewalRentFactor)))</f>
        <v/>
      </c>
      <c r="BY30" s="50">
        <f>IF(Assumptions!BY$74=0,0,IF(Assumptions!BY$72&lt;$C$18,0,IF(Assumptions!BY$72&lt;=$D$18,$E$18*$B$18/12*(1+$F$18)^INT((Assumptions!BY$72-$C$18)/12),IF(Assumptions!BY$72&lt;=$D$18+RetailDowntime,0,1)*$E$18*$B$18/12*INDEX(Cum_RetailRent,1,BY$77)*RenewalRentFactor)))</f>
        <v/>
      </c>
      <c r="BZ30" s="50">
        <f>IF(Assumptions!BZ$74=0,0,IF(Assumptions!BZ$72&lt;$C$18,0,IF(Assumptions!BZ$72&lt;=$D$18,$E$18*$B$18/12*(1+$F$18)^INT((Assumptions!BZ$72-$C$18)/12),IF(Assumptions!BZ$72&lt;=$D$18+RetailDowntime,0,1)*$E$18*$B$18/12*INDEX(Cum_RetailRent,1,BZ$77)*RenewalRentFactor)))</f>
        <v/>
      </c>
      <c r="CA30" s="50">
        <f>IF(Assumptions!CA$74=0,0,IF(Assumptions!CA$72&lt;$C$18,0,IF(Assumptions!CA$72&lt;=$D$18,$E$18*$B$18/12*(1+$F$18)^INT((Assumptions!CA$72-$C$18)/12),IF(Assumptions!CA$72&lt;=$D$18+RetailDowntime,0,1)*$E$18*$B$18/12*INDEX(Cum_RetailRent,1,CA$77)*RenewalRentFactor)))</f>
        <v/>
      </c>
      <c r="CB30" s="50">
        <f>IF(Assumptions!CB$74=0,0,IF(Assumptions!CB$72&lt;$C$18,0,IF(Assumptions!CB$72&lt;=$D$18,$E$18*$B$18/12*(1+$F$18)^INT((Assumptions!CB$72-$C$18)/12),IF(Assumptions!CB$72&lt;=$D$18+RetailDowntime,0,1)*$E$18*$B$18/12*INDEX(Cum_RetailRent,1,CB$77)*RenewalRentFactor)))</f>
        <v/>
      </c>
      <c r="CC30" s="50">
        <f>IF(Assumptions!CC$74=0,0,IF(Assumptions!CC$72&lt;$C$18,0,IF(Assumptions!CC$72&lt;=$D$18,$E$18*$B$18/12*(1+$F$18)^INT((Assumptions!CC$72-$C$18)/12),IF(Assumptions!CC$72&lt;=$D$18+RetailDowntime,0,1)*$E$18*$B$18/12*INDEX(Cum_RetailRent,1,CC$77)*RenewalRentFactor)))</f>
        <v/>
      </c>
      <c r="CD30" s="50">
        <f>IF(Assumptions!CD$74=0,0,IF(Assumptions!CD$72&lt;$C$18,0,IF(Assumptions!CD$72&lt;=$D$18,$E$18*$B$18/12*(1+$F$18)^INT((Assumptions!CD$72-$C$18)/12),IF(Assumptions!CD$72&lt;=$D$18+RetailDowntime,0,1)*$E$18*$B$18/12*INDEX(Cum_RetailRent,1,CD$77)*RenewalRentFactor)))</f>
        <v/>
      </c>
      <c r="CE30" s="50">
        <f>IF(Assumptions!CE$74=0,0,IF(Assumptions!CE$72&lt;$C$18,0,IF(Assumptions!CE$72&lt;=$D$18,$E$18*$B$18/12*(1+$F$18)^INT((Assumptions!CE$72-$C$18)/12),IF(Assumptions!CE$72&lt;=$D$18+RetailDowntime,0,1)*$E$18*$B$18/12*INDEX(Cum_RetailRent,1,CE$77)*RenewalRentFactor)))</f>
        <v/>
      </c>
      <c r="CF30" s="50">
        <f>IF(Assumptions!CF$74=0,0,IF(Assumptions!CF$72&lt;$C$18,0,IF(Assumptions!CF$72&lt;=$D$18,$E$18*$B$18/12*(1+$F$18)^INT((Assumptions!CF$72-$C$18)/12),IF(Assumptions!CF$72&lt;=$D$18+RetailDowntime,0,1)*$E$18*$B$18/12*INDEX(Cum_RetailRent,1,CF$77)*RenewalRentFactor)))</f>
        <v/>
      </c>
      <c r="CG30" s="50">
        <f>IF(Assumptions!CG$74=0,0,IF(Assumptions!CG$72&lt;$C$18,0,IF(Assumptions!CG$72&lt;=$D$18,$E$18*$B$18/12*(1+$F$18)^INT((Assumptions!CG$72-$C$18)/12),IF(Assumptions!CG$72&lt;=$D$18+RetailDowntime,0,1)*$E$18*$B$18/12*INDEX(Cum_RetailRent,1,CG$77)*RenewalRentFactor)))</f>
        <v/>
      </c>
      <c r="CH30" s="50">
        <f>IF(Assumptions!CH$74=0,0,IF(Assumptions!CH$72&lt;$C$18,0,IF(Assumptions!CH$72&lt;=$D$18,$E$18*$B$18/12*(1+$F$18)^INT((Assumptions!CH$72-$C$18)/12),IF(Assumptions!CH$72&lt;=$D$18+RetailDowntime,0,1)*$E$18*$B$18/12*INDEX(Cum_RetailRent,1,CH$77)*RenewalRentFactor)))</f>
        <v/>
      </c>
      <c r="CI30" s="50">
        <f>IF(Assumptions!CI$74=0,0,IF(Assumptions!CI$72&lt;$C$18,0,IF(Assumptions!CI$72&lt;=$D$18,$E$18*$B$18/12*(1+$F$18)^INT((Assumptions!CI$72-$C$18)/12),IF(Assumptions!CI$72&lt;=$D$18+RetailDowntime,0,1)*$E$18*$B$18/12*INDEX(Cum_RetailRent,1,CI$77)*RenewalRentFactor)))</f>
        <v/>
      </c>
      <c r="CJ30" s="50">
        <f>IF(Assumptions!CJ$74=0,0,IF(Assumptions!CJ$72&lt;$C$18,0,IF(Assumptions!CJ$72&lt;=$D$18,$E$18*$B$18/12*(1+$F$18)^INT((Assumptions!CJ$72-$C$18)/12),IF(Assumptions!CJ$72&lt;=$D$18+RetailDowntime,0,1)*$E$18*$B$18/12*INDEX(Cum_RetailRent,1,CJ$77)*RenewalRentFactor)))</f>
        <v/>
      </c>
      <c r="CK30" s="50">
        <f>IF(Assumptions!CK$74=0,0,IF(Assumptions!CK$72&lt;$C$18,0,IF(Assumptions!CK$72&lt;=$D$18,$E$18*$B$18/12*(1+$F$18)^INT((Assumptions!CK$72-$C$18)/12),IF(Assumptions!CK$72&lt;=$D$18+RetailDowntime,0,1)*$E$18*$B$18/12*INDEX(Cum_RetailRent,1,CK$77)*RenewalRentFactor)))</f>
        <v/>
      </c>
      <c r="CL30" s="50">
        <f>IF(Assumptions!CL$74=0,0,IF(Assumptions!CL$72&lt;$C$18,0,IF(Assumptions!CL$72&lt;=$D$18,$E$18*$B$18/12*(1+$F$18)^INT((Assumptions!CL$72-$C$18)/12),IF(Assumptions!CL$72&lt;=$D$18+RetailDowntime,0,1)*$E$18*$B$18/12*INDEX(Cum_RetailRent,1,CL$77)*RenewalRentFactor)))</f>
        <v/>
      </c>
      <c r="CM30" s="50">
        <f>IF(Assumptions!CM$74=0,0,IF(Assumptions!CM$72&lt;$C$18,0,IF(Assumptions!CM$72&lt;=$D$18,$E$18*$B$18/12*(1+$F$18)^INT((Assumptions!CM$72-$C$18)/12),IF(Assumptions!CM$72&lt;=$D$18+RetailDowntime,0,1)*$E$18*$B$18/12*INDEX(Cum_RetailRent,1,CM$77)*RenewalRentFactor)))</f>
        <v/>
      </c>
      <c r="CN30" s="50">
        <f>IF(Assumptions!CN$74=0,0,IF(Assumptions!CN$72&lt;$C$18,0,IF(Assumptions!CN$72&lt;=$D$18,$E$18*$B$18/12*(1+$F$18)^INT((Assumptions!CN$72-$C$18)/12),IF(Assumptions!CN$72&lt;=$D$18+RetailDowntime,0,1)*$E$18*$B$18/12*INDEX(Cum_RetailRent,1,CN$77)*RenewalRentFactor)))</f>
        <v/>
      </c>
      <c r="CO30" s="50">
        <f>IF(Assumptions!CO$74=0,0,IF(Assumptions!CO$72&lt;$C$18,0,IF(Assumptions!CO$72&lt;=$D$18,$E$18*$B$18/12*(1+$F$18)^INT((Assumptions!CO$72-$C$18)/12),IF(Assumptions!CO$72&lt;=$D$18+RetailDowntime,0,1)*$E$18*$B$18/12*INDEX(Cum_RetailRent,1,CO$77)*RenewalRentFactor)))</f>
        <v/>
      </c>
      <c r="CP30" s="50">
        <f>IF(Assumptions!CP$74=0,0,IF(Assumptions!CP$72&lt;$C$18,0,IF(Assumptions!CP$72&lt;=$D$18,$E$18*$B$18/12*(1+$F$18)^INT((Assumptions!CP$72-$C$18)/12),IF(Assumptions!CP$72&lt;=$D$18+RetailDowntime,0,1)*$E$18*$B$18/12*INDEX(Cum_RetailRent,1,CP$77)*RenewalRentFactor)))</f>
        <v/>
      </c>
      <c r="CQ30" s="50">
        <f>IF(Assumptions!CQ$74=0,0,IF(Assumptions!CQ$72&lt;$C$18,0,IF(Assumptions!CQ$72&lt;=$D$18,$E$18*$B$18/12*(1+$F$18)^INT((Assumptions!CQ$72-$C$18)/12),IF(Assumptions!CQ$72&lt;=$D$18+RetailDowntime,0,1)*$E$18*$B$18/12*INDEX(Cum_RetailRent,1,CQ$77)*RenewalRentFactor)))</f>
        <v/>
      </c>
      <c r="CR30" s="50">
        <f>IF(Assumptions!CR$74=0,0,IF(Assumptions!CR$72&lt;$C$18,0,IF(Assumptions!CR$72&lt;=$D$18,$E$18*$B$18/12*(1+$F$18)^INT((Assumptions!CR$72-$C$18)/12),IF(Assumptions!CR$72&lt;=$D$18+RetailDowntime,0,1)*$E$18*$B$18/12*INDEX(Cum_RetailRent,1,CR$77)*RenewalRentFactor)))</f>
        <v/>
      </c>
      <c r="CS30" s="50">
        <f>IF(Assumptions!CS$74=0,0,IF(Assumptions!CS$72&lt;$C$18,0,IF(Assumptions!CS$72&lt;=$D$18,$E$18*$B$18/12*(1+$F$18)^INT((Assumptions!CS$72-$C$18)/12),IF(Assumptions!CS$72&lt;=$D$18+RetailDowntime,0,1)*$E$18*$B$18/12*INDEX(Cum_RetailRent,1,CS$77)*RenewalRentFactor)))</f>
        <v/>
      </c>
      <c r="CT30" s="50">
        <f>IF(Assumptions!CT$74=0,0,IF(Assumptions!CT$72&lt;$C$18,0,IF(Assumptions!CT$72&lt;=$D$18,$E$18*$B$18/12*(1+$F$18)^INT((Assumptions!CT$72-$C$18)/12),IF(Assumptions!CT$72&lt;=$D$18+RetailDowntime,0,1)*$E$18*$B$18/12*INDEX(Cum_RetailRent,1,CT$77)*RenewalRentFactor)))</f>
        <v/>
      </c>
      <c r="CU30" s="50">
        <f>IF(Assumptions!CU$74=0,0,IF(Assumptions!CU$72&lt;$C$18,0,IF(Assumptions!CU$72&lt;=$D$18,$E$18*$B$18/12*(1+$F$18)^INT((Assumptions!CU$72-$C$18)/12),IF(Assumptions!CU$72&lt;=$D$18+RetailDowntime,0,1)*$E$18*$B$18/12*INDEX(Cum_RetailRent,1,CU$77)*RenewalRentFactor)))</f>
        <v/>
      </c>
      <c r="CV30" s="50">
        <f>IF(Assumptions!CV$74=0,0,IF(Assumptions!CV$72&lt;$C$18,0,IF(Assumptions!CV$72&lt;=$D$18,$E$18*$B$18/12*(1+$F$18)^INT((Assumptions!CV$72-$C$18)/12),IF(Assumptions!CV$72&lt;=$D$18+RetailDowntime,0,1)*$E$18*$B$18/12*INDEX(Cum_RetailRent,1,CV$77)*RenewalRentFactor)))</f>
        <v/>
      </c>
      <c r="CW30" s="50">
        <f>IF(Assumptions!CW$74=0,0,IF(Assumptions!CW$72&lt;$C$18,0,IF(Assumptions!CW$72&lt;=$D$18,$E$18*$B$18/12*(1+$F$18)^INT((Assumptions!CW$72-$C$18)/12),IF(Assumptions!CW$72&lt;=$D$18+RetailDowntime,0,1)*$E$18*$B$18/12*INDEX(Cum_RetailRent,1,CW$77)*RenewalRentFactor)))</f>
        <v/>
      </c>
      <c r="CX30" s="50">
        <f>IF(Assumptions!CX$74=0,0,IF(Assumptions!CX$72&lt;$C$18,0,IF(Assumptions!CX$72&lt;=$D$18,$E$18*$B$18/12*(1+$F$18)^INT((Assumptions!CX$72-$C$18)/12),IF(Assumptions!CX$72&lt;=$D$18+RetailDowntime,0,1)*$E$18*$B$18/12*INDEX(Cum_RetailRent,1,CX$77)*RenewalRentFactor)))</f>
        <v/>
      </c>
      <c r="CY30" s="50">
        <f>IF(Assumptions!CY$74=0,0,IF(Assumptions!CY$72&lt;$C$18,0,IF(Assumptions!CY$72&lt;=$D$18,$E$18*$B$18/12*(1+$F$18)^INT((Assumptions!CY$72-$C$18)/12),IF(Assumptions!CY$72&lt;=$D$18+RetailDowntime,0,1)*$E$18*$B$18/12*INDEX(Cum_RetailRent,1,CY$77)*RenewalRentFactor)))</f>
        <v/>
      </c>
      <c r="CZ30" s="50">
        <f>IF(Assumptions!CZ$74=0,0,IF(Assumptions!CZ$72&lt;$C$18,0,IF(Assumptions!CZ$72&lt;=$D$18,$E$18*$B$18/12*(1+$F$18)^INT((Assumptions!CZ$72-$C$18)/12),IF(Assumptions!CZ$72&lt;=$D$18+RetailDowntime,0,1)*$E$18*$B$18/12*INDEX(Cum_RetailRent,1,CZ$77)*RenewalRentFactor)))</f>
        <v/>
      </c>
      <c r="DA30" s="50">
        <f>IF(Assumptions!DA$74=0,0,IF(Assumptions!DA$72&lt;$C$18,0,IF(Assumptions!DA$72&lt;=$D$18,$E$18*$B$18/12*(1+$F$18)^INT((Assumptions!DA$72-$C$18)/12),IF(Assumptions!DA$72&lt;=$D$18+RetailDowntime,0,1)*$E$18*$B$18/12*INDEX(Cum_RetailRent,1,DA$77)*RenewalRentFactor)))</f>
        <v/>
      </c>
      <c r="DB30" s="50">
        <f>IF(Assumptions!DB$74=0,0,IF(Assumptions!DB$72&lt;$C$18,0,IF(Assumptions!DB$72&lt;=$D$18,$E$18*$B$18/12*(1+$F$18)^INT((Assumptions!DB$72-$C$18)/12),IF(Assumptions!DB$72&lt;=$D$18+RetailDowntime,0,1)*$E$18*$B$18/12*INDEX(Cum_RetailRent,1,DB$77)*RenewalRentFactor)))</f>
        <v/>
      </c>
      <c r="DC30" s="50">
        <f>IF(Assumptions!DC$74=0,0,IF(Assumptions!DC$72&lt;$C$18,0,IF(Assumptions!DC$72&lt;=$D$18,$E$18*$B$18/12*(1+$F$18)^INT((Assumptions!DC$72-$C$18)/12),IF(Assumptions!DC$72&lt;=$D$18+RetailDowntime,0,1)*$E$18*$B$18/12*INDEX(Cum_RetailRent,1,DC$77)*RenewalRentFactor)))</f>
        <v/>
      </c>
      <c r="DD30" s="50">
        <f>IF(Assumptions!DD$74=0,0,IF(Assumptions!DD$72&lt;$C$18,0,IF(Assumptions!DD$72&lt;=$D$18,$E$18*$B$18/12*(1+$F$18)^INT((Assumptions!DD$72-$C$18)/12),IF(Assumptions!DD$72&lt;=$D$18+RetailDowntime,0,1)*$E$18*$B$18/12*INDEX(Cum_RetailRent,1,DD$77)*RenewalRentFactor)))</f>
        <v/>
      </c>
      <c r="DE30" s="50">
        <f>IF(Assumptions!DE$74=0,0,IF(Assumptions!DE$72&lt;$C$18,0,IF(Assumptions!DE$72&lt;=$D$18,$E$18*$B$18/12*(1+$F$18)^INT((Assumptions!DE$72-$C$18)/12),IF(Assumptions!DE$72&lt;=$D$18+RetailDowntime,0,1)*$E$18*$B$18/12*INDEX(Cum_RetailRent,1,DE$77)*RenewalRentFactor)))</f>
        <v/>
      </c>
      <c r="DF30" s="50">
        <f>IF(Assumptions!DF$74=0,0,IF(Assumptions!DF$72&lt;$C$18,0,IF(Assumptions!DF$72&lt;=$D$18,$E$18*$B$18/12*(1+$F$18)^INT((Assumptions!DF$72-$C$18)/12),IF(Assumptions!DF$72&lt;=$D$18+RetailDowntime,0,1)*$E$18*$B$18/12*INDEX(Cum_RetailRent,1,DF$77)*RenewalRentFactor)))</f>
        <v/>
      </c>
      <c r="DG30" s="50">
        <f>IF(Assumptions!DG$74=0,0,IF(Assumptions!DG$72&lt;$C$18,0,IF(Assumptions!DG$72&lt;=$D$18,$E$18*$B$18/12*(1+$F$18)^INT((Assumptions!DG$72-$C$18)/12),IF(Assumptions!DG$72&lt;=$D$18+RetailDowntime,0,1)*$E$18*$B$18/12*INDEX(Cum_RetailRent,1,DG$77)*RenewalRentFactor)))</f>
        <v/>
      </c>
      <c r="DH30" s="50">
        <f>IF(Assumptions!DH$74=0,0,IF(Assumptions!DH$72&lt;$C$18,0,IF(Assumptions!DH$72&lt;=$D$18,$E$18*$B$18/12*(1+$F$18)^INT((Assumptions!DH$72-$C$18)/12),IF(Assumptions!DH$72&lt;=$D$18+RetailDowntime,0,1)*$E$18*$B$18/12*INDEX(Cum_RetailRent,1,DH$77)*RenewalRentFactor)))</f>
        <v/>
      </c>
      <c r="DI30" s="50">
        <f>IF(Assumptions!DI$74=0,0,IF(Assumptions!DI$72&lt;$C$18,0,IF(Assumptions!DI$72&lt;=$D$18,$E$18*$B$18/12*(1+$F$18)^INT((Assumptions!DI$72-$C$18)/12),IF(Assumptions!DI$72&lt;=$D$18+RetailDowntime,0,1)*$E$18*$B$18/12*INDEX(Cum_RetailRent,1,DI$77)*RenewalRentFactor)))</f>
        <v/>
      </c>
      <c r="DJ30" s="50">
        <f>IF(Assumptions!DJ$74=0,0,IF(Assumptions!DJ$72&lt;$C$18,0,IF(Assumptions!DJ$72&lt;=$D$18,$E$18*$B$18/12*(1+$F$18)^INT((Assumptions!DJ$72-$C$18)/12),IF(Assumptions!DJ$72&lt;=$D$18+RetailDowntime,0,1)*$E$18*$B$18/12*INDEX(Cum_RetailRent,1,DJ$77)*RenewalRentFactor)))</f>
        <v/>
      </c>
      <c r="DK30" s="50">
        <f>IF(Assumptions!DK$74=0,0,IF(Assumptions!DK$72&lt;$C$18,0,IF(Assumptions!DK$72&lt;=$D$18,$E$18*$B$18/12*(1+$F$18)^INT((Assumptions!DK$72-$C$18)/12),IF(Assumptions!DK$72&lt;=$D$18+RetailDowntime,0,1)*$E$18*$B$18/12*INDEX(Cum_RetailRent,1,DK$77)*RenewalRentFactor)))</f>
        <v/>
      </c>
      <c r="DL30" s="50">
        <f>IF(Assumptions!DL$74=0,0,IF(Assumptions!DL$72&lt;$C$18,0,IF(Assumptions!DL$72&lt;=$D$18,$E$18*$B$18/12*(1+$F$18)^INT((Assumptions!DL$72-$C$18)/12),IF(Assumptions!DL$72&lt;=$D$18+RetailDowntime,0,1)*$E$18*$B$18/12*INDEX(Cum_RetailRent,1,DL$77)*RenewalRentFactor)))</f>
        <v/>
      </c>
      <c r="DM30" s="50">
        <f>IF(Assumptions!DM$74=0,0,IF(Assumptions!DM$72&lt;$C$18,0,IF(Assumptions!DM$72&lt;=$D$18,$E$18*$B$18/12*(1+$F$18)^INT((Assumptions!DM$72-$C$18)/12),IF(Assumptions!DM$72&lt;=$D$18+RetailDowntime,0,1)*$E$18*$B$18/12*INDEX(Cum_RetailRent,1,DM$77)*RenewalRentFactor)))</f>
        <v/>
      </c>
      <c r="DN30" s="50">
        <f>IF(Assumptions!DN$74=0,0,IF(Assumptions!DN$72&lt;$C$18,0,IF(Assumptions!DN$72&lt;=$D$18,$E$18*$B$18/12*(1+$F$18)^INT((Assumptions!DN$72-$C$18)/12),IF(Assumptions!DN$72&lt;=$D$18+RetailDowntime,0,1)*$E$18*$B$18/12*INDEX(Cum_RetailRent,1,DN$77)*RenewalRentFactor)))</f>
        <v/>
      </c>
      <c r="DO30" s="50">
        <f>IF(Assumptions!DO$74=0,0,IF(Assumptions!DO$72&lt;$C$18,0,IF(Assumptions!DO$72&lt;=$D$18,$E$18*$B$18/12*(1+$F$18)^INT((Assumptions!DO$72-$C$18)/12),IF(Assumptions!DO$72&lt;=$D$18+RetailDowntime,0,1)*$E$18*$B$18/12*INDEX(Cum_RetailRent,1,DO$77)*RenewalRentFactor)))</f>
        <v/>
      </c>
      <c r="DP30" s="50">
        <f>IF(Assumptions!DP$74=0,0,IF(Assumptions!DP$72&lt;$C$18,0,IF(Assumptions!DP$72&lt;=$D$18,$E$18*$B$18/12*(1+$F$18)^INT((Assumptions!DP$72-$C$18)/12),IF(Assumptions!DP$72&lt;=$D$18+RetailDowntime,0,1)*$E$18*$B$18/12*INDEX(Cum_RetailRent,1,DP$77)*RenewalRentFactor)))</f>
        <v/>
      </c>
      <c r="DQ30" s="50">
        <f>IF(Assumptions!DQ$74=0,0,IF(Assumptions!DQ$72&lt;$C$18,0,IF(Assumptions!DQ$72&lt;=$D$18,$E$18*$B$18/12*(1+$F$18)^INT((Assumptions!DQ$72-$C$18)/12),IF(Assumptions!DQ$72&lt;=$D$18+RetailDowntime,0,1)*$E$18*$B$18/12*INDEX(Cum_RetailRent,1,DQ$77)*RenewalRentFactor)))</f>
        <v/>
      </c>
      <c r="DR30" s="50">
        <f>IF(Assumptions!DR$74=0,0,IF(Assumptions!DR$72&lt;$C$18,0,IF(Assumptions!DR$72&lt;=$D$18,$E$18*$B$18/12*(1+$F$18)^INT((Assumptions!DR$72-$C$18)/12),IF(Assumptions!DR$72&lt;=$D$18+RetailDowntime,0,1)*$E$18*$B$18/12*INDEX(Cum_RetailRent,1,DR$77)*RenewalRentFactor)))</f>
        <v/>
      </c>
      <c r="DS30" s="50">
        <f>IF(Assumptions!DS$74=0,0,IF(Assumptions!DS$72&lt;$C$18,0,IF(Assumptions!DS$72&lt;=$D$18,$E$18*$B$18/12*(1+$F$18)^INT((Assumptions!DS$72-$C$18)/12),IF(Assumptions!DS$72&lt;=$D$18+RetailDowntime,0,1)*$E$18*$B$18/12*INDEX(Cum_RetailRent,1,DS$77)*RenewalRentFactor)))</f>
        <v/>
      </c>
      <c r="DT30" s="50">
        <f>IF(Assumptions!DT$74=0,0,IF(Assumptions!DT$72&lt;$C$18,0,IF(Assumptions!DT$72&lt;=$D$18,$E$18*$B$18/12*(1+$F$18)^INT((Assumptions!DT$72-$C$18)/12),IF(Assumptions!DT$72&lt;=$D$18+RetailDowntime,0,1)*$E$18*$B$18/12*INDEX(Cum_RetailRent,1,DT$77)*RenewalRentFactor)))</f>
        <v/>
      </c>
    </row>
    <row r="31">
      <c r="A31" s="10" t="inlineStr">
        <is>
          <t xml:space="preserve">  Cafe</t>
        </is>
      </c>
      <c r="E31" s="50">
        <f>IF(Assumptions!E$74=0,0,IF(Assumptions!E$72&lt;$C$19,0,IF(Assumptions!E$72&lt;=$D$19,$E$19*$B$19/12*(1+$F$19)^INT((Assumptions!E$72-$C$19)/12),IF(Assumptions!E$72&lt;=$D$19+RetailDowntime,0,1)*$E$19*$B$19/12*INDEX(Cum_RetailRent,1,E$77)*RenewalRentFactor)))</f>
        <v/>
      </c>
      <c r="F31" s="50">
        <f>IF(Assumptions!F$74=0,0,IF(Assumptions!F$72&lt;$C$19,0,IF(Assumptions!F$72&lt;=$D$19,$E$19*$B$19/12*(1+$F$19)^INT((Assumptions!F$72-$C$19)/12),IF(Assumptions!F$72&lt;=$D$19+RetailDowntime,0,1)*$E$19*$B$19/12*INDEX(Cum_RetailRent,1,F$77)*RenewalRentFactor)))</f>
        <v/>
      </c>
      <c r="G31" s="50">
        <f>IF(Assumptions!G$74=0,0,IF(Assumptions!G$72&lt;$C$19,0,IF(Assumptions!G$72&lt;=$D$19,$E$19*$B$19/12*(1+$F$19)^INT((Assumptions!G$72-$C$19)/12),IF(Assumptions!G$72&lt;=$D$19+RetailDowntime,0,1)*$E$19*$B$19/12*INDEX(Cum_RetailRent,1,G$77)*RenewalRentFactor)))</f>
        <v/>
      </c>
      <c r="H31" s="50">
        <f>IF(Assumptions!H$74=0,0,IF(Assumptions!H$72&lt;$C$19,0,IF(Assumptions!H$72&lt;=$D$19,$E$19*$B$19/12*(1+$F$19)^INT((Assumptions!H$72-$C$19)/12),IF(Assumptions!H$72&lt;=$D$19+RetailDowntime,0,1)*$E$19*$B$19/12*INDEX(Cum_RetailRent,1,H$77)*RenewalRentFactor)))</f>
        <v/>
      </c>
      <c r="I31" s="50">
        <f>IF(Assumptions!I$74=0,0,IF(Assumptions!I$72&lt;$C$19,0,IF(Assumptions!I$72&lt;=$D$19,$E$19*$B$19/12*(1+$F$19)^INT((Assumptions!I$72-$C$19)/12),IF(Assumptions!I$72&lt;=$D$19+RetailDowntime,0,1)*$E$19*$B$19/12*INDEX(Cum_RetailRent,1,I$77)*RenewalRentFactor)))</f>
        <v/>
      </c>
      <c r="J31" s="50">
        <f>IF(Assumptions!J$74=0,0,IF(Assumptions!J$72&lt;$C$19,0,IF(Assumptions!J$72&lt;=$D$19,$E$19*$B$19/12*(1+$F$19)^INT((Assumptions!J$72-$C$19)/12),IF(Assumptions!J$72&lt;=$D$19+RetailDowntime,0,1)*$E$19*$B$19/12*INDEX(Cum_RetailRent,1,J$77)*RenewalRentFactor)))</f>
        <v/>
      </c>
      <c r="K31" s="50">
        <f>IF(Assumptions!K$74=0,0,IF(Assumptions!K$72&lt;$C$19,0,IF(Assumptions!K$72&lt;=$D$19,$E$19*$B$19/12*(1+$F$19)^INT((Assumptions!K$72-$C$19)/12),IF(Assumptions!K$72&lt;=$D$19+RetailDowntime,0,1)*$E$19*$B$19/12*INDEX(Cum_RetailRent,1,K$77)*RenewalRentFactor)))</f>
        <v/>
      </c>
      <c r="L31" s="50">
        <f>IF(Assumptions!L$74=0,0,IF(Assumptions!L$72&lt;$C$19,0,IF(Assumptions!L$72&lt;=$D$19,$E$19*$B$19/12*(1+$F$19)^INT((Assumptions!L$72-$C$19)/12),IF(Assumptions!L$72&lt;=$D$19+RetailDowntime,0,1)*$E$19*$B$19/12*INDEX(Cum_RetailRent,1,L$77)*RenewalRentFactor)))</f>
        <v/>
      </c>
      <c r="M31" s="50">
        <f>IF(Assumptions!M$74=0,0,IF(Assumptions!M$72&lt;$C$19,0,IF(Assumptions!M$72&lt;=$D$19,$E$19*$B$19/12*(1+$F$19)^INT((Assumptions!M$72-$C$19)/12),IF(Assumptions!M$72&lt;=$D$19+RetailDowntime,0,1)*$E$19*$B$19/12*INDEX(Cum_RetailRent,1,M$77)*RenewalRentFactor)))</f>
        <v/>
      </c>
      <c r="N31" s="50">
        <f>IF(Assumptions!N$74=0,0,IF(Assumptions!N$72&lt;$C$19,0,IF(Assumptions!N$72&lt;=$D$19,$E$19*$B$19/12*(1+$F$19)^INT((Assumptions!N$72-$C$19)/12),IF(Assumptions!N$72&lt;=$D$19+RetailDowntime,0,1)*$E$19*$B$19/12*INDEX(Cum_RetailRent,1,N$77)*RenewalRentFactor)))</f>
        <v/>
      </c>
      <c r="O31" s="50">
        <f>IF(Assumptions!O$74=0,0,IF(Assumptions!O$72&lt;$C$19,0,IF(Assumptions!O$72&lt;=$D$19,$E$19*$B$19/12*(1+$F$19)^INT((Assumptions!O$72-$C$19)/12),IF(Assumptions!O$72&lt;=$D$19+RetailDowntime,0,1)*$E$19*$B$19/12*INDEX(Cum_RetailRent,1,O$77)*RenewalRentFactor)))</f>
        <v/>
      </c>
      <c r="P31" s="50">
        <f>IF(Assumptions!P$74=0,0,IF(Assumptions!P$72&lt;$C$19,0,IF(Assumptions!P$72&lt;=$D$19,$E$19*$B$19/12*(1+$F$19)^INT((Assumptions!P$72-$C$19)/12),IF(Assumptions!P$72&lt;=$D$19+RetailDowntime,0,1)*$E$19*$B$19/12*INDEX(Cum_RetailRent,1,P$77)*RenewalRentFactor)))</f>
        <v/>
      </c>
      <c r="Q31" s="50">
        <f>IF(Assumptions!Q$74=0,0,IF(Assumptions!Q$72&lt;$C$19,0,IF(Assumptions!Q$72&lt;=$D$19,$E$19*$B$19/12*(1+$F$19)^INT((Assumptions!Q$72-$C$19)/12),IF(Assumptions!Q$72&lt;=$D$19+RetailDowntime,0,1)*$E$19*$B$19/12*INDEX(Cum_RetailRent,1,Q$77)*RenewalRentFactor)))</f>
        <v/>
      </c>
      <c r="R31" s="50">
        <f>IF(Assumptions!R$74=0,0,IF(Assumptions!R$72&lt;$C$19,0,IF(Assumptions!R$72&lt;=$D$19,$E$19*$B$19/12*(1+$F$19)^INT((Assumptions!R$72-$C$19)/12),IF(Assumptions!R$72&lt;=$D$19+RetailDowntime,0,1)*$E$19*$B$19/12*INDEX(Cum_RetailRent,1,R$77)*RenewalRentFactor)))</f>
        <v/>
      </c>
      <c r="S31" s="50">
        <f>IF(Assumptions!S$74=0,0,IF(Assumptions!S$72&lt;$C$19,0,IF(Assumptions!S$72&lt;=$D$19,$E$19*$B$19/12*(1+$F$19)^INT((Assumptions!S$72-$C$19)/12),IF(Assumptions!S$72&lt;=$D$19+RetailDowntime,0,1)*$E$19*$B$19/12*INDEX(Cum_RetailRent,1,S$77)*RenewalRentFactor)))</f>
        <v/>
      </c>
      <c r="T31" s="50">
        <f>IF(Assumptions!T$74=0,0,IF(Assumptions!T$72&lt;$C$19,0,IF(Assumptions!T$72&lt;=$D$19,$E$19*$B$19/12*(1+$F$19)^INT((Assumptions!T$72-$C$19)/12),IF(Assumptions!T$72&lt;=$D$19+RetailDowntime,0,1)*$E$19*$B$19/12*INDEX(Cum_RetailRent,1,T$77)*RenewalRentFactor)))</f>
        <v/>
      </c>
      <c r="U31" s="50">
        <f>IF(Assumptions!U$74=0,0,IF(Assumptions!U$72&lt;$C$19,0,IF(Assumptions!U$72&lt;=$D$19,$E$19*$B$19/12*(1+$F$19)^INT((Assumptions!U$72-$C$19)/12),IF(Assumptions!U$72&lt;=$D$19+RetailDowntime,0,1)*$E$19*$B$19/12*INDEX(Cum_RetailRent,1,U$77)*RenewalRentFactor)))</f>
        <v/>
      </c>
      <c r="V31" s="50">
        <f>IF(Assumptions!V$74=0,0,IF(Assumptions!V$72&lt;$C$19,0,IF(Assumptions!V$72&lt;=$D$19,$E$19*$B$19/12*(1+$F$19)^INT((Assumptions!V$72-$C$19)/12),IF(Assumptions!V$72&lt;=$D$19+RetailDowntime,0,1)*$E$19*$B$19/12*INDEX(Cum_RetailRent,1,V$77)*RenewalRentFactor)))</f>
        <v/>
      </c>
      <c r="W31" s="50">
        <f>IF(Assumptions!W$74=0,0,IF(Assumptions!W$72&lt;$C$19,0,IF(Assumptions!W$72&lt;=$D$19,$E$19*$B$19/12*(1+$F$19)^INT((Assumptions!W$72-$C$19)/12),IF(Assumptions!W$72&lt;=$D$19+RetailDowntime,0,1)*$E$19*$B$19/12*INDEX(Cum_RetailRent,1,W$77)*RenewalRentFactor)))</f>
        <v/>
      </c>
      <c r="X31" s="50">
        <f>IF(Assumptions!X$74=0,0,IF(Assumptions!X$72&lt;$C$19,0,IF(Assumptions!X$72&lt;=$D$19,$E$19*$B$19/12*(1+$F$19)^INT((Assumptions!X$72-$C$19)/12),IF(Assumptions!X$72&lt;=$D$19+RetailDowntime,0,1)*$E$19*$B$19/12*INDEX(Cum_RetailRent,1,X$77)*RenewalRentFactor)))</f>
        <v/>
      </c>
      <c r="Y31" s="50">
        <f>IF(Assumptions!Y$74=0,0,IF(Assumptions!Y$72&lt;$C$19,0,IF(Assumptions!Y$72&lt;=$D$19,$E$19*$B$19/12*(1+$F$19)^INT((Assumptions!Y$72-$C$19)/12),IF(Assumptions!Y$72&lt;=$D$19+RetailDowntime,0,1)*$E$19*$B$19/12*INDEX(Cum_RetailRent,1,Y$77)*RenewalRentFactor)))</f>
        <v/>
      </c>
      <c r="Z31" s="50">
        <f>IF(Assumptions!Z$74=0,0,IF(Assumptions!Z$72&lt;$C$19,0,IF(Assumptions!Z$72&lt;=$D$19,$E$19*$B$19/12*(1+$F$19)^INT((Assumptions!Z$72-$C$19)/12),IF(Assumptions!Z$72&lt;=$D$19+RetailDowntime,0,1)*$E$19*$B$19/12*INDEX(Cum_RetailRent,1,Z$77)*RenewalRentFactor)))</f>
        <v/>
      </c>
      <c r="AA31" s="50">
        <f>IF(Assumptions!AA$74=0,0,IF(Assumptions!AA$72&lt;$C$19,0,IF(Assumptions!AA$72&lt;=$D$19,$E$19*$B$19/12*(1+$F$19)^INT((Assumptions!AA$72-$C$19)/12),IF(Assumptions!AA$72&lt;=$D$19+RetailDowntime,0,1)*$E$19*$B$19/12*INDEX(Cum_RetailRent,1,AA$77)*RenewalRentFactor)))</f>
        <v/>
      </c>
      <c r="AB31" s="50">
        <f>IF(Assumptions!AB$74=0,0,IF(Assumptions!AB$72&lt;$C$19,0,IF(Assumptions!AB$72&lt;=$D$19,$E$19*$B$19/12*(1+$F$19)^INT((Assumptions!AB$72-$C$19)/12),IF(Assumptions!AB$72&lt;=$D$19+RetailDowntime,0,1)*$E$19*$B$19/12*INDEX(Cum_RetailRent,1,AB$77)*RenewalRentFactor)))</f>
        <v/>
      </c>
      <c r="AC31" s="50">
        <f>IF(Assumptions!AC$74=0,0,IF(Assumptions!AC$72&lt;$C$19,0,IF(Assumptions!AC$72&lt;=$D$19,$E$19*$B$19/12*(1+$F$19)^INT((Assumptions!AC$72-$C$19)/12),IF(Assumptions!AC$72&lt;=$D$19+RetailDowntime,0,1)*$E$19*$B$19/12*INDEX(Cum_RetailRent,1,AC$77)*RenewalRentFactor)))</f>
        <v/>
      </c>
      <c r="AD31" s="50">
        <f>IF(Assumptions!AD$74=0,0,IF(Assumptions!AD$72&lt;$C$19,0,IF(Assumptions!AD$72&lt;=$D$19,$E$19*$B$19/12*(1+$F$19)^INT((Assumptions!AD$72-$C$19)/12),IF(Assumptions!AD$72&lt;=$D$19+RetailDowntime,0,1)*$E$19*$B$19/12*INDEX(Cum_RetailRent,1,AD$77)*RenewalRentFactor)))</f>
        <v/>
      </c>
      <c r="AE31" s="50">
        <f>IF(Assumptions!AE$74=0,0,IF(Assumptions!AE$72&lt;$C$19,0,IF(Assumptions!AE$72&lt;=$D$19,$E$19*$B$19/12*(1+$F$19)^INT((Assumptions!AE$72-$C$19)/12),IF(Assumptions!AE$72&lt;=$D$19+RetailDowntime,0,1)*$E$19*$B$19/12*INDEX(Cum_RetailRent,1,AE$77)*RenewalRentFactor)))</f>
        <v/>
      </c>
      <c r="AF31" s="50">
        <f>IF(Assumptions!AF$74=0,0,IF(Assumptions!AF$72&lt;$C$19,0,IF(Assumptions!AF$72&lt;=$D$19,$E$19*$B$19/12*(1+$F$19)^INT((Assumptions!AF$72-$C$19)/12),IF(Assumptions!AF$72&lt;=$D$19+RetailDowntime,0,1)*$E$19*$B$19/12*INDEX(Cum_RetailRent,1,AF$77)*RenewalRentFactor)))</f>
        <v/>
      </c>
      <c r="AG31" s="50">
        <f>IF(Assumptions!AG$74=0,0,IF(Assumptions!AG$72&lt;$C$19,0,IF(Assumptions!AG$72&lt;=$D$19,$E$19*$B$19/12*(1+$F$19)^INT((Assumptions!AG$72-$C$19)/12),IF(Assumptions!AG$72&lt;=$D$19+RetailDowntime,0,1)*$E$19*$B$19/12*INDEX(Cum_RetailRent,1,AG$77)*RenewalRentFactor)))</f>
        <v/>
      </c>
      <c r="AH31" s="50">
        <f>IF(Assumptions!AH$74=0,0,IF(Assumptions!AH$72&lt;$C$19,0,IF(Assumptions!AH$72&lt;=$D$19,$E$19*$B$19/12*(1+$F$19)^INT((Assumptions!AH$72-$C$19)/12),IF(Assumptions!AH$72&lt;=$D$19+RetailDowntime,0,1)*$E$19*$B$19/12*INDEX(Cum_RetailRent,1,AH$77)*RenewalRentFactor)))</f>
        <v/>
      </c>
      <c r="AI31" s="50">
        <f>IF(Assumptions!AI$74=0,0,IF(Assumptions!AI$72&lt;$C$19,0,IF(Assumptions!AI$72&lt;=$D$19,$E$19*$B$19/12*(1+$F$19)^INT((Assumptions!AI$72-$C$19)/12),IF(Assumptions!AI$72&lt;=$D$19+RetailDowntime,0,1)*$E$19*$B$19/12*INDEX(Cum_RetailRent,1,AI$77)*RenewalRentFactor)))</f>
        <v/>
      </c>
      <c r="AJ31" s="50">
        <f>IF(Assumptions!AJ$74=0,0,IF(Assumptions!AJ$72&lt;$C$19,0,IF(Assumptions!AJ$72&lt;=$D$19,$E$19*$B$19/12*(1+$F$19)^INT((Assumptions!AJ$72-$C$19)/12),IF(Assumptions!AJ$72&lt;=$D$19+RetailDowntime,0,1)*$E$19*$B$19/12*INDEX(Cum_RetailRent,1,AJ$77)*RenewalRentFactor)))</f>
        <v/>
      </c>
      <c r="AK31" s="50">
        <f>IF(Assumptions!AK$74=0,0,IF(Assumptions!AK$72&lt;$C$19,0,IF(Assumptions!AK$72&lt;=$D$19,$E$19*$B$19/12*(1+$F$19)^INT((Assumptions!AK$72-$C$19)/12),IF(Assumptions!AK$72&lt;=$D$19+RetailDowntime,0,1)*$E$19*$B$19/12*INDEX(Cum_RetailRent,1,AK$77)*RenewalRentFactor)))</f>
        <v/>
      </c>
      <c r="AL31" s="50">
        <f>IF(Assumptions!AL$74=0,0,IF(Assumptions!AL$72&lt;$C$19,0,IF(Assumptions!AL$72&lt;=$D$19,$E$19*$B$19/12*(1+$F$19)^INT((Assumptions!AL$72-$C$19)/12),IF(Assumptions!AL$72&lt;=$D$19+RetailDowntime,0,1)*$E$19*$B$19/12*INDEX(Cum_RetailRent,1,AL$77)*RenewalRentFactor)))</f>
        <v/>
      </c>
      <c r="AM31" s="50">
        <f>IF(Assumptions!AM$74=0,0,IF(Assumptions!AM$72&lt;$C$19,0,IF(Assumptions!AM$72&lt;=$D$19,$E$19*$B$19/12*(1+$F$19)^INT((Assumptions!AM$72-$C$19)/12),IF(Assumptions!AM$72&lt;=$D$19+RetailDowntime,0,1)*$E$19*$B$19/12*INDEX(Cum_RetailRent,1,AM$77)*RenewalRentFactor)))</f>
        <v/>
      </c>
      <c r="AN31" s="50">
        <f>IF(Assumptions!AN$74=0,0,IF(Assumptions!AN$72&lt;$C$19,0,IF(Assumptions!AN$72&lt;=$D$19,$E$19*$B$19/12*(1+$F$19)^INT((Assumptions!AN$72-$C$19)/12),IF(Assumptions!AN$72&lt;=$D$19+RetailDowntime,0,1)*$E$19*$B$19/12*INDEX(Cum_RetailRent,1,AN$77)*RenewalRentFactor)))</f>
        <v/>
      </c>
      <c r="AO31" s="50">
        <f>IF(Assumptions!AO$74=0,0,IF(Assumptions!AO$72&lt;$C$19,0,IF(Assumptions!AO$72&lt;=$D$19,$E$19*$B$19/12*(1+$F$19)^INT((Assumptions!AO$72-$C$19)/12),IF(Assumptions!AO$72&lt;=$D$19+RetailDowntime,0,1)*$E$19*$B$19/12*INDEX(Cum_RetailRent,1,AO$77)*RenewalRentFactor)))</f>
        <v/>
      </c>
      <c r="AP31" s="50">
        <f>IF(Assumptions!AP$74=0,0,IF(Assumptions!AP$72&lt;$C$19,0,IF(Assumptions!AP$72&lt;=$D$19,$E$19*$B$19/12*(1+$F$19)^INT((Assumptions!AP$72-$C$19)/12),IF(Assumptions!AP$72&lt;=$D$19+RetailDowntime,0,1)*$E$19*$B$19/12*INDEX(Cum_RetailRent,1,AP$77)*RenewalRentFactor)))</f>
        <v/>
      </c>
      <c r="AQ31" s="50">
        <f>IF(Assumptions!AQ$74=0,0,IF(Assumptions!AQ$72&lt;$C$19,0,IF(Assumptions!AQ$72&lt;=$D$19,$E$19*$B$19/12*(1+$F$19)^INT((Assumptions!AQ$72-$C$19)/12),IF(Assumptions!AQ$72&lt;=$D$19+RetailDowntime,0,1)*$E$19*$B$19/12*INDEX(Cum_RetailRent,1,AQ$77)*RenewalRentFactor)))</f>
        <v/>
      </c>
      <c r="AR31" s="50">
        <f>IF(Assumptions!AR$74=0,0,IF(Assumptions!AR$72&lt;$C$19,0,IF(Assumptions!AR$72&lt;=$D$19,$E$19*$B$19/12*(1+$F$19)^INT((Assumptions!AR$72-$C$19)/12),IF(Assumptions!AR$72&lt;=$D$19+RetailDowntime,0,1)*$E$19*$B$19/12*INDEX(Cum_RetailRent,1,AR$77)*RenewalRentFactor)))</f>
        <v/>
      </c>
      <c r="AS31" s="50">
        <f>IF(Assumptions!AS$74=0,0,IF(Assumptions!AS$72&lt;$C$19,0,IF(Assumptions!AS$72&lt;=$D$19,$E$19*$B$19/12*(1+$F$19)^INT((Assumptions!AS$72-$C$19)/12),IF(Assumptions!AS$72&lt;=$D$19+RetailDowntime,0,1)*$E$19*$B$19/12*INDEX(Cum_RetailRent,1,AS$77)*RenewalRentFactor)))</f>
        <v/>
      </c>
      <c r="AT31" s="50">
        <f>IF(Assumptions!AT$74=0,0,IF(Assumptions!AT$72&lt;$C$19,0,IF(Assumptions!AT$72&lt;=$D$19,$E$19*$B$19/12*(1+$F$19)^INT((Assumptions!AT$72-$C$19)/12),IF(Assumptions!AT$72&lt;=$D$19+RetailDowntime,0,1)*$E$19*$B$19/12*INDEX(Cum_RetailRent,1,AT$77)*RenewalRentFactor)))</f>
        <v/>
      </c>
      <c r="AU31" s="50">
        <f>IF(Assumptions!AU$74=0,0,IF(Assumptions!AU$72&lt;$C$19,0,IF(Assumptions!AU$72&lt;=$D$19,$E$19*$B$19/12*(1+$F$19)^INT((Assumptions!AU$72-$C$19)/12),IF(Assumptions!AU$72&lt;=$D$19+RetailDowntime,0,1)*$E$19*$B$19/12*INDEX(Cum_RetailRent,1,AU$77)*RenewalRentFactor)))</f>
        <v/>
      </c>
      <c r="AV31" s="50">
        <f>IF(Assumptions!AV$74=0,0,IF(Assumptions!AV$72&lt;$C$19,0,IF(Assumptions!AV$72&lt;=$D$19,$E$19*$B$19/12*(1+$F$19)^INT((Assumptions!AV$72-$C$19)/12),IF(Assumptions!AV$72&lt;=$D$19+RetailDowntime,0,1)*$E$19*$B$19/12*INDEX(Cum_RetailRent,1,AV$77)*RenewalRentFactor)))</f>
        <v/>
      </c>
      <c r="AW31" s="50">
        <f>IF(Assumptions!AW$74=0,0,IF(Assumptions!AW$72&lt;$C$19,0,IF(Assumptions!AW$72&lt;=$D$19,$E$19*$B$19/12*(1+$F$19)^INT((Assumptions!AW$72-$C$19)/12),IF(Assumptions!AW$72&lt;=$D$19+RetailDowntime,0,1)*$E$19*$B$19/12*INDEX(Cum_RetailRent,1,AW$77)*RenewalRentFactor)))</f>
        <v/>
      </c>
      <c r="AX31" s="50">
        <f>IF(Assumptions!AX$74=0,0,IF(Assumptions!AX$72&lt;$C$19,0,IF(Assumptions!AX$72&lt;=$D$19,$E$19*$B$19/12*(1+$F$19)^INT((Assumptions!AX$72-$C$19)/12),IF(Assumptions!AX$72&lt;=$D$19+RetailDowntime,0,1)*$E$19*$B$19/12*INDEX(Cum_RetailRent,1,AX$77)*RenewalRentFactor)))</f>
        <v/>
      </c>
      <c r="AY31" s="50">
        <f>IF(Assumptions!AY$74=0,0,IF(Assumptions!AY$72&lt;$C$19,0,IF(Assumptions!AY$72&lt;=$D$19,$E$19*$B$19/12*(1+$F$19)^INT((Assumptions!AY$72-$C$19)/12),IF(Assumptions!AY$72&lt;=$D$19+RetailDowntime,0,1)*$E$19*$B$19/12*INDEX(Cum_RetailRent,1,AY$77)*RenewalRentFactor)))</f>
        <v/>
      </c>
      <c r="AZ31" s="50">
        <f>IF(Assumptions!AZ$74=0,0,IF(Assumptions!AZ$72&lt;$C$19,0,IF(Assumptions!AZ$72&lt;=$D$19,$E$19*$B$19/12*(1+$F$19)^INT((Assumptions!AZ$72-$C$19)/12),IF(Assumptions!AZ$72&lt;=$D$19+RetailDowntime,0,1)*$E$19*$B$19/12*INDEX(Cum_RetailRent,1,AZ$77)*RenewalRentFactor)))</f>
        <v/>
      </c>
      <c r="BA31" s="50">
        <f>IF(Assumptions!BA$74=0,0,IF(Assumptions!BA$72&lt;$C$19,0,IF(Assumptions!BA$72&lt;=$D$19,$E$19*$B$19/12*(1+$F$19)^INT((Assumptions!BA$72-$C$19)/12),IF(Assumptions!BA$72&lt;=$D$19+RetailDowntime,0,1)*$E$19*$B$19/12*INDEX(Cum_RetailRent,1,BA$77)*RenewalRentFactor)))</f>
        <v/>
      </c>
      <c r="BB31" s="50">
        <f>IF(Assumptions!BB$74=0,0,IF(Assumptions!BB$72&lt;$C$19,0,IF(Assumptions!BB$72&lt;=$D$19,$E$19*$B$19/12*(1+$F$19)^INT((Assumptions!BB$72-$C$19)/12),IF(Assumptions!BB$72&lt;=$D$19+RetailDowntime,0,1)*$E$19*$B$19/12*INDEX(Cum_RetailRent,1,BB$77)*RenewalRentFactor)))</f>
        <v/>
      </c>
      <c r="BC31" s="50">
        <f>IF(Assumptions!BC$74=0,0,IF(Assumptions!BC$72&lt;$C$19,0,IF(Assumptions!BC$72&lt;=$D$19,$E$19*$B$19/12*(1+$F$19)^INT((Assumptions!BC$72-$C$19)/12),IF(Assumptions!BC$72&lt;=$D$19+RetailDowntime,0,1)*$E$19*$B$19/12*INDEX(Cum_RetailRent,1,BC$77)*RenewalRentFactor)))</f>
        <v/>
      </c>
      <c r="BD31" s="50">
        <f>IF(Assumptions!BD$74=0,0,IF(Assumptions!BD$72&lt;$C$19,0,IF(Assumptions!BD$72&lt;=$D$19,$E$19*$B$19/12*(1+$F$19)^INT((Assumptions!BD$72-$C$19)/12),IF(Assumptions!BD$72&lt;=$D$19+RetailDowntime,0,1)*$E$19*$B$19/12*INDEX(Cum_RetailRent,1,BD$77)*RenewalRentFactor)))</f>
        <v/>
      </c>
      <c r="BE31" s="50">
        <f>IF(Assumptions!BE$74=0,0,IF(Assumptions!BE$72&lt;$C$19,0,IF(Assumptions!BE$72&lt;=$D$19,$E$19*$B$19/12*(1+$F$19)^INT((Assumptions!BE$72-$C$19)/12),IF(Assumptions!BE$72&lt;=$D$19+RetailDowntime,0,1)*$E$19*$B$19/12*INDEX(Cum_RetailRent,1,BE$77)*RenewalRentFactor)))</f>
        <v/>
      </c>
      <c r="BF31" s="50">
        <f>IF(Assumptions!BF$74=0,0,IF(Assumptions!BF$72&lt;$C$19,0,IF(Assumptions!BF$72&lt;=$D$19,$E$19*$B$19/12*(1+$F$19)^INT((Assumptions!BF$72-$C$19)/12),IF(Assumptions!BF$72&lt;=$D$19+RetailDowntime,0,1)*$E$19*$B$19/12*INDEX(Cum_RetailRent,1,BF$77)*RenewalRentFactor)))</f>
        <v/>
      </c>
      <c r="BG31" s="50">
        <f>IF(Assumptions!BG$74=0,0,IF(Assumptions!BG$72&lt;$C$19,0,IF(Assumptions!BG$72&lt;=$D$19,$E$19*$B$19/12*(1+$F$19)^INT((Assumptions!BG$72-$C$19)/12),IF(Assumptions!BG$72&lt;=$D$19+RetailDowntime,0,1)*$E$19*$B$19/12*INDEX(Cum_RetailRent,1,BG$77)*RenewalRentFactor)))</f>
        <v/>
      </c>
      <c r="BH31" s="50">
        <f>IF(Assumptions!BH$74=0,0,IF(Assumptions!BH$72&lt;$C$19,0,IF(Assumptions!BH$72&lt;=$D$19,$E$19*$B$19/12*(1+$F$19)^INT((Assumptions!BH$72-$C$19)/12),IF(Assumptions!BH$72&lt;=$D$19+RetailDowntime,0,1)*$E$19*$B$19/12*INDEX(Cum_RetailRent,1,BH$77)*RenewalRentFactor)))</f>
        <v/>
      </c>
      <c r="BI31" s="50">
        <f>IF(Assumptions!BI$74=0,0,IF(Assumptions!BI$72&lt;$C$19,0,IF(Assumptions!BI$72&lt;=$D$19,$E$19*$B$19/12*(1+$F$19)^INT((Assumptions!BI$72-$C$19)/12),IF(Assumptions!BI$72&lt;=$D$19+RetailDowntime,0,1)*$E$19*$B$19/12*INDEX(Cum_RetailRent,1,BI$77)*RenewalRentFactor)))</f>
        <v/>
      </c>
      <c r="BJ31" s="50">
        <f>IF(Assumptions!BJ$74=0,0,IF(Assumptions!BJ$72&lt;$C$19,0,IF(Assumptions!BJ$72&lt;=$D$19,$E$19*$B$19/12*(1+$F$19)^INT((Assumptions!BJ$72-$C$19)/12),IF(Assumptions!BJ$72&lt;=$D$19+RetailDowntime,0,1)*$E$19*$B$19/12*INDEX(Cum_RetailRent,1,BJ$77)*RenewalRentFactor)))</f>
        <v/>
      </c>
      <c r="BK31" s="50">
        <f>IF(Assumptions!BK$74=0,0,IF(Assumptions!BK$72&lt;$C$19,0,IF(Assumptions!BK$72&lt;=$D$19,$E$19*$B$19/12*(1+$F$19)^INT((Assumptions!BK$72-$C$19)/12),IF(Assumptions!BK$72&lt;=$D$19+RetailDowntime,0,1)*$E$19*$B$19/12*INDEX(Cum_RetailRent,1,BK$77)*RenewalRentFactor)))</f>
        <v/>
      </c>
      <c r="BL31" s="50">
        <f>IF(Assumptions!BL$74=0,0,IF(Assumptions!BL$72&lt;$C$19,0,IF(Assumptions!BL$72&lt;=$D$19,$E$19*$B$19/12*(1+$F$19)^INT((Assumptions!BL$72-$C$19)/12),IF(Assumptions!BL$72&lt;=$D$19+RetailDowntime,0,1)*$E$19*$B$19/12*INDEX(Cum_RetailRent,1,BL$77)*RenewalRentFactor)))</f>
        <v/>
      </c>
      <c r="BM31" s="50">
        <f>IF(Assumptions!BM$74=0,0,IF(Assumptions!BM$72&lt;$C$19,0,IF(Assumptions!BM$72&lt;=$D$19,$E$19*$B$19/12*(1+$F$19)^INT((Assumptions!BM$72-$C$19)/12),IF(Assumptions!BM$72&lt;=$D$19+RetailDowntime,0,1)*$E$19*$B$19/12*INDEX(Cum_RetailRent,1,BM$77)*RenewalRentFactor)))</f>
        <v/>
      </c>
      <c r="BN31" s="50">
        <f>IF(Assumptions!BN$74=0,0,IF(Assumptions!BN$72&lt;$C$19,0,IF(Assumptions!BN$72&lt;=$D$19,$E$19*$B$19/12*(1+$F$19)^INT((Assumptions!BN$72-$C$19)/12),IF(Assumptions!BN$72&lt;=$D$19+RetailDowntime,0,1)*$E$19*$B$19/12*INDEX(Cum_RetailRent,1,BN$77)*RenewalRentFactor)))</f>
        <v/>
      </c>
      <c r="BO31" s="50">
        <f>IF(Assumptions!BO$74=0,0,IF(Assumptions!BO$72&lt;$C$19,0,IF(Assumptions!BO$72&lt;=$D$19,$E$19*$B$19/12*(1+$F$19)^INT((Assumptions!BO$72-$C$19)/12),IF(Assumptions!BO$72&lt;=$D$19+RetailDowntime,0,1)*$E$19*$B$19/12*INDEX(Cum_RetailRent,1,BO$77)*RenewalRentFactor)))</f>
        <v/>
      </c>
      <c r="BP31" s="50">
        <f>IF(Assumptions!BP$74=0,0,IF(Assumptions!BP$72&lt;$C$19,0,IF(Assumptions!BP$72&lt;=$D$19,$E$19*$B$19/12*(1+$F$19)^INT((Assumptions!BP$72-$C$19)/12),IF(Assumptions!BP$72&lt;=$D$19+RetailDowntime,0,1)*$E$19*$B$19/12*INDEX(Cum_RetailRent,1,BP$77)*RenewalRentFactor)))</f>
        <v/>
      </c>
      <c r="BQ31" s="50">
        <f>IF(Assumptions!BQ$74=0,0,IF(Assumptions!BQ$72&lt;$C$19,0,IF(Assumptions!BQ$72&lt;=$D$19,$E$19*$B$19/12*(1+$F$19)^INT((Assumptions!BQ$72-$C$19)/12),IF(Assumptions!BQ$72&lt;=$D$19+RetailDowntime,0,1)*$E$19*$B$19/12*INDEX(Cum_RetailRent,1,BQ$77)*RenewalRentFactor)))</f>
        <v/>
      </c>
      <c r="BR31" s="50">
        <f>IF(Assumptions!BR$74=0,0,IF(Assumptions!BR$72&lt;$C$19,0,IF(Assumptions!BR$72&lt;=$D$19,$E$19*$B$19/12*(1+$F$19)^INT((Assumptions!BR$72-$C$19)/12),IF(Assumptions!BR$72&lt;=$D$19+RetailDowntime,0,1)*$E$19*$B$19/12*INDEX(Cum_RetailRent,1,BR$77)*RenewalRentFactor)))</f>
        <v/>
      </c>
      <c r="BS31" s="50">
        <f>IF(Assumptions!BS$74=0,0,IF(Assumptions!BS$72&lt;$C$19,0,IF(Assumptions!BS$72&lt;=$D$19,$E$19*$B$19/12*(1+$F$19)^INT((Assumptions!BS$72-$C$19)/12),IF(Assumptions!BS$72&lt;=$D$19+RetailDowntime,0,1)*$E$19*$B$19/12*INDEX(Cum_RetailRent,1,BS$77)*RenewalRentFactor)))</f>
        <v/>
      </c>
      <c r="BT31" s="50">
        <f>IF(Assumptions!BT$74=0,0,IF(Assumptions!BT$72&lt;$C$19,0,IF(Assumptions!BT$72&lt;=$D$19,$E$19*$B$19/12*(1+$F$19)^INT((Assumptions!BT$72-$C$19)/12),IF(Assumptions!BT$72&lt;=$D$19+RetailDowntime,0,1)*$E$19*$B$19/12*INDEX(Cum_RetailRent,1,BT$77)*RenewalRentFactor)))</f>
        <v/>
      </c>
      <c r="BU31" s="50">
        <f>IF(Assumptions!BU$74=0,0,IF(Assumptions!BU$72&lt;$C$19,0,IF(Assumptions!BU$72&lt;=$D$19,$E$19*$B$19/12*(1+$F$19)^INT((Assumptions!BU$72-$C$19)/12),IF(Assumptions!BU$72&lt;=$D$19+RetailDowntime,0,1)*$E$19*$B$19/12*INDEX(Cum_RetailRent,1,BU$77)*RenewalRentFactor)))</f>
        <v/>
      </c>
      <c r="BV31" s="50">
        <f>IF(Assumptions!BV$74=0,0,IF(Assumptions!BV$72&lt;$C$19,0,IF(Assumptions!BV$72&lt;=$D$19,$E$19*$B$19/12*(1+$F$19)^INT((Assumptions!BV$72-$C$19)/12),IF(Assumptions!BV$72&lt;=$D$19+RetailDowntime,0,1)*$E$19*$B$19/12*INDEX(Cum_RetailRent,1,BV$77)*RenewalRentFactor)))</f>
        <v/>
      </c>
      <c r="BW31" s="50">
        <f>IF(Assumptions!BW$74=0,0,IF(Assumptions!BW$72&lt;$C$19,0,IF(Assumptions!BW$72&lt;=$D$19,$E$19*$B$19/12*(1+$F$19)^INT((Assumptions!BW$72-$C$19)/12),IF(Assumptions!BW$72&lt;=$D$19+RetailDowntime,0,1)*$E$19*$B$19/12*INDEX(Cum_RetailRent,1,BW$77)*RenewalRentFactor)))</f>
        <v/>
      </c>
      <c r="BX31" s="50">
        <f>IF(Assumptions!BX$74=0,0,IF(Assumptions!BX$72&lt;$C$19,0,IF(Assumptions!BX$72&lt;=$D$19,$E$19*$B$19/12*(1+$F$19)^INT((Assumptions!BX$72-$C$19)/12),IF(Assumptions!BX$72&lt;=$D$19+RetailDowntime,0,1)*$E$19*$B$19/12*INDEX(Cum_RetailRent,1,BX$77)*RenewalRentFactor)))</f>
        <v/>
      </c>
      <c r="BY31" s="50">
        <f>IF(Assumptions!BY$74=0,0,IF(Assumptions!BY$72&lt;$C$19,0,IF(Assumptions!BY$72&lt;=$D$19,$E$19*$B$19/12*(1+$F$19)^INT((Assumptions!BY$72-$C$19)/12),IF(Assumptions!BY$72&lt;=$D$19+RetailDowntime,0,1)*$E$19*$B$19/12*INDEX(Cum_RetailRent,1,BY$77)*RenewalRentFactor)))</f>
        <v/>
      </c>
      <c r="BZ31" s="50">
        <f>IF(Assumptions!BZ$74=0,0,IF(Assumptions!BZ$72&lt;$C$19,0,IF(Assumptions!BZ$72&lt;=$D$19,$E$19*$B$19/12*(1+$F$19)^INT((Assumptions!BZ$72-$C$19)/12),IF(Assumptions!BZ$72&lt;=$D$19+RetailDowntime,0,1)*$E$19*$B$19/12*INDEX(Cum_RetailRent,1,BZ$77)*RenewalRentFactor)))</f>
        <v/>
      </c>
      <c r="CA31" s="50">
        <f>IF(Assumptions!CA$74=0,0,IF(Assumptions!CA$72&lt;$C$19,0,IF(Assumptions!CA$72&lt;=$D$19,$E$19*$B$19/12*(1+$F$19)^INT((Assumptions!CA$72-$C$19)/12),IF(Assumptions!CA$72&lt;=$D$19+RetailDowntime,0,1)*$E$19*$B$19/12*INDEX(Cum_RetailRent,1,CA$77)*RenewalRentFactor)))</f>
        <v/>
      </c>
      <c r="CB31" s="50">
        <f>IF(Assumptions!CB$74=0,0,IF(Assumptions!CB$72&lt;$C$19,0,IF(Assumptions!CB$72&lt;=$D$19,$E$19*$B$19/12*(1+$F$19)^INT((Assumptions!CB$72-$C$19)/12),IF(Assumptions!CB$72&lt;=$D$19+RetailDowntime,0,1)*$E$19*$B$19/12*INDEX(Cum_RetailRent,1,CB$77)*RenewalRentFactor)))</f>
        <v/>
      </c>
      <c r="CC31" s="50">
        <f>IF(Assumptions!CC$74=0,0,IF(Assumptions!CC$72&lt;$C$19,0,IF(Assumptions!CC$72&lt;=$D$19,$E$19*$B$19/12*(1+$F$19)^INT((Assumptions!CC$72-$C$19)/12),IF(Assumptions!CC$72&lt;=$D$19+RetailDowntime,0,1)*$E$19*$B$19/12*INDEX(Cum_RetailRent,1,CC$77)*RenewalRentFactor)))</f>
        <v/>
      </c>
      <c r="CD31" s="50">
        <f>IF(Assumptions!CD$74=0,0,IF(Assumptions!CD$72&lt;$C$19,0,IF(Assumptions!CD$72&lt;=$D$19,$E$19*$B$19/12*(1+$F$19)^INT((Assumptions!CD$72-$C$19)/12),IF(Assumptions!CD$72&lt;=$D$19+RetailDowntime,0,1)*$E$19*$B$19/12*INDEX(Cum_RetailRent,1,CD$77)*RenewalRentFactor)))</f>
        <v/>
      </c>
      <c r="CE31" s="50">
        <f>IF(Assumptions!CE$74=0,0,IF(Assumptions!CE$72&lt;$C$19,0,IF(Assumptions!CE$72&lt;=$D$19,$E$19*$B$19/12*(1+$F$19)^INT((Assumptions!CE$72-$C$19)/12),IF(Assumptions!CE$72&lt;=$D$19+RetailDowntime,0,1)*$E$19*$B$19/12*INDEX(Cum_RetailRent,1,CE$77)*RenewalRentFactor)))</f>
        <v/>
      </c>
      <c r="CF31" s="50">
        <f>IF(Assumptions!CF$74=0,0,IF(Assumptions!CF$72&lt;$C$19,0,IF(Assumptions!CF$72&lt;=$D$19,$E$19*$B$19/12*(1+$F$19)^INT((Assumptions!CF$72-$C$19)/12),IF(Assumptions!CF$72&lt;=$D$19+RetailDowntime,0,1)*$E$19*$B$19/12*INDEX(Cum_RetailRent,1,CF$77)*RenewalRentFactor)))</f>
        <v/>
      </c>
      <c r="CG31" s="50">
        <f>IF(Assumptions!CG$74=0,0,IF(Assumptions!CG$72&lt;$C$19,0,IF(Assumptions!CG$72&lt;=$D$19,$E$19*$B$19/12*(1+$F$19)^INT((Assumptions!CG$72-$C$19)/12),IF(Assumptions!CG$72&lt;=$D$19+RetailDowntime,0,1)*$E$19*$B$19/12*INDEX(Cum_RetailRent,1,CG$77)*RenewalRentFactor)))</f>
        <v/>
      </c>
      <c r="CH31" s="50">
        <f>IF(Assumptions!CH$74=0,0,IF(Assumptions!CH$72&lt;$C$19,0,IF(Assumptions!CH$72&lt;=$D$19,$E$19*$B$19/12*(1+$F$19)^INT((Assumptions!CH$72-$C$19)/12),IF(Assumptions!CH$72&lt;=$D$19+RetailDowntime,0,1)*$E$19*$B$19/12*INDEX(Cum_RetailRent,1,CH$77)*RenewalRentFactor)))</f>
        <v/>
      </c>
      <c r="CI31" s="50">
        <f>IF(Assumptions!CI$74=0,0,IF(Assumptions!CI$72&lt;$C$19,0,IF(Assumptions!CI$72&lt;=$D$19,$E$19*$B$19/12*(1+$F$19)^INT((Assumptions!CI$72-$C$19)/12),IF(Assumptions!CI$72&lt;=$D$19+RetailDowntime,0,1)*$E$19*$B$19/12*INDEX(Cum_RetailRent,1,CI$77)*RenewalRentFactor)))</f>
        <v/>
      </c>
      <c r="CJ31" s="50">
        <f>IF(Assumptions!CJ$74=0,0,IF(Assumptions!CJ$72&lt;$C$19,0,IF(Assumptions!CJ$72&lt;=$D$19,$E$19*$B$19/12*(1+$F$19)^INT((Assumptions!CJ$72-$C$19)/12),IF(Assumptions!CJ$72&lt;=$D$19+RetailDowntime,0,1)*$E$19*$B$19/12*INDEX(Cum_RetailRent,1,CJ$77)*RenewalRentFactor)))</f>
        <v/>
      </c>
      <c r="CK31" s="50">
        <f>IF(Assumptions!CK$74=0,0,IF(Assumptions!CK$72&lt;$C$19,0,IF(Assumptions!CK$72&lt;=$D$19,$E$19*$B$19/12*(1+$F$19)^INT((Assumptions!CK$72-$C$19)/12),IF(Assumptions!CK$72&lt;=$D$19+RetailDowntime,0,1)*$E$19*$B$19/12*INDEX(Cum_RetailRent,1,CK$77)*RenewalRentFactor)))</f>
        <v/>
      </c>
      <c r="CL31" s="50">
        <f>IF(Assumptions!CL$74=0,0,IF(Assumptions!CL$72&lt;$C$19,0,IF(Assumptions!CL$72&lt;=$D$19,$E$19*$B$19/12*(1+$F$19)^INT((Assumptions!CL$72-$C$19)/12),IF(Assumptions!CL$72&lt;=$D$19+RetailDowntime,0,1)*$E$19*$B$19/12*INDEX(Cum_RetailRent,1,CL$77)*RenewalRentFactor)))</f>
        <v/>
      </c>
      <c r="CM31" s="50">
        <f>IF(Assumptions!CM$74=0,0,IF(Assumptions!CM$72&lt;$C$19,0,IF(Assumptions!CM$72&lt;=$D$19,$E$19*$B$19/12*(1+$F$19)^INT((Assumptions!CM$72-$C$19)/12),IF(Assumptions!CM$72&lt;=$D$19+RetailDowntime,0,1)*$E$19*$B$19/12*INDEX(Cum_RetailRent,1,CM$77)*RenewalRentFactor)))</f>
        <v/>
      </c>
      <c r="CN31" s="50">
        <f>IF(Assumptions!CN$74=0,0,IF(Assumptions!CN$72&lt;$C$19,0,IF(Assumptions!CN$72&lt;=$D$19,$E$19*$B$19/12*(1+$F$19)^INT((Assumptions!CN$72-$C$19)/12),IF(Assumptions!CN$72&lt;=$D$19+RetailDowntime,0,1)*$E$19*$B$19/12*INDEX(Cum_RetailRent,1,CN$77)*RenewalRentFactor)))</f>
        <v/>
      </c>
      <c r="CO31" s="50">
        <f>IF(Assumptions!CO$74=0,0,IF(Assumptions!CO$72&lt;$C$19,0,IF(Assumptions!CO$72&lt;=$D$19,$E$19*$B$19/12*(1+$F$19)^INT((Assumptions!CO$72-$C$19)/12),IF(Assumptions!CO$72&lt;=$D$19+RetailDowntime,0,1)*$E$19*$B$19/12*INDEX(Cum_RetailRent,1,CO$77)*RenewalRentFactor)))</f>
        <v/>
      </c>
      <c r="CP31" s="50">
        <f>IF(Assumptions!CP$74=0,0,IF(Assumptions!CP$72&lt;$C$19,0,IF(Assumptions!CP$72&lt;=$D$19,$E$19*$B$19/12*(1+$F$19)^INT((Assumptions!CP$72-$C$19)/12),IF(Assumptions!CP$72&lt;=$D$19+RetailDowntime,0,1)*$E$19*$B$19/12*INDEX(Cum_RetailRent,1,CP$77)*RenewalRentFactor)))</f>
        <v/>
      </c>
      <c r="CQ31" s="50">
        <f>IF(Assumptions!CQ$74=0,0,IF(Assumptions!CQ$72&lt;$C$19,0,IF(Assumptions!CQ$72&lt;=$D$19,$E$19*$B$19/12*(1+$F$19)^INT((Assumptions!CQ$72-$C$19)/12),IF(Assumptions!CQ$72&lt;=$D$19+RetailDowntime,0,1)*$E$19*$B$19/12*INDEX(Cum_RetailRent,1,CQ$77)*RenewalRentFactor)))</f>
        <v/>
      </c>
      <c r="CR31" s="50">
        <f>IF(Assumptions!CR$74=0,0,IF(Assumptions!CR$72&lt;$C$19,0,IF(Assumptions!CR$72&lt;=$D$19,$E$19*$B$19/12*(1+$F$19)^INT((Assumptions!CR$72-$C$19)/12),IF(Assumptions!CR$72&lt;=$D$19+RetailDowntime,0,1)*$E$19*$B$19/12*INDEX(Cum_RetailRent,1,CR$77)*RenewalRentFactor)))</f>
        <v/>
      </c>
      <c r="CS31" s="50">
        <f>IF(Assumptions!CS$74=0,0,IF(Assumptions!CS$72&lt;$C$19,0,IF(Assumptions!CS$72&lt;=$D$19,$E$19*$B$19/12*(1+$F$19)^INT((Assumptions!CS$72-$C$19)/12),IF(Assumptions!CS$72&lt;=$D$19+RetailDowntime,0,1)*$E$19*$B$19/12*INDEX(Cum_RetailRent,1,CS$77)*RenewalRentFactor)))</f>
        <v/>
      </c>
      <c r="CT31" s="50">
        <f>IF(Assumptions!CT$74=0,0,IF(Assumptions!CT$72&lt;$C$19,0,IF(Assumptions!CT$72&lt;=$D$19,$E$19*$B$19/12*(1+$F$19)^INT((Assumptions!CT$72-$C$19)/12),IF(Assumptions!CT$72&lt;=$D$19+RetailDowntime,0,1)*$E$19*$B$19/12*INDEX(Cum_RetailRent,1,CT$77)*RenewalRentFactor)))</f>
        <v/>
      </c>
      <c r="CU31" s="50">
        <f>IF(Assumptions!CU$74=0,0,IF(Assumptions!CU$72&lt;$C$19,0,IF(Assumptions!CU$72&lt;=$D$19,$E$19*$B$19/12*(1+$F$19)^INT((Assumptions!CU$72-$C$19)/12),IF(Assumptions!CU$72&lt;=$D$19+RetailDowntime,0,1)*$E$19*$B$19/12*INDEX(Cum_RetailRent,1,CU$77)*RenewalRentFactor)))</f>
        <v/>
      </c>
      <c r="CV31" s="50">
        <f>IF(Assumptions!CV$74=0,0,IF(Assumptions!CV$72&lt;$C$19,0,IF(Assumptions!CV$72&lt;=$D$19,$E$19*$B$19/12*(1+$F$19)^INT((Assumptions!CV$72-$C$19)/12),IF(Assumptions!CV$72&lt;=$D$19+RetailDowntime,0,1)*$E$19*$B$19/12*INDEX(Cum_RetailRent,1,CV$77)*RenewalRentFactor)))</f>
        <v/>
      </c>
      <c r="CW31" s="50">
        <f>IF(Assumptions!CW$74=0,0,IF(Assumptions!CW$72&lt;$C$19,0,IF(Assumptions!CW$72&lt;=$D$19,$E$19*$B$19/12*(1+$F$19)^INT((Assumptions!CW$72-$C$19)/12),IF(Assumptions!CW$72&lt;=$D$19+RetailDowntime,0,1)*$E$19*$B$19/12*INDEX(Cum_RetailRent,1,CW$77)*RenewalRentFactor)))</f>
        <v/>
      </c>
      <c r="CX31" s="50">
        <f>IF(Assumptions!CX$74=0,0,IF(Assumptions!CX$72&lt;$C$19,0,IF(Assumptions!CX$72&lt;=$D$19,$E$19*$B$19/12*(1+$F$19)^INT((Assumptions!CX$72-$C$19)/12),IF(Assumptions!CX$72&lt;=$D$19+RetailDowntime,0,1)*$E$19*$B$19/12*INDEX(Cum_RetailRent,1,CX$77)*RenewalRentFactor)))</f>
        <v/>
      </c>
      <c r="CY31" s="50">
        <f>IF(Assumptions!CY$74=0,0,IF(Assumptions!CY$72&lt;$C$19,0,IF(Assumptions!CY$72&lt;=$D$19,$E$19*$B$19/12*(1+$F$19)^INT((Assumptions!CY$72-$C$19)/12),IF(Assumptions!CY$72&lt;=$D$19+RetailDowntime,0,1)*$E$19*$B$19/12*INDEX(Cum_RetailRent,1,CY$77)*RenewalRentFactor)))</f>
        <v/>
      </c>
      <c r="CZ31" s="50">
        <f>IF(Assumptions!CZ$74=0,0,IF(Assumptions!CZ$72&lt;$C$19,0,IF(Assumptions!CZ$72&lt;=$D$19,$E$19*$B$19/12*(1+$F$19)^INT((Assumptions!CZ$72-$C$19)/12),IF(Assumptions!CZ$72&lt;=$D$19+RetailDowntime,0,1)*$E$19*$B$19/12*INDEX(Cum_RetailRent,1,CZ$77)*RenewalRentFactor)))</f>
        <v/>
      </c>
      <c r="DA31" s="50">
        <f>IF(Assumptions!DA$74=0,0,IF(Assumptions!DA$72&lt;$C$19,0,IF(Assumptions!DA$72&lt;=$D$19,$E$19*$B$19/12*(1+$F$19)^INT((Assumptions!DA$72-$C$19)/12),IF(Assumptions!DA$72&lt;=$D$19+RetailDowntime,0,1)*$E$19*$B$19/12*INDEX(Cum_RetailRent,1,DA$77)*RenewalRentFactor)))</f>
        <v/>
      </c>
      <c r="DB31" s="50">
        <f>IF(Assumptions!DB$74=0,0,IF(Assumptions!DB$72&lt;$C$19,0,IF(Assumptions!DB$72&lt;=$D$19,$E$19*$B$19/12*(1+$F$19)^INT((Assumptions!DB$72-$C$19)/12),IF(Assumptions!DB$72&lt;=$D$19+RetailDowntime,0,1)*$E$19*$B$19/12*INDEX(Cum_RetailRent,1,DB$77)*RenewalRentFactor)))</f>
        <v/>
      </c>
      <c r="DC31" s="50">
        <f>IF(Assumptions!DC$74=0,0,IF(Assumptions!DC$72&lt;$C$19,0,IF(Assumptions!DC$72&lt;=$D$19,$E$19*$B$19/12*(1+$F$19)^INT((Assumptions!DC$72-$C$19)/12),IF(Assumptions!DC$72&lt;=$D$19+RetailDowntime,0,1)*$E$19*$B$19/12*INDEX(Cum_RetailRent,1,DC$77)*RenewalRentFactor)))</f>
        <v/>
      </c>
      <c r="DD31" s="50">
        <f>IF(Assumptions!DD$74=0,0,IF(Assumptions!DD$72&lt;$C$19,0,IF(Assumptions!DD$72&lt;=$D$19,$E$19*$B$19/12*(1+$F$19)^INT((Assumptions!DD$72-$C$19)/12),IF(Assumptions!DD$72&lt;=$D$19+RetailDowntime,0,1)*$E$19*$B$19/12*INDEX(Cum_RetailRent,1,DD$77)*RenewalRentFactor)))</f>
        <v/>
      </c>
      <c r="DE31" s="50">
        <f>IF(Assumptions!DE$74=0,0,IF(Assumptions!DE$72&lt;$C$19,0,IF(Assumptions!DE$72&lt;=$D$19,$E$19*$B$19/12*(1+$F$19)^INT((Assumptions!DE$72-$C$19)/12),IF(Assumptions!DE$72&lt;=$D$19+RetailDowntime,0,1)*$E$19*$B$19/12*INDEX(Cum_RetailRent,1,DE$77)*RenewalRentFactor)))</f>
        <v/>
      </c>
      <c r="DF31" s="50">
        <f>IF(Assumptions!DF$74=0,0,IF(Assumptions!DF$72&lt;$C$19,0,IF(Assumptions!DF$72&lt;=$D$19,$E$19*$B$19/12*(1+$F$19)^INT((Assumptions!DF$72-$C$19)/12),IF(Assumptions!DF$72&lt;=$D$19+RetailDowntime,0,1)*$E$19*$B$19/12*INDEX(Cum_RetailRent,1,DF$77)*RenewalRentFactor)))</f>
        <v/>
      </c>
      <c r="DG31" s="50">
        <f>IF(Assumptions!DG$74=0,0,IF(Assumptions!DG$72&lt;$C$19,0,IF(Assumptions!DG$72&lt;=$D$19,$E$19*$B$19/12*(1+$F$19)^INT((Assumptions!DG$72-$C$19)/12),IF(Assumptions!DG$72&lt;=$D$19+RetailDowntime,0,1)*$E$19*$B$19/12*INDEX(Cum_RetailRent,1,DG$77)*RenewalRentFactor)))</f>
        <v/>
      </c>
      <c r="DH31" s="50">
        <f>IF(Assumptions!DH$74=0,0,IF(Assumptions!DH$72&lt;$C$19,0,IF(Assumptions!DH$72&lt;=$D$19,$E$19*$B$19/12*(1+$F$19)^INT((Assumptions!DH$72-$C$19)/12),IF(Assumptions!DH$72&lt;=$D$19+RetailDowntime,0,1)*$E$19*$B$19/12*INDEX(Cum_RetailRent,1,DH$77)*RenewalRentFactor)))</f>
        <v/>
      </c>
      <c r="DI31" s="50">
        <f>IF(Assumptions!DI$74=0,0,IF(Assumptions!DI$72&lt;$C$19,0,IF(Assumptions!DI$72&lt;=$D$19,$E$19*$B$19/12*(1+$F$19)^INT((Assumptions!DI$72-$C$19)/12),IF(Assumptions!DI$72&lt;=$D$19+RetailDowntime,0,1)*$E$19*$B$19/12*INDEX(Cum_RetailRent,1,DI$77)*RenewalRentFactor)))</f>
        <v/>
      </c>
      <c r="DJ31" s="50">
        <f>IF(Assumptions!DJ$74=0,0,IF(Assumptions!DJ$72&lt;$C$19,0,IF(Assumptions!DJ$72&lt;=$D$19,$E$19*$B$19/12*(1+$F$19)^INT((Assumptions!DJ$72-$C$19)/12),IF(Assumptions!DJ$72&lt;=$D$19+RetailDowntime,0,1)*$E$19*$B$19/12*INDEX(Cum_RetailRent,1,DJ$77)*RenewalRentFactor)))</f>
        <v/>
      </c>
      <c r="DK31" s="50">
        <f>IF(Assumptions!DK$74=0,0,IF(Assumptions!DK$72&lt;$C$19,0,IF(Assumptions!DK$72&lt;=$D$19,$E$19*$B$19/12*(1+$F$19)^INT((Assumptions!DK$72-$C$19)/12),IF(Assumptions!DK$72&lt;=$D$19+RetailDowntime,0,1)*$E$19*$B$19/12*INDEX(Cum_RetailRent,1,DK$77)*RenewalRentFactor)))</f>
        <v/>
      </c>
      <c r="DL31" s="50">
        <f>IF(Assumptions!DL$74=0,0,IF(Assumptions!DL$72&lt;$C$19,0,IF(Assumptions!DL$72&lt;=$D$19,$E$19*$B$19/12*(1+$F$19)^INT((Assumptions!DL$72-$C$19)/12),IF(Assumptions!DL$72&lt;=$D$19+RetailDowntime,0,1)*$E$19*$B$19/12*INDEX(Cum_RetailRent,1,DL$77)*RenewalRentFactor)))</f>
        <v/>
      </c>
      <c r="DM31" s="50">
        <f>IF(Assumptions!DM$74=0,0,IF(Assumptions!DM$72&lt;$C$19,0,IF(Assumptions!DM$72&lt;=$D$19,$E$19*$B$19/12*(1+$F$19)^INT((Assumptions!DM$72-$C$19)/12),IF(Assumptions!DM$72&lt;=$D$19+RetailDowntime,0,1)*$E$19*$B$19/12*INDEX(Cum_RetailRent,1,DM$77)*RenewalRentFactor)))</f>
        <v/>
      </c>
      <c r="DN31" s="50">
        <f>IF(Assumptions!DN$74=0,0,IF(Assumptions!DN$72&lt;$C$19,0,IF(Assumptions!DN$72&lt;=$D$19,$E$19*$B$19/12*(1+$F$19)^INT((Assumptions!DN$72-$C$19)/12),IF(Assumptions!DN$72&lt;=$D$19+RetailDowntime,0,1)*$E$19*$B$19/12*INDEX(Cum_RetailRent,1,DN$77)*RenewalRentFactor)))</f>
        <v/>
      </c>
      <c r="DO31" s="50">
        <f>IF(Assumptions!DO$74=0,0,IF(Assumptions!DO$72&lt;$C$19,0,IF(Assumptions!DO$72&lt;=$D$19,$E$19*$B$19/12*(1+$F$19)^INT((Assumptions!DO$72-$C$19)/12),IF(Assumptions!DO$72&lt;=$D$19+RetailDowntime,0,1)*$E$19*$B$19/12*INDEX(Cum_RetailRent,1,DO$77)*RenewalRentFactor)))</f>
        <v/>
      </c>
      <c r="DP31" s="50">
        <f>IF(Assumptions!DP$74=0,0,IF(Assumptions!DP$72&lt;$C$19,0,IF(Assumptions!DP$72&lt;=$D$19,$E$19*$B$19/12*(1+$F$19)^INT((Assumptions!DP$72-$C$19)/12),IF(Assumptions!DP$72&lt;=$D$19+RetailDowntime,0,1)*$E$19*$B$19/12*INDEX(Cum_RetailRent,1,DP$77)*RenewalRentFactor)))</f>
        <v/>
      </c>
      <c r="DQ31" s="50">
        <f>IF(Assumptions!DQ$74=0,0,IF(Assumptions!DQ$72&lt;$C$19,0,IF(Assumptions!DQ$72&lt;=$D$19,$E$19*$B$19/12*(1+$F$19)^INT((Assumptions!DQ$72-$C$19)/12),IF(Assumptions!DQ$72&lt;=$D$19+RetailDowntime,0,1)*$E$19*$B$19/12*INDEX(Cum_RetailRent,1,DQ$77)*RenewalRentFactor)))</f>
        <v/>
      </c>
      <c r="DR31" s="50">
        <f>IF(Assumptions!DR$74=0,0,IF(Assumptions!DR$72&lt;$C$19,0,IF(Assumptions!DR$72&lt;=$D$19,$E$19*$B$19/12*(1+$F$19)^INT((Assumptions!DR$72-$C$19)/12),IF(Assumptions!DR$72&lt;=$D$19+RetailDowntime,0,1)*$E$19*$B$19/12*INDEX(Cum_RetailRent,1,DR$77)*RenewalRentFactor)))</f>
        <v/>
      </c>
      <c r="DS31" s="50">
        <f>IF(Assumptions!DS$74=0,0,IF(Assumptions!DS$72&lt;$C$19,0,IF(Assumptions!DS$72&lt;=$D$19,$E$19*$B$19/12*(1+$F$19)^INT((Assumptions!DS$72-$C$19)/12),IF(Assumptions!DS$72&lt;=$D$19+RetailDowntime,0,1)*$E$19*$B$19/12*INDEX(Cum_RetailRent,1,DS$77)*RenewalRentFactor)))</f>
        <v/>
      </c>
      <c r="DT31" s="50">
        <f>IF(Assumptions!DT$74=0,0,IF(Assumptions!DT$72&lt;$C$19,0,IF(Assumptions!DT$72&lt;=$D$19,$E$19*$B$19/12*(1+$F$19)^INT((Assumptions!DT$72-$C$19)/12),IF(Assumptions!DT$72&lt;=$D$19+RetailDowntime,0,1)*$E$19*$B$19/12*INDEX(Cum_RetailRent,1,DT$77)*RenewalRentFactor)))</f>
        <v/>
      </c>
    </row>
    <row r="32">
      <c r="A32" s="10" t="inlineStr">
        <is>
          <t xml:space="preserve">  Fitness</t>
        </is>
      </c>
      <c r="E32" s="50">
        <f>IF(Assumptions!E$74=0,0,IF(Assumptions!E$72&lt;$C$20,0,IF(Assumptions!E$72&lt;=$D$20,$E$20*$B$20/12*(1+$F$20)^INT((Assumptions!E$72-$C$20)/12),IF(Assumptions!E$72&lt;=$D$20+RetailDowntime,0,1)*$E$20*$B$20/12*INDEX(Cum_RetailRent,1,E$77)*RenewalRentFactor)))</f>
        <v/>
      </c>
      <c r="F32" s="50">
        <f>IF(Assumptions!F$74=0,0,IF(Assumptions!F$72&lt;$C$20,0,IF(Assumptions!F$72&lt;=$D$20,$E$20*$B$20/12*(1+$F$20)^INT((Assumptions!F$72-$C$20)/12),IF(Assumptions!F$72&lt;=$D$20+RetailDowntime,0,1)*$E$20*$B$20/12*INDEX(Cum_RetailRent,1,F$77)*RenewalRentFactor)))</f>
        <v/>
      </c>
      <c r="G32" s="50">
        <f>IF(Assumptions!G$74=0,0,IF(Assumptions!G$72&lt;$C$20,0,IF(Assumptions!G$72&lt;=$D$20,$E$20*$B$20/12*(1+$F$20)^INT((Assumptions!G$72-$C$20)/12),IF(Assumptions!G$72&lt;=$D$20+RetailDowntime,0,1)*$E$20*$B$20/12*INDEX(Cum_RetailRent,1,G$77)*RenewalRentFactor)))</f>
        <v/>
      </c>
      <c r="H32" s="50">
        <f>IF(Assumptions!H$74=0,0,IF(Assumptions!H$72&lt;$C$20,0,IF(Assumptions!H$72&lt;=$D$20,$E$20*$B$20/12*(1+$F$20)^INT((Assumptions!H$72-$C$20)/12),IF(Assumptions!H$72&lt;=$D$20+RetailDowntime,0,1)*$E$20*$B$20/12*INDEX(Cum_RetailRent,1,H$77)*RenewalRentFactor)))</f>
        <v/>
      </c>
      <c r="I32" s="50">
        <f>IF(Assumptions!I$74=0,0,IF(Assumptions!I$72&lt;$C$20,0,IF(Assumptions!I$72&lt;=$D$20,$E$20*$B$20/12*(1+$F$20)^INT((Assumptions!I$72-$C$20)/12),IF(Assumptions!I$72&lt;=$D$20+RetailDowntime,0,1)*$E$20*$B$20/12*INDEX(Cum_RetailRent,1,I$77)*RenewalRentFactor)))</f>
        <v/>
      </c>
      <c r="J32" s="50">
        <f>IF(Assumptions!J$74=0,0,IF(Assumptions!J$72&lt;$C$20,0,IF(Assumptions!J$72&lt;=$D$20,$E$20*$B$20/12*(1+$F$20)^INT((Assumptions!J$72-$C$20)/12),IF(Assumptions!J$72&lt;=$D$20+RetailDowntime,0,1)*$E$20*$B$20/12*INDEX(Cum_RetailRent,1,J$77)*RenewalRentFactor)))</f>
        <v/>
      </c>
      <c r="K32" s="50">
        <f>IF(Assumptions!K$74=0,0,IF(Assumptions!K$72&lt;$C$20,0,IF(Assumptions!K$72&lt;=$D$20,$E$20*$B$20/12*(1+$F$20)^INT((Assumptions!K$72-$C$20)/12),IF(Assumptions!K$72&lt;=$D$20+RetailDowntime,0,1)*$E$20*$B$20/12*INDEX(Cum_RetailRent,1,K$77)*RenewalRentFactor)))</f>
        <v/>
      </c>
      <c r="L32" s="50">
        <f>IF(Assumptions!L$74=0,0,IF(Assumptions!L$72&lt;$C$20,0,IF(Assumptions!L$72&lt;=$D$20,$E$20*$B$20/12*(1+$F$20)^INT((Assumptions!L$72-$C$20)/12),IF(Assumptions!L$72&lt;=$D$20+RetailDowntime,0,1)*$E$20*$B$20/12*INDEX(Cum_RetailRent,1,L$77)*RenewalRentFactor)))</f>
        <v/>
      </c>
      <c r="M32" s="50">
        <f>IF(Assumptions!M$74=0,0,IF(Assumptions!M$72&lt;$C$20,0,IF(Assumptions!M$72&lt;=$D$20,$E$20*$B$20/12*(1+$F$20)^INT((Assumptions!M$72-$C$20)/12),IF(Assumptions!M$72&lt;=$D$20+RetailDowntime,0,1)*$E$20*$B$20/12*INDEX(Cum_RetailRent,1,M$77)*RenewalRentFactor)))</f>
        <v/>
      </c>
      <c r="N32" s="50">
        <f>IF(Assumptions!N$74=0,0,IF(Assumptions!N$72&lt;$C$20,0,IF(Assumptions!N$72&lt;=$D$20,$E$20*$B$20/12*(1+$F$20)^INT((Assumptions!N$72-$C$20)/12),IF(Assumptions!N$72&lt;=$D$20+RetailDowntime,0,1)*$E$20*$B$20/12*INDEX(Cum_RetailRent,1,N$77)*RenewalRentFactor)))</f>
        <v/>
      </c>
      <c r="O32" s="50">
        <f>IF(Assumptions!O$74=0,0,IF(Assumptions!O$72&lt;$C$20,0,IF(Assumptions!O$72&lt;=$D$20,$E$20*$B$20/12*(1+$F$20)^INT((Assumptions!O$72-$C$20)/12),IF(Assumptions!O$72&lt;=$D$20+RetailDowntime,0,1)*$E$20*$B$20/12*INDEX(Cum_RetailRent,1,O$77)*RenewalRentFactor)))</f>
        <v/>
      </c>
      <c r="P32" s="50">
        <f>IF(Assumptions!P$74=0,0,IF(Assumptions!P$72&lt;$C$20,0,IF(Assumptions!P$72&lt;=$D$20,$E$20*$B$20/12*(1+$F$20)^INT((Assumptions!P$72-$C$20)/12),IF(Assumptions!P$72&lt;=$D$20+RetailDowntime,0,1)*$E$20*$B$20/12*INDEX(Cum_RetailRent,1,P$77)*RenewalRentFactor)))</f>
        <v/>
      </c>
      <c r="Q32" s="50">
        <f>IF(Assumptions!Q$74=0,0,IF(Assumptions!Q$72&lt;$C$20,0,IF(Assumptions!Q$72&lt;=$D$20,$E$20*$B$20/12*(1+$F$20)^INT((Assumptions!Q$72-$C$20)/12),IF(Assumptions!Q$72&lt;=$D$20+RetailDowntime,0,1)*$E$20*$B$20/12*INDEX(Cum_RetailRent,1,Q$77)*RenewalRentFactor)))</f>
        <v/>
      </c>
      <c r="R32" s="50">
        <f>IF(Assumptions!R$74=0,0,IF(Assumptions!R$72&lt;$C$20,0,IF(Assumptions!R$72&lt;=$D$20,$E$20*$B$20/12*(1+$F$20)^INT((Assumptions!R$72-$C$20)/12),IF(Assumptions!R$72&lt;=$D$20+RetailDowntime,0,1)*$E$20*$B$20/12*INDEX(Cum_RetailRent,1,R$77)*RenewalRentFactor)))</f>
        <v/>
      </c>
      <c r="S32" s="50">
        <f>IF(Assumptions!S$74=0,0,IF(Assumptions!S$72&lt;$C$20,0,IF(Assumptions!S$72&lt;=$D$20,$E$20*$B$20/12*(1+$F$20)^INT((Assumptions!S$72-$C$20)/12),IF(Assumptions!S$72&lt;=$D$20+RetailDowntime,0,1)*$E$20*$B$20/12*INDEX(Cum_RetailRent,1,S$77)*RenewalRentFactor)))</f>
        <v/>
      </c>
      <c r="T32" s="50">
        <f>IF(Assumptions!T$74=0,0,IF(Assumptions!T$72&lt;$C$20,0,IF(Assumptions!T$72&lt;=$D$20,$E$20*$B$20/12*(1+$F$20)^INT((Assumptions!T$72-$C$20)/12),IF(Assumptions!T$72&lt;=$D$20+RetailDowntime,0,1)*$E$20*$B$20/12*INDEX(Cum_RetailRent,1,T$77)*RenewalRentFactor)))</f>
        <v/>
      </c>
      <c r="U32" s="50">
        <f>IF(Assumptions!U$74=0,0,IF(Assumptions!U$72&lt;$C$20,0,IF(Assumptions!U$72&lt;=$D$20,$E$20*$B$20/12*(1+$F$20)^INT((Assumptions!U$72-$C$20)/12),IF(Assumptions!U$72&lt;=$D$20+RetailDowntime,0,1)*$E$20*$B$20/12*INDEX(Cum_RetailRent,1,U$77)*RenewalRentFactor)))</f>
        <v/>
      </c>
      <c r="V32" s="50">
        <f>IF(Assumptions!V$74=0,0,IF(Assumptions!V$72&lt;$C$20,0,IF(Assumptions!V$72&lt;=$D$20,$E$20*$B$20/12*(1+$F$20)^INT((Assumptions!V$72-$C$20)/12),IF(Assumptions!V$72&lt;=$D$20+RetailDowntime,0,1)*$E$20*$B$20/12*INDEX(Cum_RetailRent,1,V$77)*RenewalRentFactor)))</f>
        <v/>
      </c>
      <c r="W32" s="50">
        <f>IF(Assumptions!W$74=0,0,IF(Assumptions!W$72&lt;$C$20,0,IF(Assumptions!W$72&lt;=$D$20,$E$20*$B$20/12*(1+$F$20)^INT((Assumptions!W$72-$C$20)/12),IF(Assumptions!W$72&lt;=$D$20+RetailDowntime,0,1)*$E$20*$B$20/12*INDEX(Cum_RetailRent,1,W$77)*RenewalRentFactor)))</f>
        <v/>
      </c>
      <c r="X32" s="50">
        <f>IF(Assumptions!X$74=0,0,IF(Assumptions!X$72&lt;$C$20,0,IF(Assumptions!X$72&lt;=$D$20,$E$20*$B$20/12*(1+$F$20)^INT((Assumptions!X$72-$C$20)/12),IF(Assumptions!X$72&lt;=$D$20+RetailDowntime,0,1)*$E$20*$B$20/12*INDEX(Cum_RetailRent,1,X$77)*RenewalRentFactor)))</f>
        <v/>
      </c>
      <c r="Y32" s="50">
        <f>IF(Assumptions!Y$74=0,0,IF(Assumptions!Y$72&lt;$C$20,0,IF(Assumptions!Y$72&lt;=$D$20,$E$20*$B$20/12*(1+$F$20)^INT((Assumptions!Y$72-$C$20)/12),IF(Assumptions!Y$72&lt;=$D$20+RetailDowntime,0,1)*$E$20*$B$20/12*INDEX(Cum_RetailRent,1,Y$77)*RenewalRentFactor)))</f>
        <v/>
      </c>
      <c r="Z32" s="50">
        <f>IF(Assumptions!Z$74=0,0,IF(Assumptions!Z$72&lt;$C$20,0,IF(Assumptions!Z$72&lt;=$D$20,$E$20*$B$20/12*(1+$F$20)^INT((Assumptions!Z$72-$C$20)/12),IF(Assumptions!Z$72&lt;=$D$20+RetailDowntime,0,1)*$E$20*$B$20/12*INDEX(Cum_RetailRent,1,Z$77)*RenewalRentFactor)))</f>
        <v/>
      </c>
      <c r="AA32" s="50">
        <f>IF(Assumptions!AA$74=0,0,IF(Assumptions!AA$72&lt;$C$20,0,IF(Assumptions!AA$72&lt;=$D$20,$E$20*$B$20/12*(1+$F$20)^INT((Assumptions!AA$72-$C$20)/12),IF(Assumptions!AA$72&lt;=$D$20+RetailDowntime,0,1)*$E$20*$B$20/12*INDEX(Cum_RetailRent,1,AA$77)*RenewalRentFactor)))</f>
        <v/>
      </c>
      <c r="AB32" s="50">
        <f>IF(Assumptions!AB$74=0,0,IF(Assumptions!AB$72&lt;$C$20,0,IF(Assumptions!AB$72&lt;=$D$20,$E$20*$B$20/12*(1+$F$20)^INT((Assumptions!AB$72-$C$20)/12),IF(Assumptions!AB$72&lt;=$D$20+RetailDowntime,0,1)*$E$20*$B$20/12*INDEX(Cum_RetailRent,1,AB$77)*RenewalRentFactor)))</f>
        <v/>
      </c>
      <c r="AC32" s="50">
        <f>IF(Assumptions!AC$74=0,0,IF(Assumptions!AC$72&lt;$C$20,0,IF(Assumptions!AC$72&lt;=$D$20,$E$20*$B$20/12*(1+$F$20)^INT((Assumptions!AC$72-$C$20)/12),IF(Assumptions!AC$72&lt;=$D$20+RetailDowntime,0,1)*$E$20*$B$20/12*INDEX(Cum_RetailRent,1,AC$77)*RenewalRentFactor)))</f>
        <v/>
      </c>
      <c r="AD32" s="50">
        <f>IF(Assumptions!AD$74=0,0,IF(Assumptions!AD$72&lt;$C$20,0,IF(Assumptions!AD$72&lt;=$D$20,$E$20*$B$20/12*(1+$F$20)^INT((Assumptions!AD$72-$C$20)/12),IF(Assumptions!AD$72&lt;=$D$20+RetailDowntime,0,1)*$E$20*$B$20/12*INDEX(Cum_RetailRent,1,AD$77)*RenewalRentFactor)))</f>
        <v/>
      </c>
      <c r="AE32" s="50">
        <f>IF(Assumptions!AE$74=0,0,IF(Assumptions!AE$72&lt;$C$20,0,IF(Assumptions!AE$72&lt;=$D$20,$E$20*$B$20/12*(1+$F$20)^INT((Assumptions!AE$72-$C$20)/12),IF(Assumptions!AE$72&lt;=$D$20+RetailDowntime,0,1)*$E$20*$B$20/12*INDEX(Cum_RetailRent,1,AE$77)*RenewalRentFactor)))</f>
        <v/>
      </c>
      <c r="AF32" s="50">
        <f>IF(Assumptions!AF$74=0,0,IF(Assumptions!AF$72&lt;$C$20,0,IF(Assumptions!AF$72&lt;=$D$20,$E$20*$B$20/12*(1+$F$20)^INT((Assumptions!AF$72-$C$20)/12),IF(Assumptions!AF$72&lt;=$D$20+RetailDowntime,0,1)*$E$20*$B$20/12*INDEX(Cum_RetailRent,1,AF$77)*RenewalRentFactor)))</f>
        <v/>
      </c>
      <c r="AG32" s="50">
        <f>IF(Assumptions!AG$74=0,0,IF(Assumptions!AG$72&lt;$C$20,0,IF(Assumptions!AG$72&lt;=$D$20,$E$20*$B$20/12*(1+$F$20)^INT((Assumptions!AG$72-$C$20)/12),IF(Assumptions!AG$72&lt;=$D$20+RetailDowntime,0,1)*$E$20*$B$20/12*INDEX(Cum_RetailRent,1,AG$77)*RenewalRentFactor)))</f>
        <v/>
      </c>
      <c r="AH32" s="50">
        <f>IF(Assumptions!AH$74=0,0,IF(Assumptions!AH$72&lt;$C$20,0,IF(Assumptions!AH$72&lt;=$D$20,$E$20*$B$20/12*(1+$F$20)^INT((Assumptions!AH$72-$C$20)/12),IF(Assumptions!AH$72&lt;=$D$20+RetailDowntime,0,1)*$E$20*$B$20/12*INDEX(Cum_RetailRent,1,AH$77)*RenewalRentFactor)))</f>
        <v/>
      </c>
      <c r="AI32" s="50">
        <f>IF(Assumptions!AI$74=0,0,IF(Assumptions!AI$72&lt;$C$20,0,IF(Assumptions!AI$72&lt;=$D$20,$E$20*$B$20/12*(1+$F$20)^INT((Assumptions!AI$72-$C$20)/12),IF(Assumptions!AI$72&lt;=$D$20+RetailDowntime,0,1)*$E$20*$B$20/12*INDEX(Cum_RetailRent,1,AI$77)*RenewalRentFactor)))</f>
        <v/>
      </c>
      <c r="AJ32" s="50">
        <f>IF(Assumptions!AJ$74=0,0,IF(Assumptions!AJ$72&lt;$C$20,0,IF(Assumptions!AJ$72&lt;=$D$20,$E$20*$B$20/12*(1+$F$20)^INT((Assumptions!AJ$72-$C$20)/12),IF(Assumptions!AJ$72&lt;=$D$20+RetailDowntime,0,1)*$E$20*$B$20/12*INDEX(Cum_RetailRent,1,AJ$77)*RenewalRentFactor)))</f>
        <v/>
      </c>
      <c r="AK32" s="50">
        <f>IF(Assumptions!AK$74=0,0,IF(Assumptions!AK$72&lt;$C$20,0,IF(Assumptions!AK$72&lt;=$D$20,$E$20*$B$20/12*(1+$F$20)^INT((Assumptions!AK$72-$C$20)/12),IF(Assumptions!AK$72&lt;=$D$20+RetailDowntime,0,1)*$E$20*$B$20/12*INDEX(Cum_RetailRent,1,AK$77)*RenewalRentFactor)))</f>
        <v/>
      </c>
      <c r="AL32" s="50">
        <f>IF(Assumptions!AL$74=0,0,IF(Assumptions!AL$72&lt;$C$20,0,IF(Assumptions!AL$72&lt;=$D$20,$E$20*$B$20/12*(1+$F$20)^INT((Assumptions!AL$72-$C$20)/12),IF(Assumptions!AL$72&lt;=$D$20+RetailDowntime,0,1)*$E$20*$B$20/12*INDEX(Cum_RetailRent,1,AL$77)*RenewalRentFactor)))</f>
        <v/>
      </c>
      <c r="AM32" s="50">
        <f>IF(Assumptions!AM$74=0,0,IF(Assumptions!AM$72&lt;$C$20,0,IF(Assumptions!AM$72&lt;=$D$20,$E$20*$B$20/12*(1+$F$20)^INT((Assumptions!AM$72-$C$20)/12),IF(Assumptions!AM$72&lt;=$D$20+RetailDowntime,0,1)*$E$20*$B$20/12*INDEX(Cum_RetailRent,1,AM$77)*RenewalRentFactor)))</f>
        <v/>
      </c>
      <c r="AN32" s="50">
        <f>IF(Assumptions!AN$74=0,0,IF(Assumptions!AN$72&lt;$C$20,0,IF(Assumptions!AN$72&lt;=$D$20,$E$20*$B$20/12*(1+$F$20)^INT((Assumptions!AN$72-$C$20)/12),IF(Assumptions!AN$72&lt;=$D$20+RetailDowntime,0,1)*$E$20*$B$20/12*INDEX(Cum_RetailRent,1,AN$77)*RenewalRentFactor)))</f>
        <v/>
      </c>
      <c r="AO32" s="50">
        <f>IF(Assumptions!AO$74=0,0,IF(Assumptions!AO$72&lt;$C$20,0,IF(Assumptions!AO$72&lt;=$D$20,$E$20*$B$20/12*(1+$F$20)^INT((Assumptions!AO$72-$C$20)/12),IF(Assumptions!AO$72&lt;=$D$20+RetailDowntime,0,1)*$E$20*$B$20/12*INDEX(Cum_RetailRent,1,AO$77)*RenewalRentFactor)))</f>
        <v/>
      </c>
      <c r="AP32" s="50">
        <f>IF(Assumptions!AP$74=0,0,IF(Assumptions!AP$72&lt;$C$20,0,IF(Assumptions!AP$72&lt;=$D$20,$E$20*$B$20/12*(1+$F$20)^INT((Assumptions!AP$72-$C$20)/12),IF(Assumptions!AP$72&lt;=$D$20+RetailDowntime,0,1)*$E$20*$B$20/12*INDEX(Cum_RetailRent,1,AP$77)*RenewalRentFactor)))</f>
        <v/>
      </c>
      <c r="AQ32" s="50">
        <f>IF(Assumptions!AQ$74=0,0,IF(Assumptions!AQ$72&lt;$C$20,0,IF(Assumptions!AQ$72&lt;=$D$20,$E$20*$B$20/12*(1+$F$20)^INT((Assumptions!AQ$72-$C$20)/12),IF(Assumptions!AQ$72&lt;=$D$20+RetailDowntime,0,1)*$E$20*$B$20/12*INDEX(Cum_RetailRent,1,AQ$77)*RenewalRentFactor)))</f>
        <v/>
      </c>
      <c r="AR32" s="50">
        <f>IF(Assumptions!AR$74=0,0,IF(Assumptions!AR$72&lt;$C$20,0,IF(Assumptions!AR$72&lt;=$D$20,$E$20*$B$20/12*(1+$F$20)^INT((Assumptions!AR$72-$C$20)/12),IF(Assumptions!AR$72&lt;=$D$20+RetailDowntime,0,1)*$E$20*$B$20/12*INDEX(Cum_RetailRent,1,AR$77)*RenewalRentFactor)))</f>
        <v/>
      </c>
      <c r="AS32" s="50">
        <f>IF(Assumptions!AS$74=0,0,IF(Assumptions!AS$72&lt;$C$20,0,IF(Assumptions!AS$72&lt;=$D$20,$E$20*$B$20/12*(1+$F$20)^INT((Assumptions!AS$72-$C$20)/12),IF(Assumptions!AS$72&lt;=$D$20+RetailDowntime,0,1)*$E$20*$B$20/12*INDEX(Cum_RetailRent,1,AS$77)*RenewalRentFactor)))</f>
        <v/>
      </c>
      <c r="AT32" s="50">
        <f>IF(Assumptions!AT$74=0,0,IF(Assumptions!AT$72&lt;$C$20,0,IF(Assumptions!AT$72&lt;=$D$20,$E$20*$B$20/12*(1+$F$20)^INT((Assumptions!AT$72-$C$20)/12),IF(Assumptions!AT$72&lt;=$D$20+RetailDowntime,0,1)*$E$20*$B$20/12*INDEX(Cum_RetailRent,1,AT$77)*RenewalRentFactor)))</f>
        <v/>
      </c>
      <c r="AU32" s="50">
        <f>IF(Assumptions!AU$74=0,0,IF(Assumptions!AU$72&lt;$C$20,0,IF(Assumptions!AU$72&lt;=$D$20,$E$20*$B$20/12*(1+$F$20)^INT((Assumptions!AU$72-$C$20)/12),IF(Assumptions!AU$72&lt;=$D$20+RetailDowntime,0,1)*$E$20*$B$20/12*INDEX(Cum_RetailRent,1,AU$77)*RenewalRentFactor)))</f>
        <v/>
      </c>
      <c r="AV32" s="50">
        <f>IF(Assumptions!AV$74=0,0,IF(Assumptions!AV$72&lt;$C$20,0,IF(Assumptions!AV$72&lt;=$D$20,$E$20*$B$20/12*(1+$F$20)^INT((Assumptions!AV$72-$C$20)/12),IF(Assumptions!AV$72&lt;=$D$20+RetailDowntime,0,1)*$E$20*$B$20/12*INDEX(Cum_RetailRent,1,AV$77)*RenewalRentFactor)))</f>
        <v/>
      </c>
      <c r="AW32" s="50">
        <f>IF(Assumptions!AW$74=0,0,IF(Assumptions!AW$72&lt;$C$20,0,IF(Assumptions!AW$72&lt;=$D$20,$E$20*$B$20/12*(1+$F$20)^INT((Assumptions!AW$72-$C$20)/12),IF(Assumptions!AW$72&lt;=$D$20+RetailDowntime,0,1)*$E$20*$B$20/12*INDEX(Cum_RetailRent,1,AW$77)*RenewalRentFactor)))</f>
        <v/>
      </c>
      <c r="AX32" s="50">
        <f>IF(Assumptions!AX$74=0,0,IF(Assumptions!AX$72&lt;$C$20,0,IF(Assumptions!AX$72&lt;=$D$20,$E$20*$B$20/12*(1+$F$20)^INT((Assumptions!AX$72-$C$20)/12),IF(Assumptions!AX$72&lt;=$D$20+RetailDowntime,0,1)*$E$20*$B$20/12*INDEX(Cum_RetailRent,1,AX$77)*RenewalRentFactor)))</f>
        <v/>
      </c>
      <c r="AY32" s="50">
        <f>IF(Assumptions!AY$74=0,0,IF(Assumptions!AY$72&lt;$C$20,0,IF(Assumptions!AY$72&lt;=$D$20,$E$20*$B$20/12*(1+$F$20)^INT((Assumptions!AY$72-$C$20)/12),IF(Assumptions!AY$72&lt;=$D$20+RetailDowntime,0,1)*$E$20*$B$20/12*INDEX(Cum_RetailRent,1,AY$77)*RenewalRentFactor)))</f>
        <v/>
      </c>
      <c r="AZ32" s="50">
        <f>IF(Assumptions!AZ$74=0,0,IF(Assumptions!AZ$72&lt;$C$20,0,IF(Assumptions!AZ$72&lt;=$D$20,$E$20*$B$20/12*(1+$F$20)^INT((Assumptions!AZ$72-$C$20)/12),IF(Assumptions!AZ$72&lt;=$D$20+RetailDowntime,0,1)*$E$20*$B$20/12*INDEX(Cum_RetailRent,1,AZ$77)*RenewalRentFactor)))</f>
        <v/>
      </c>
      <c r="BA32" s="50">
        <f>IF(Assumptions!BA$74=0,0,IF(Assumptions!BA$72&lt;$C$20,0,IF(Assumptions!BA$72&lt;=$D$20,$E$20*$B$20/12*(1+$F$20)^INT((Assumptions!BA$72-$C$20)/12),IF(Assumptions!BA$72&lt;=$D$20+RetailDowntime,0,1)*$E$20*$B$20/12*INDEX(Cum_RetailRent,1,BA$77)*RenewalRentFactor)))</f>
        <v/>
      </c>
      <c r="BB32" s="50">
        <f>IF(Assumptions!BB$74=0,0,IF(Assumptions!BB$72&lt;$C$20,0,IF(Assumptions!BB$72&lt;=$D$20,$E$20*$B$20/12*(1+$F$20)^INT((Assumptions!BB$72-$C$20)/12),IF(Assumptions!BB$72&lt;=$D$20+RetailDowntime,0,1)*$E$20*$B$20/12*INDEX(Cum_RetailRent,1,BB$77)*RenewalRentFactor)))</f>
        <v/>
      </c>
      <c r="BC32" s="50">
        <f>IF(Assumptions!BC$74=0,0,IF(Assumptions!BC$72&lt;$C$20,0,IF(Assumptions!BC$72&lt;=$D$20,$E$20*$B$20/12*(1+$F$20)^INT((Assumptions!BC$72-$C$20)/12),IF(Assumptions!BC$72&lt;=$D$20+RetailDowntime,0,1)*$E$20*$B$20/12*INDEX(Cum_RetailRent,1,BC$77)*RenewalRentFactor)))</f>
        <v/>
      </c>
      <c r="BD32" s="50">
        <f>IF(Assumptions!BD$74=0,0,IF(Assumptions!BD$72&lt;$C$20,0,IF(Assumptions!BD$72&lt;=$D$20,$E$20*$B$20/12*(1+$F$20)^INT((Assumptions!BD$72-$C$20)/12),IF(Assumptions!BD$72&lt;=$D$20+RetailDowntime,0,1)*$E$20*$B$20/12*INDEX(Cum_RetailRent,1,BD$77)*RenewalRentFactor)))</f>
        <v/>
      </c>
      <c r="BE32" s="50">
        <f>IF(Assumptions!BE$74=0,0,IF(Assumptions!BE$72&lt;$C$20,0,IF(Assumptions!BE$72&lt;=$D$20,$E$20*$B$20/12*(1+$F$20)^INT((Assumptions!BE$72-$C$20)/12),IF(Assumptions!BE$72&lt;=$D$20+RetailDowntime,0,1)*$E$20*$B$20/12*INDEX(Cum_RetailRent,1,BE$77)*RenewalRentFactor)))</f>
        <v/>
      </c>
      <c r="BF32" s="50">
        <f>IF(Assumptions!BF$74=0,0,IF(Assumptions!BF$72&lt;$C$20,0,IF(Assumptions!BF$72&lt;=$D$20,$E$20*$B$20/12*(1+$F$20)^INT((Assumptions!BF$72-$C$20)/12),IF(Assumptions!BF$72&lt;=$D$20+RetailDowntime,0,1)*$E$20*$B$20/12*INDEX(Cum_RetailRent,1,BF$77)*RenewalRentFactor)))</f>
        <v/>
      </c>
      <c r="BG32" s="50">
        <f>IF(Assumptions!BG$74=0,0,IF(Assumptions!BG$72&lt;$C$20,0,IF(Assumptions!BG$72&lt;=$D$20,$E$20*$B$20/12*(1+$F$20)^INT((Assumptions!BG$72-$C$20)/12),IF(Assumptions!BG$72&lt;=$D$20+RetailDowntime,0,1)*$E$20*$B$20/12*INDEX(Cum_RetailRent,1,BG$77)*RenewalRentFactor)))</f>
        <v/>
      </c>
      <c r="BH32" s="50">
        <f>IF(Assumptions!BH$74=0,0,IF(Assumptions!BH$72&lt;$C$20,0,IF(Assumptions!BH$72&lt;=$D$20,$E$20*$B$20/12*(1+$F$20)^INT((Assumptions!BH$72-$C$20)/12),IF(Assumptions!BH$72&lt;=$D$20+RetailDowntime,0,1)*$E$20*$B$20/12*INDEX(Cum_RetailRent,1,BH$77)*RenewalRentFactor)))</f>
        <v/>
      </c>
      <c r="BI32" s="50">
        <f>IF(Assumptions!BI$74=0,0,IF(Assumptions!BI$72&lt;$C$20,0,IF(Assumptions!BI$72&lt;=$D$20,$E$20*$B$20/12*(1+$F$20)^INT((Assumptions!BI$72-$C$20)/12),IF(Assumptions!BI$72&lt;=$D$20+RetailDowntime,0,1)*$E$20*$B$20/12*INDEX(Cum_RetailRent,1,BI$77)*RenewalRentFactor)))</f>
        <v/>
      </c>
      <c r="BJ32" s="50">
        <f>IF(Assumptions!BJ$74=0,0,IF(Assumptions!BJ$72&lt;$C$20,0,IF(Assumptions!BJ$72&lt;=$D$20,$E$20*$B$20/12*(1+$F$20)^INT((Assumptions!BJ$72-$C$20)/12),IF(Assumptions!BJ$72&lt;=$D$20+RetailDowntime,0,1)*$E$20*$B$20/12*INDEX(Cum_RetailRent,1,BJ$77)*RenewalRentFactor)))</f>
        <v/>
      </c>
      <c r="BK32" s="50">
        <f>IF(Assumptions!BK$74=0,0,IF(Assumptions!BK$72&lt;$C$20,0,IF(Assumptions!BK$72&lt;=$D$20,$E$20*$B$20/12*(1+$F$20)^INT((Assumptions!BK$72-$C$20)/12),IF(Assumptions!BK$72&lt;=$D$20+RetailDowntime,0,1)*$E$20*$B$20/12*INDEX(Cum_RetailRent,1,BK$77)*RenewalRentFactor)))</f>
        <v/>
      </c>
      <c r="BL32" s="50">
        <f>IF(Assumptions!BL$74=0,0,IF(Assumptions!BL$72&lt;$C$20,0,IF(Assumptions!BL$72&lt;=$D$20,$E$20*$B$20/12*(1+$F$20)^INT((Assumptions!BL$72-$C$20)/12),IF(Assumptions!BL$72&lt;=$D$20+RetailDowntime,0,1)*$E$20*$B$20/12*INDEX(Cum_RetailRent,1,BL$77)*RenewalRentFactor)))</f>
        <v/>
      </c>
      <c r="BM32" s="50">
        <f>IF(Assumptions!BM$74=0,0,IF(Assumptions!BM$72&lt;$C$20,0,IF(Assumptions!BM$72&lt;=$D$20,$E$20*$B$20/12*(1+$F$20)^INT((Assumptions!BM$72-$C$20)/12),IF(Assumptions!BM$72&lt;=$D$20+RetailDowntime,0,1)*$E$20*$B$20/12*INDEX(Cum_RetailRent,1,BM$77)*RenewalRentFactor)))</f>
        <v/>
      </c>
      <c r="BN32" s="50">
        <f>IF(Assumptions!BN$74=0,0,IF(Assumptions!BN$72&lt;$C$20,0,IF(Assumptions!BN$72&lt;=$D$20,$E$20*$B$20/12*(1+$F$20)^INT((Assumptions!BN$72-$C$20)/12),IF(Assumptions!BN$72&lt;=$D$20+RetailDowntime,0,1)*$E$20*$B$20/12*INDEX(Cum_RetailRent,1,BN$77)*RenewalRentFactor)))</f>
        <v/>
      </c>
      <c r="BO32" s="50">
        <f>IF(Assumptions!BO$74=0,0,IF(Assumptions!BO$72&lt;$C$20,0,IF(Assumptions!BO$72&lt;=$D$20,$E$20*$B$20/12*(1+$F$20)^INT((Assumptions!BO$72-$C$20)/12),IF(Assumptions!BO$72&lt;=$D$20+RetailDowntime,0,1)*$E$20*$B$20/12*INDEX(Cum_RetailRent,1,BO$77)*RenewalRentFactor)))</f>
        <v/>
      </c>
      <c r="BP32" s="50">
        <f>IF(Assumptions!BP$74=0,0,IF(Assumptions!BP$72&lt;$C$20,0,IF(Assumptions!BP$72&lt;=$D$20,$E$20*$B$20/12*(1+$F$20)^INT((Assumptions!BP$72-$C$20)/12),IF(Assumptions!BP$72&lt;=$D$20+RetailDowntime,0,1)*$E$20*$B$20/12*INDEX(Cum_RetailRent,1,BP$77)*RenewalRentFactor)))</f>
        <v/>
      </c>
      <c r="BQ32" s="50">
        <f>IF(Assumptions!BQ$74=0,0,IF(Assumptions!BQ$72&lt;$C$20,0,IF(Assumptions!BQ$72&lt;=$D$20,$E$20*$B$20/12*(1+$F$20)^INT((Assumptions!BQ$72-$C$20)/12),IF(Assumptions!BQ$72&lt;=$D$20+RetailDowntime,0,1)*$E$20*$B$20/12*INDEX(Cum_RetailRent,1,BQ$77)*RenewalRentFactor)))</f>
        <v/>
      </c>
      <c r="BR32" s="50">
        <f>IF(Assumptions!BR$74=0,0,IF(Assumptions!BR$72&lt;$C$20,0,IF(Assumptions!BR$72&lt;=$D$20,$E$20*$B$20/12*(1+$F$20)^INT((Assumptions!BR$72-$C$20)/12),IF(Assumptions!BR$72&lt;=$D$20+RetailDowntime,0,1)*$E$20*$B$20/12*INDEX(Cum_RetailRent,1,BR$77)*RenewalRentFactor)))</f>
        <v/>
      </c>
      <c r="BS32" s="50">
        <f>IF(Assumptions!BS$74=0,0,IF(Assumptions!BS$72&lt;$C$20,0,IF(Assumptions!BS$72&lt;=$D$20,$E$20*$B$20/12*(1+$F$20)^INT((Assumptions!BS$72-$C$20)/12),IF(Assumptions!BS$72&lt;=$D$20+RetailDowntime,0,1)*$E$20*$B$20/12*INDEX(Cum_RetailRent,1,BS$77)*RenewalRentFactor)))</f>
        <v/>
      </c>
      <c r="BT32" s="50">
        <f>IF(Assumptions!BT$74=0,0,IF(Assumptions!BT$72&lt;$C$20,0,IF(Assumptions!BT$72&lt;=$D$20,$E$20*$B$20/12*(1+$F$20)^INT((Assumptions!BT$72-$C$20)/12),IF(Assumptions!BT$72&lt;=$D$20+RetailDowntime,0,1)*$E$20*$B$20/12*INDEX(Cum_RetailRent,1,BT$77)*RenewalRentFactor)))</f>
        <v/>
      </c>
      <c r="BU32" s="50">
        <f>IF(Assumptions!BU$74=0,0,IF(Assumptions!BU$72&lt;$C$20,0,IF(Assumptions!BU$72&lt;=$D$20,$E$20*$B$20/12*(1+$F$20)^INT((Assumptions!BU$72-$C$20)/12),IF(Assumptions!BU$72&lt;=$D$20+RetailDowntime,0,1)*$E$20*$B$20/12*INDEX(Cum_RetailRent,1,BU$77)*RenewalRentFactor)))</f>
        <v/>
      </c>
      <c r="BV32" s="50">
        <f>IF(Assumptions!BV$74=0,0,IF(Assumptions!BV$72&lt;$C$20,0,IF(Assumptions!BV$72&lt;=$D$20,$E$20*$B$20/12*(1+$F$20)^INT((Assumptions!BV$72-$C$20)/12),IF(Assumptions!BV$72&lt;=$D$20+RetailDowntime,0,1)*$E$20*$B$20/12*INDEX(Cum_RetailRent,1,BV$77)*RenewalRentFactor)))</f>
        <v/>
      </c>
      <c r="BW32" s="50">
        <f>IF(Assumptions!BW$74=0,0,IF(Assumptions!BW$72&lt;$C$20,0,IF(Assumptions!BW$72&lt;=$D$20,$E$20*$B$20/12*(1+$F$20)^INT((Assumptions!BW$72-$C$20)/12),IF(Assumptions!BW$72&lt;=$D$20+RetailDowntime,0,1)*$E$20*$B$20/12*INDEX(Cum_RetailRent,1,BW$77)*RenewalRentFactor)))</f>
        <v/>
      </c>
      <c r="BX32" s="50">
        <f>IF(Assumptions!BX$74=0,0,IF(Assumptions!BX$72&lt;$C$20,0,IF(Assumptions!BX$72&lt;=$D$20,$E$20*$B$20/12*(1+$F$20)^INT((Assumptions!BX$72-$C$20)/12),IF(Assumptions!BX$72&lt;=$D$20+RetailDowntime,0,1)*$E$20*$B$20/12*INDEX(Cum_RetailRent,1,BX$77)*RenewalRentFactor)))</f>
        <v/>
      </c>
      <c r="BY32" s="50">
        <f>IF(Assumptions!BY$74=0,0,IF(Assumptions!BY$72&lt;$C$20,0,IF(Assumptions!BY$72&lt;=$D$20,$E$20*$B$20/12*(1+$F$20)^INT((Assumptions!BY$72-$C$20)/12),IF(Assumptions!BY$72&lt;=$D$20+RetailDowntime,0,1)*$E$20*$B$20/12*INDEX(Cum_RetailRent,1,BY$77)*RenewalRentFactor)))</f>
        <v/>
      </c>
      <c r="BZ32" s="50">
        <f>IF(Assumptions!BZ$74=0,0,IF(Assumptions!BZ$72&lt;$C$20,0,IF(Assumptions!BZ$72&lt;=$D$20,$E$20*$B$20/12*(1+$F$20)^INT((Assumptions!BZ$72-$C$20)/12),IF(Assumptions!BZ$72&lt;=$D$20+RetailDowntime,0,1)*$E$20*$B$20/12*INDEX(Cum_RetailRent,1,BZ$77)*RenewalRentFactor)))</f>
        <v/>
      </c>
      <c r="CA32" s="50">
        <f>IF(Assumptions!CA$74=0,0,IF(Assumptions!CA$72&lt;$C$20,0,IF(Assumptions!CA$72&lt;=$D$20,$E$20*$B$20/12*(1+$F$20)^INT((Assumptions!CA$72-$C$20)/12),IF(Assumptions!CA$72&lt;=$D$20+RetailDowntime,0,1)*$E$20*$B$20/12*INDEX(Cum_RetailRent,1,CA$77)*RenewalRentFactor)))</f>
        <v/>
      </c>
      <c r="CB32" s="50">
        <f>IF(Assumptions!CB$74=0,0,IF(Assumptions!CB$72&lt;$C$20,0,IF(Assumptions!CB$72&lt;=$D$20,$E$20*$B$20/12*(1+$F$20)^INT((Assumptions!CB$72-$C$20)/12),IF(Assumptions!CB$72&lt;=$D$20+RetailDowntime,0,1)*$E$20*$B$20/12*INDEX(Cum_RetailRent,1,CB$77)*RenewalRentFactor)))</f>
        <v/>
      </c>
      <c r="CC32" s="50">
        <f>IF(Assumptions!CC$74=0,0,IF(Assumptions!CC$72&lt;$C$20,0,IF(Assumptions!CC$72&lt;=$D$20,$E$20*$B$20/12*(1+$F$20)^INT((Assumptions!CC$72-$C$20)/12),IF(Assumptions!CC$72&lt;=$D$20+RetailDowntime,0,1)*$E$20*$B$20/12*INDEX(Cum_RetailRent,1,CC$77)*RenewalRentFactor)))</f>
        <v/>
      </c>
      <c r="CD32" s="50">
        <f>IF(Assumptions!CD$74=0,0,IF(Assumptions!CD$72&lt;$C$20,0,IF(Assumptions!CD$72&lt;=$D$20,$E$20*$B$20/12*(1+$F$20)^INT((Assumptions!CD$72-$C$20)/12),IF(Assumptions!CD$72&lt;=$D$20+RetailDowntime,0,1)*$E$20*$B$20/12*INDEX(Cum_RetailRent,1,CD$77)*RenewalRentFactor)))</f>
        <v/>
      </c>
      <c r="CE32" s="50">
        <f>IF(Assumptions!CE$74=0,0,IF(Assumptions!CE$72&lt;$C$20,0,IF(Assumptions!CE$72&lt;=$D$20,$E$20*$B$20/12*(1+$F$20)^INT((Assumptions!CE$72-$C$20)/12),IF(Assumptions!CE$72&lt;=$D$20+RetailDowntime,0,1)*$E$20*$B$20/12*INDEX(Cum_RetailRent,1,CE$77)*RenewalRentFactor)))</f>
        <v/>
      </c>
      <c r="CF32" s="50">
        <f>IF(Assumptions!CF$74=0,0,IF(Assumptions!CF$72&lt;$C$20,0,IF(Assumptions!CF$72&lt;=$D$20,$E$20*$B$20/12*(1+$F$20)^INT((Assumptions!CF$72-$C$20)/12),IF(Assumptions!CF$72&lt;=$D$20+RetailDowntime,0,1)*$E$20*$B$20/12*INDEX(Cum_RetailRent,1,CF$77)*RenewalRentFactor)))</f>
        <v/>
      </c>
      <c r="CG32" s="50">
        <f>IF(Assumptions!CG$74=0,0,IF(Assumptions!CG$72&lt;$C$20,0,IF(Assumptions!CG$72&lt;=$D$20,$E$20*$B$20/12*(1+$F$20)^INT((Assumptions!CG$72-$C$20)/12),IF(Assumptions!CG$72&lt;=$D$20+RetailDowntime,0,1)*$E$20*$B$20/12*INDEX(Cum_RetailRent,1,CG$77)*RenewalRentFactor)))</f>
        <v/>
      </c>
      <c r="CH32" s="50">
        <f>IF(Assumptions!CH$74=0,0,IF(Assumptions!CH$72&lt;$C$20,0,IF(Assumptions!CH$72&lt;=$D$20,$E$20*$B$20/12*(1+$F$20)^INT((Assumptions!CH$72-$C$20)/12),IF(Assumptions!CH$72&lt;=$D$20+RetailDowntime,0,1)*$E$20*$B$20/12*INDEX(Cum_RetailRent,1,CH$77)*RenewalRentFactor)))</f>
        <v/>
      </c>
      <c r="CI32" s="50">
        <f>IF(Assumptions!CI$74=0,0,IF(Assumptions!CI$72&lt;$C$20,0,IF(Assumptions!CI$72&lt;=$D$20,$E$20*$B$20/12*(1+$F$20)^INT((Assumptions!CI$72-$C$20)/12),IF(Assumptions!CI$72&lt;=$D$20+RetailDowntime,0,1)*$E$20*$B$20/12*INDEX(Cum_RetailRent,1,CI$77)*RenewalRentFactor)))</f>
        <v/>
      </c>
      <c r="CJ32" s="50">
        <f>IF(Assumptions!CJ$74=0,0,IF(Assumptions!CJ$72&lt;$C$20,0,IF(Assumptions!CJ$72&lt;=$D$20,$E$20*$B$20/12*(1+$F$20)^INT((Assumptions!CJ$72-$C$20)/12),IF(Assumptions!CJ$72&lt;=$D$20+RetailDowntime,0,1)*$E$20*$B$20/12*INDEX(Cum_RetailRent,1,CJ$77)*RenewalRentFactor)))</f>
        <v/>
      </c>
      <c r="CK32" s="50">
        <f>IF(Assumptions!CK$74=0,0,IF(Assumptions!CK$72&lt;$C$20,0,IF(Assumptions!CK$72&lt;=$D$20,$E$20*$B$20/12*(1+$F$20)^INT((Assumptions!CK$72-$C$20)/12),IF(Assumptions!CK$72&lt;=$D$20+RetailDowntime,0,1)*$E$20*$B$20/12*INDEX(Cum_RetailRent,1,CK$77)*RenewalRentFactor)))</f>
        <v/>
      </c>
      <c r="CL32" s="50">
        <f>IF(Assumptions!CL$74=0,0,IF(Assumptions!CL$72&lt;$C$20,0,IF(Assumptions!CL$72&lt;=$D$20,$E$20*$B$20/12*(1+$F$20)^INT((Assumptions!CL$72-$C$20)/12),IF(Assumptions!CL$72&lt;=$D$20+RetailDowntime,0,1)*$E$20*$B$20/12*INDEX(Cum_RetailRent,1,CL$77)*RenewalRentFactor)))</f>
        <v/>
      </c>
      <c r="CM32" s="50">
        <f>IF(Assumptions!CM$74=0,0,IF(Assumptions!CM$72&lt;$C$20,0,IF(Assumptions!CM$72&lt;=$D$20,$E$20*$B$20/12*(1+$F$20)^INT((Assumptions!CM$72-$C$20)/12),IF(Assumptions!CM$72&lt;=$D$20+RetailDowntime,0,1)*$E$20*$B$20/12*INDEX(Cum_RetailRent,1,CM$77)*RenewalRentFactor)))</f>
        <v/>
      </c>
      <c r="CN32" s="50">
        <f>IF(Assumptions!CN$74=0,0,IF(Assumptions!CN$72&lt;$C$20,0,IF(Assumptions!CN$72&lt;=$D$20,$E$20*$B$20/12*(1+$F$20)^INT((Assumptions!CN$72-$C$20)/12),IF(Assumptions!CN$72&lt;=$D$20+RetailDowntime,0,1)*$E$20*$B$20/12*INDEX(Cum_RetailRent,1,CN$77)*RenewalRentFactor)))</f>
        <v/>
      </c>
      <c r="CO32" s="50">
        <f>IF(Assumptions!CO$74=0,0,IF(Assumptions!CO$72&lt;$C$20,0,IF(Assumptions!CO$72&lt;=$D$20,$E$20*$B$20/12*(1+$F$20)^INT((Assumptions!CO$72-$C$20)/12),IF(Assumptions!CO$72&lt;=$D$20+RetailDowntime,0,1)*$E$20*$B$20/12*INDEX(Cum_RetailRent,1,CO$77)*RenewalRentFactor)))</f>
        <v/>
      </c>
      <c r="CP32" s="50">
        <f>IF(Assumptions!CP$74=0,0,IF(Assumptions!CP$72&lt;$C$20,0,IF(Assumptions!CP$72&lt;=$D$20,$E$20*$B$20/12*(1+$F$20)^INT((Assumptions!CP$72-$C$20)/12),IF(Assumptions!CP$72&lt;=$D$20+RetailDowntime,0,1)*$E$20*$B$20/12*INDEX(Cum_RetailRent,1,CP$77)*RenewalRentFactor)))</f>
        <v/>
      </c>
      <c r="CQ32" s="50">
        <f>IF(Assumptions!CQ$74=0,0,IF(Assumptions!CQ$72&lt;$C$20,0,IF(Assumptions!CQ$72&lt;=$D$20,$E$20*$B$20/12*(1+$F$20)^INT((Assumptions!CQ$72-$C$20)/12),IF(Assumptions!CQ$72&lt;=$D$20+RetailDowntime,0,1)*$E$20*$B$20/12*INDEX(Cum_RetailRent,1,CQ$77)*RenewalRentFactor)))</f>
        <v/>
      </c>
      <c r="CR32" s="50">
        <f>IF(Assumptions!CR$74=0,0,IF(Assumptions!CR$72&lt;$C$20,0,IF(Assumptions!CR$72&lt;=$D$20,$E$20*$B$20/12*(1+$F$20)^INT((Assumptions!CR$72-$C$20)/12),IF(Assumptions!CR$72&lt;=$D$20+RetailDowntime,0,1)*$E$20*$B$20/12*INDEX(Cum_RetailRent,1,CR$77)*RenewalRentFactor)))</f>
        <v/>
      </c>
      <c r="CS32" s="50">
        <f>IF(Assumptions!CS$74=0,0,IF(Assumptions!CS$72&lt;$C$20,0,IF(Assumptions!CS$72&lt;=$D$20,$E$20*$B$20/12*(1+$F$20)^INT((Assumptions!CS$72-$C$20)/12),IF(Assumptions!CS$72&lt;=$D$20+RetailDowntime,0,1)*$E$20*$B$20/12*INDEX(Cum_RetailRent,1,CS$77)*RenewalRentFactor)))</f>
        <v/>
      </c>
      <c r="CT32" s="50">
        <f>IF(Assumptions!CT$74=0,0,IF(Assumptions!CT$72&lt;$C$20,0,IF(Assumptions!CT$72&lt;=$D$20,$E$20*$B$20/12*(1+$F$20)^INT((Assumptions!CT$72-$C$20)/12),IF(Assumptions!CT$72&lt;=$D$20+RetailDowntime,0,1)*$E$20*$B$20/12*INDEX(Cum_RetailRent,1,CT$77)*RenewalRentFactor)))</f>
        <v/>
      </c>
      <c r="CU32" s="50">
        <f>IF(Assumptions!CU$74=0,0,IF(Assumptions!CU$72&lt;$C$20,0,IF(Assumptions!CU$72&lt;=$D$20,$E$20*$B$20/12*(1+$F$20)^INT((Assumptions!CU$72-$C$20)/12),IF(Assumptions!CU$72&lt;=$D$20+RetailDowntime,0,1)*$E$20*$B$20/12*INDEX(Cum_RetailRent,1,CU$77)*RenewalRentFactor)))</f>
        <v/>
      </c>
      <c r="CV32" s="50">
        <f>IF(Assumptions!CV$74=0,0,IF(Assumptions!CV$72&lt;$C$20,0,IF(Assumptions!CV$72&lt;=$D$20,$E$20*$B$20/12*(1+$F$20)^INT((Assumptions!CV$72-$C$20)/12),IF(Assumptions!CV$72&lt;=$D$20+RetailDowntime,0,1)*$E$20*$B$20/12*INDEX(Cum_RetailRent,1,CV$77)*RenewalRentFactor)))</f>
        <v/>
      </c>
      <c r="CW32" s="50">
        <f>IF(Assumptions!CW$74=0,0,IF(Assumptions!CW$72&lt;$C$20,0,IF(Assumptions!CW$72&lt;=$D$20,$E$20*$B$20/12*(1+$F$20)^INT((Assumptions!CW$72-$C$20)/12),IF(Assumptions!CW$72&lt;=$D$20+RetailDowntime,0,1)*$E$20*$B$20/12*INDEX(Cum_RetailRent,1,CW$77)*RenewalRentFactor)))</f>
        <v/>
      </c>
      <c r="CX32" s="50">
        <f>IF(Assumptions!CX$74=0,0,IF(Assumptions!CX$72&lt;$C$20,0,IF(Assumptions!CX$72&lt;=$D$20,$E$20*$B$20/12*(1+$F$20)^INT((Assumptions!CX$72-$C$20)/12),IF(Assumptions!CX$72&lt;=$D$20+RetailDowntime,0,1)*$E$20*$B$20/12*INDEX(Cum_RetailRent,1,CX$77)*RenewalRentFactor)))</f>
        <v/>
      </c>
      <c r="CY32" s="50">
        <f>IF(Assumptions!CY$74=0,0,IF(Assumptions!CY$72&lt;$C$20,0,IF(Assumptions!CY$72&lt;=$D$20,$E$20*$B$20/12*(1+$F$20)^INT((Assumptions!CY$72-$C$20)/12),IF(Assumptions!CY$72&lt;=$D$20+RetailDowntime,0,1)*$E$20*$B$20/12*INDEX(Cum_RetailRent,1,CY$77)*RenewalRentFactor)))</f>
        <v/>
      </c>
      <c r="CZ32" s="50">
        <f>IF(Assumptions!CZ$74=0,0,IF(Assumptions!CZ$72&lt;$C$20,0,IF(Assumptions!CZ$72&lt;=$D$20,$E$20*$B$20/12*(1+$F$20)^INT((Assumptions!CZ$72-$C$20)/12),IF(Assumptions!CZ$72&lt;=$D$20+RetailDowntime,0,1)*$E$20*$B$20/12*INDEX(Cum_RetailRent,1,CZ$77)*RenewalRentFactor)))</f>
        <v/>
      </c>
      <c r="DA32" s="50">
        <f>IF(Assumptions!DA$74=0,0,IF(Assumptions!DA$72&lt;$C$20,0,IF(Assumptions!DA$72&lt;=$D$20,$E$20*$B$20/12*(1+$F$20)^INT((Assumptions!DA$72-$C$20)/12),IF(Assumptions!DA$72&lt;=$D$20+RetailDowntime,0,1)*$E$20*$B$20/12*INDEX(Cum_RetailRent,1,DA$77)*RenewalRentFactor)))</f>
        <v/>
      </c>
      <c r="DB32" s="50">
        <f>IF(Assumptions!DB$74=0,0,IF(Assumptions!DB$72&lt;$C$20,0,IF(Assumptions!DB$72&lt;=$D$20,$E$20*$B$20/12*(1+$F$20)^INT((Assumptions!DB$72-$C$20)/12),IF(Assumptions!DB$72&lt;=$D$20+RetailDowntime,0,1)*$E$20*$B$20/12*INDEX(Cum_RetailRent,1,DB$77)*RenewalRentFactor)))</f>
        <v/>
      </c>
      <c r="DC32" s="50">
        <f>IF(Assumptions!DC$74=0,0,IF(Assumptions!DC$72&lt;$C$20,0,IF(Assumptions!DC$72&lt;=$D$20,$E$20*$B$20/12*(1+$F$20)^INT((Assumptions!DC$72-$C$20)/12),IF(Assumptions!DC$72&lt;=$D$20+RetailDowntime,0,1)*$E$20*$B$20/12*INDEX(Cum_RetailRent,1,DC$77)*RenewalRentFactor)))</f>
        <v/>
      </c>
      <c r="DD32" s="50">
        <f>IF(Assumptions!DD$74=0,0,IF(Assumptions!DD$72&lt;$C$20,0,IF(Assumptions!DD$72&lt;=$D$20,$E$20*$B$20/12*(1+$F$20)^INT((Assumptions!DD$72-$C$20)/12),IF(Assumptions!DD$72&lt;=$D$20+RetailDowntime,0,1)*$E$20*$B$20/12*INDEX(Cum_RetailRent,1,DD$77)*RenewalRentFactor)))</f>
        <v/>
      </c>
      <c r="DE32" s="50">
        <f>IF(Assumptions!DE$74=0,0,IF(Assumptions!DE$72&lt;$C$20,0,IF(Assumptions!DE$72&lt;=$D$20,$E$20*$B$20/12*(1+$F$20)^INT((Assumptions!DE$72-$C$20)/12),IF(Assumptions!DE$72&lt;=$D$20+RetailDowntime,0,1)*$E$20*$B$20/12*INDEX(Cum_RetailRent,1,DE$77)*RenewalRentFactor)))</f>
        <v/>
      </c>
      <c r="DF32" s="50">
        <f>IF(Assumptions!DF$74=0,0,IF(Assumptions!DF$72&lt;$C$20,0,IF(Assumptions!DF$72&lt;=$D$20,$E$20*$B$20/12*(1+$F$20)^INT((Assumptions!DF$72-$C$20)/12),IF(Assumptions!DF$72&lt;=$D$20+RetailDowntime,0,1)*$E$20*$B$20/12*INDEX(Cum_RetailRent,1,DF$77)*RenewalRentFactor)))</f>
        <v/>
      </c>
      <c r="DG32" s="50">
        <f>IF(Assumptions!DG$74=0,0,IF(Assumptions!DG$72&lt;$C$20,0,IF(Assumptions!DG$72&lt;=$D$20,$E$20*$B$20/12*(1+$F$20)^INT((Assumptions!DG$72-$C$20)/12),IF(Assumptions!DG$72&lt;=$D$20+RetailDowntime,0,1)*$E$20*$B$20/12*INDEX(Cum_RetailRent,1,DG$77)*RenewalRentFactor)))</f>
        <v/>
      </c>
      <c r="DH32" s="50">
        <f>IF(Assumptions!DH$74=0,0,IF(Assumptions!DH$72&lt;$C$20,0,IF(Assumptions!DH$72&lt;=$D$20,$E$20*$B$20/12*(1+$F$20)^INT((Assumptions!DH$72-$C$20)/12),IF(Assumptions!DH$72&lt;=$D$20+RetailDowntime,0,1)*$E$20*$B$20/12*INDEX(Cum_RetailRent,1,DH$77)*RenewalRentFactor)))</f>
        <v/>
      </c>
      <c r="DI32" s="50">
        <f>IF(Assumptions!DI$74=0,0,IF(Assumptions!DI$72&lt;$C$20,0,IF(Assumptions!DI$72&lt;=$D$20,$E$20*$B$20/12*(1+$F$20)^INT((Assumptions!DI$72-$C$20)/12),IF(Assumptions!DI$72&lt;=$D$20+RetailDowntime,0,1)*$E$20*$B$20/12*INDEX(Cum_RetailRent,1,DI$77)*RenewalRentFactor)))</f>
        <v/>
      </c>
      <c r="DJ32" s="50">
        <f>IF(Assumptions!DJ$74=0,0,IF(Assumptions!DJ$72&lt;$C$20,0,IF(Assumptions!DJ$72&lt;=$D$20,$E$20*$B$20/12*(1+$F$20)^INT((Assumptions!DJ$72-$C$20)/12),IF(Assumptions!DJ$72&lt;=$D$20+RetailDowntime,0,1)*$E$20*$B$20/12*INDEX(Cum_RetailRent,1,DJ$77)*RenewalRentFactor)))</f>
        <v/>
      </c>
      <c r="DK32" s="50">
        <f>IF(Assumptions!DK$74=0,0,IF(Assumptions!DK$72&lt;$C$20,0,IF(Assumptions!DK$72&lt;=$D$20,$E$20*$B$20/12*(1+$F$20)^INT((Assumptions!DK$72-$C$20)/12),IF(Assumptions!DK$72&lt;=$D$20+RetailDowntime,0,1)*$E$20*$B$20/12*INDEX(Cum_RetailRent,1,DK$77)*RenewalRentFactor)))</f>
        <v/>
      </c>
      <c r="DL32" s="50">
        <f>IF(Assumptions!DL$74=0,0,IF(Assumptions!DL$72&lt;$C$20,0,IF(Assumptions!DL$72&lt;=$D$20,$E$20*$B$20/12*(1+$F$20)^INT((Assumptions!DL$72-$C$20)/12),IF(Assumptions!DL$72&lt;=$D$20+RetailDowntime,0,1)*$E$20*$B$20/12*INDEX(Cum_RetailRent,1,DL$77)*RenewalRentFactor)))</f>
        <v/>
      </c>
      <c r="DM32" s="50">
        <f>IF(Assumptions!DM$74=0,0,IF(Assumptions!DM$72&lt;$C$20,0,IF(Assumptions!DM$72&lt;=$D$20,$E$20*$B$20/12*(1+$F$20)^INT((Assumptions!DM$72-$C$20)/12),IF(Assumptions!DM$72&lt;=$D$20+RetailDowntime,0,1)*$E$20*$B$20/12*INDEX(Cum_RetailRent,1,DM$77)*RenewalRentFactor)))</f>
        <v/>
      </c>
      <c r="DN32" s="50">
        <f>IF(Assumptions!DN$74=0,0,IF(Assumptions!DN$72&lt;$C$20,0,IF(Assumptions!DN$72&lt;=$D$20,$E$20*$B$20/12*(1+$F$20)^INT((Assumptions!DN$72-$C$20)/12),IF(Assumptions!DN$72&lt;=$D$20+RetailDowntime,0,1)*$E$20*$B$20/12*INDEX(Cum_RetailRent,1,DN$77)*RenewalRentFactor)))</f>
        <v/>
      </c>
      <c r="DO32" s="50">
        <f>IF(Assumptions!DO$74=0,0,IF(Assumptions!DO$72&lt;$C$20,0,IF(Assumptions!DO$72&lt;=$D$20,$E$20*$B$20/12*(1+$F$20)^INT((Assumptions!DO$72-$C$20)/12),IF(Assumptions!DO$72&lt;=$D$20+RetailDowntime,0,1)*$E$20*$B$20/12*INDEX(Cum_RetailRent,1,DO$77)*RenewalRentFactor)))</f>
        <v/>
      </c>
      <c r="DP32" s="50">
        <f>IF(Assumptions!DP$74=0,0,IF(Assumptions!DP$72&lt;$C$20,0,IF(Assumptions!DP$72&lt;=$D$20,$E$20*$B$20/12*(1+$F$20)^INT((Assumptions!DP$72-$C$20)/12),IF(Assumptions!DP$72&lt;=$D$20+RetailDowntime,0,1)*$E$20*$B$20/12*INDEX(Cum_RetailRent,1,DP$77)*RenewalRentFactor)))</f>
        <v/>
      </c>
      <c r="DQ32" s="50">
        <f>IF(Assumptions!DQ$74=0,0,IF(Assumptions!DQ$72&lt;$C$20,0,IF(Assumptions!DQ$72&lt;=$D$20,$E$20*$B$20/12*(1+$F$20)^INT((Assumptions!DQ$72-$C$20)/12),IF(Assumptions!DQ$72&lt;=$D$20+RetailDowntime,0,1)*$E$20*$B$20/12*INDEX(Cum_RetailRent,1,DQ$77)*RenewalRentFactor)))</f>
        <v/>
      </c>
      <c r="DR32" s="50">
        <f>IF(Assumptions!DR$74=0,0,IF(Assumptions!DR$72&lt;$C$20,0,IF(Assumptions!DR$72&lt;=$D$20,$E$20*$B$20/12*(1+$F$20)^INT((Assumptions!DR$72-$C$20)/12),IF(Assumptions!DR$72&lt;=$D$20+RetailDowntime,0,1)*$E$20*$B$20/12*INDEX(Cum_RetailRent,1,DR$77)*RenewalRentFactor)))</f>
        <v/>
      </c>
      <c r="DS32" s="50">
        <f>IF(Assumptions!DS$74=0,0,IF(Assumptions!DS$72&lt;$C$20,0,IF(Assumptions!DS$72&lt;=$D$20,$E$20*$B$20/12*(1+$F$20)^INT((Assumptions!DS$72-$C$20)/12),IF(Assumptions!DS$72&lt;=$D$20+RetailDowntime,0,1)*$E$20*$B$20/12*INDEX(Cum_RetailRent,1,DS$77)*RenewalRentFactor)))</f>
        <v/>
      </c>
      <c r="DT32" s="50">
        <f>IF(Assumptions!DT$74=0,0,IF(Assumptions!DT$72&lt;$C$20,0,IF(Assumptions!DT$72&lt;=$D$20,$E$20*$B$20/12*(1+$F$20)^INT((Assumptions!DT$72-$C$20)/12),IF(Assumptions!DT$72&lt;=$D$20+RetailDowntime,0,1)*$E$20*$B$20/12*INDEX(Cum_RetailRent,1,DT$77)*RenewalRentFactor)))</f>
        <v/>
      </c>
    </row>
    <row r="33">
      <c r="A33" s="10" t="inlineStr">
        <is>
          <t xml:space="preserve">  Bank</t>
        </is>
      </c>
      <c r="E33" s="50">
        <f>IF(Assumptions!E$74=0,0,IF(Assumptions!E$72&lt;$C$21,0,IF(Assumptions!E$72&lt;=$D$21,$E$21*$B$21/12*(1+$F$21)^INT((Assumptions!E$72-$C$21)/12),IF(Assumptions!E$72&lt;=$D$21+RetailDowntime,0,1)*$E$21*$B$21/12*INDEX(Cum_RetailRent,1,E$77)*RenewalRentFactor)))</f>
        <v/>
      </c>
      <c r="F33" s="50">
        <f>IF(Assumptions!F$74=0,0,IF(Assumptions!F$72&lt;$C$21,0,IF(Assumptions!F$72&lt;=$D$21,$E$21*$B$21/12*(1+$F$21)^INT((Assumptions!F$72-$C$21)/12),IF(Assumptions!F$72&lt;=$D$21+RetailDowntime,0,1)*$E$21*$B$21/12*INDEX(Cum_RetailRent,1,F$77)*RenewalRentFactor)))</f>
        <v/>
      </c>
      <c r="G33" s="50">
        <f>IF(Assumptions!G$74=0,0,IF(Assumptions!G$72&lt;$C$21,0,IF(Assumptions!G$72&lt;=$D$21,$E$21*$B$21/12*(1+$F$21)^INT((Assumptions!G$72-$C$21)/12),IF(Assumptions!G$72&lt;=$D$21+RetailDowntime,0,1)*$E$21*$B$21/12*INDEX(Cum_RetailRent,1,G$77)*RenewalRentFactor)))</f>
        <v/>
      </c>
      <c r="H33" s="50">
        <f>IF(Assumptions!H$74=0,0,IF(Assumptions!H$72&lt;$C$21,0,IF(Assumptions!H$72&lt;=$D$21,$E$21*$B$21/12*(1+$F$21)^INT((Assumptions!H$72-$C$21)/12),IF(Assumptions!H$72&lt;=$D$21+RetailDowntime,0,1)*$E$21*$B$21/12*INDEX(Cum_RetailRent,1,H$77)*RenewalRentFactor)))</f>
        <v/>
      </c>
      <c r="I33" s="50">
        <f>IF(Assumptions!I$74=0,0,IF(Assumptions!I$72&lt;$C$21,0,IF(Assumptions!I$72&lt;=$D$21,$E$21*$B$21/12*(1+$F$21)^INT((Assumptions!I$72-$C$21)/12),IF(Assumptions!I$72&lt;=$D$21+RetailDowntime,0,1)*$E$21*$B$21/12*INDEX(Cum_RetailRent,1,I$77)*RenewalRentFactor)))</f>
        <v/>
      </c>
      <c r="J33" s="50">
        <f>IF(Assumptions!J$74=0,0,IF(Assumptions!J$72&lt;$C$21,0,IF(Assumptions!J$72&lt;=$D$21,$E$21*$B$21/12*(1+$F$21)^INT((Assumptions!J$72-$C$21)/12),IF(Assumptions!J$72&lt;=$D$21+RetailDowntime,0,1)*$E$21*$B$21/12*INDEX(Cum_RetailRent,1,J$77)*RenewalRentFactor)))</f>
        <v/>
      </c>
      <c r="K33" s="50">
        <f>IF(Assumptions!K$74=0,0,IF(Assumptions!K$72&lt;$C$21,0,IF(Assumptions!K$72&lt;=$D$21,$E$21*$B$21/12*(1+$F$21)^INT((Assumptions!K$72-$C$21)/12),IF(Assumptions!K$72&lt;=$D$21+RetailDowntime,0,1)*$E$21*$B$21/12*INDEX(Cum_RetailRent,1,K$77)*RenewalRentFactor)))</f>
        <v/>
      </c>
      <c r="L33" s="50">
        <f>IF(Assumptions!L$74=0,0,IF(Assumptions!L$72&lt;$C$21,0,IF(Assumptions!L$72&lt;=$D$21,$E$21*$B$21/12*(1+$F$21)^INT((Assumptions!L$72-$C$21)/12),IF(Assumptions!L$72&lt;=$D$21+RetailDowntime,0,1)*$E$21*$B$21/12*INDEX(Cum_RetailRent,1,L$77)*RenewalRentFactor)))</f>
        <v/>
      </c>
      <c r="M33" s="50">
        <f>IF(Assumptions!M$74=0,0,IF(Assumptions!M$72&lt;$C$21,0,IF(Assumptions!M$72&lt;=$D$21,$E$21*$B$21/12*(1+$F$21)^INT((Assumptions!M$72-$C$21)/12),IF(Assumptions!M$72&lt;=$D$21+RetailDowntime,0,1)*$E$21*$B$21/12*INDEX(Cum_RetailRent,1,M$77)*RenewalRentFactor)))</f>
        <v/>
      </c>
      <c r="N33" s="50">
        <f>IF(Assumptions!N$74=0,0,IF(Assumptions!N$72&lt;$C$21,0,IF(Assumptions!N$72&lt;=$D$21,$E$21*$B$21/12*(1+$F$21)^INT((Assumptions!N$72-$C$21)/12),IF(Assumptions!N$72&lt;=$D$21+RetailDowntime,0,1)*$E$21*$B$21/12*INDEX(Cum_RetailRent,1,N$77)*RenewalRentFactor)))</f>
        <v/>
      </c>
      <c r="O33" s="50">
        <f>IF(Assumptions!O$74=0,0,IF(Assumptions!O$72&lt;$C$21,0,IF(Assumptions!O$72&lt;=$D$21,$E$21*$B$21/12*(1+$F$21)^INT((Assumptions!O$72-$C$21)/12),IF(Assumptions!O$72&lt;=$D$21+RetailDowntime,0,1)*$E$21*$B$21/12*INDEX(Cum_RetailRent,1,O$77)*RenewalRentFactor)))</f>
        <v/>
      </c>
      <c r="P33" s="50">
        <f>IF(Assumptions!P$74=0,0,IF(Assumptions!P$72&lt;$C$21,0,IF(Assumptions!P$72&lt;=$D$21,$E$21*$B$21/12*(1+$F$21)^INT((Assumptions!P$72-$C$21)/12),IF(Assumptions!P$72&lt;=$D$21+RetailDowntime,0,1)*$E$21*$B$21/12*INDEX(Cum_RetailRent,1,P$77)*RenewalRentFactor)))</f>
        <v/>
      </c>
      <c r="Q33" s="50">
        <f>IF(Assumptions!Q$74=0,0,IF(Assumptions!Q$72&lt;$C$21,0,IF(Assumptions!Q$72&lt;=$D$21,$E$21*$B$21/12*(1+$F$21)^INT((Assumptions!Q$72-$C$21)/12),IF(Assumptions!Q$72&lt;=$D$21+RetailDowntime,0,1)*$E$21*$B$21/12*INDEX(Cum_RetailRent,1,Q$77)*RenewalRentFactor)))</f>
        <v/>
      </c>
      <c r="R33" s="50">
        <f>IF(Assumptions!R$74=0,0,IF(Assumptions!R$72&lt;$C$21,0,IF(Assumptions!R$72&lt;=$D$21,$E$21*$B$21/12*(1+$F$21)^INT((Assumptions!R$72-$C$21)/12),IF(Assumptions!R$72&lt;=$D$21+RetailDowntime,0,1)*$E$21*$B$21/12*INDEX(Cum_RetailRent,1,R$77)*RenewalRentFactor)))</f>
        <v/>
      </c>
      <c r="S33" s="50">
        <f>IF(Assumptions!S$74=0,0,IF(Assumptions!S$72&lt;$C$21,0,IF(Assumptions!S$72&lt;=$D$21,$E$21*$B$21/12*(1+$F$21)^INT((Assumptions!S$72-$C$21)/12),IF(Assumptions!S$72&lt;=$D$21+RetailDowntime,0,1)*$E$21*$B$21/12*INDEX(Cum_RetailRent,1,S$77)*RenewalRentFactor)))</f>
        <v/>
      </c>
      <c r="T33" s="50">
        <f>IF(Assumptions!T$74=0,0,IF(Assumptions!T$72&lt;$C$21,0,IF(Assumptions!T$72&lt;=$D$21,$E$21*$B$21/12*(1+$F$21)^INT((Assumptions!T$72-$C$21)/12),IF(Assumptions!T$72&lt;=$D$21+RetailDowntime,0,1)*$E$21*$B$21/12*INDEX(Cum_RetailRent,1,T$77)*RenewalRentFactor)))</f>
        <v/>
      </c>
      <c r="U33" s="50">
        <f>IF(Assumptions!U$74=0,0,IF(Assumptions!U$72&lt;$C$21,0,IF(Assumptions!U$72&lt;=$D$21,$E$21*$B$21/12*(1+$F$21)^INT((Assumptions!U$72-$C$21)/12),IF(Assumptions!U$72&lt;=$D$21+RetailDowntime,0,1)*$E$21*$B$21/12*INDEX(Cum_RetailRent,1,U$77)*RenewalRentFactor)))</f>
        <v/>
      </c>
      <c r="V33" s="50">
        <f>IF(Assumptions!V$74=0,0,IF(Assumptions!V$72&lt;$C$21,0,IF(Assumptions!V$72&lt;=$D$21,$E$21*$B$21/12*(1+$F$21)^INT((Assumptions!V$72-$C$21)/12),IF(Assumptions!V$72&lt;=$D$21+RetailDowntime,0,1)*$E$21*$B$21/12*INDEX(Cum_RetailRent,1,V$77)*RenewalRentFactor)))</f>
        <v/>
      </c>
      <c r="W33" s="50">
        <f>IF(Assumptions!W$74=0,0,IF(Assumptions!W$72&lt;$C$21,0,IF(Assumptions!W$72&lt;=$D$21,$E$21*$B$21/12*(1+$F$21)^INT((Assumptions!W$72-$C$21)/12),IF(Assumptions!W$72&lt;=$D$21+RetailDowntime,0,1)*$E$21*$B$21/12*INDEX(Cum_RetailRent,1,W$77)*RenewalRentFactor)))</f>
        <v/>
      </c>
      <c r="X33" s="50">
        <f>IF(Assumptions!X$74=0,0,IF(Assumptions!X$72&lt;$C$21,0,IF(Assumptions!X$72&lt;=$D$21,$E$21*$B$21/12*(1+$F$21)^INT((Assumptions!X$72-$C$21)/12),IF(Assumptions!X$72&lt;=$D$21+RetailDowntime,0,1)*$E$21*$B$21/12*INDEX(Cum_RetailRent,1,X$77)*RenewalRentFactor)))</f>
        <v/>
      </c>
      <c r="Y33" s="50">
        <f>IF(Assumptions!Y$74=0,0,IF(Assumptions!Y$72&lt;$C$21,0,IF(Assumptions!Y$72&lt;=$D$21,$E$21*$B$21/12*(1+$F$21)^INT((Assumptions!Y$72-$C$21)/12),IF(Assumptions!Y$72&lt;=$D$21+RetailDowntime,0,1)*$E$21*$B$21/12*INDEX(Cum_RetailRent,1,Y$77)*RenewalRentFactor)))</f>
        <v/>
      </c>
      <c r="Z33" s="50">
        <f>IF(Assumptions!Z$74=0,0,IF(Assumptions!Z$72&lt;$C$21,0,IF(Assumptions!Z$72&lt;=$D$21,$E$21*$B$21/12*(1+$F$21)^INT((Assumptions!Z$72-$C$21)/12),IF(Assumptions!Z$72&lt;=$D$21+RetailDowntime,0,1)*$E$21*$B$21/12*INDEX(Cum_RetailRent,1,Z$77)*RenewalRentFactor)))</f>
        <v/>
      </c>
      <c r="AA33" s="50">
        <f>IF(Assumptions!AA$74=0,0,IF(Assumptions!AA$72&lt;$C$21,0,IF(Assumptions!AA$72&lt;=$D$21,$E$21*$B$21/12*(1+$F$21)^INT((Assumptions!AA$72-$C$21)/12),IF(Assumptions!AA$72&lt;=$D$21+RetailDowntime,0,1)*$E$21*$B$21/12*INDEX(Cum_RetailRent,1,AA$77)*RenewalRentFactor)))</f>
        <v/>
      </c>
      <c r="AB33" s="50">
        <f>IF(Assumptions!AB$74=0,0,IF(Assumptions!AB$72&lt;$C$21,0,IF(Assumptions!AB$72&lt;=$D$21,$E$21*$B$21/12*(1+$F$21)^INT((Assumptions!AB$72-$C$21)/12),IF(Assumptions!AB$72&lt;=$D$21+RetailDowntime,0,1)*$E$21*$B$21/12*INDEX(Cum_RetailRent,1,AB$77)*RenewalRentFactor)))</f>
        <v/>
      </c>
      <c r="AC33" s="50">
        <f>IF(Assumptions!AC$74=0,0,IF(Assumptions!AC$72&lt;$C$21,0,IF(Assumptions!AC$72&lt;=$D$21,$E$21*$B$21/12*(1+$F$21)^INT((Assumptions!AC$72-$C$21)/12),IF(Assumptions!AC$72&lt;=$D$21+RetailDowntime,0,1)*$E$21*$B$21/12*INDEX(Cum_RetailRent,1,AC$77)*RenewalRentFactor)))</f>
        <v/>
      </c>
      <c r="AD33" s="50">
        <f>IF(Assumptions!AD$74=0,0,IF(Assumptions!AD$72&lt;$C$21,0,IF(Assumptions!AD$72&lt;=$D$21,$E$21*$B$21/12*(1+$F$21)^INT((Assumptions!AD$72-$C$21)/12),IF(Assumptions!AD$72&lt;=$D$21+RetailDowntime,0,1)*$E$21*$B$21/12*INDEX(Cum_RetailRent,1,AD$77)*RenewalRentFactor)))</f>
        <v/>
      </c>
      <c r="AE33" s="50">
        <f>IF(Assumptions!AE$74=0,0,IF(Assumptions!AE$72&lt;$C$21,0,IF(Assumptions!AE$72&lt;=$D$21,$E$21*$B$21/12*(1+$F$21)^INT((Assumptions!AE$72-$C$21)/12),IF(Assumptions!AE$72&lt;=$D$21+RetailDowntime,0,1)*$E$21*$B$21/12*INDEX(Cum_RetailRent,1,AE$77)*RenewalRentFactor)))</f>
        <v/>
      </c>
      <c r="AF33" s="50">
        <f>IF(Assumptions!AF$74=0,0,IF(Assumptions!AF$72&lt;$C$21,0,IF(Assumptions!AF$72&lt;=$D$21,$E$21*$B$21/12*(1+$F$21)^INT((Assumptions!AF$72-$C$21)/12),IF(Assumptions!AF$72&lt;=$D$21+RetailDowntime,0,1)*$E$21*$B$21/12*INDEX(Cum_RetailRent,1,AF$77)*RenewalRentFactor)))</f>
        <v/>
      </c>
      <c r="AG33" s="50">
        <f>IF(Assumptions!AG$74=0,0,IF(Assumptions!AG$72&lt;$C$21,0,IF(Assumptions!AG$72&lt;=$D$21,$E$21*$B$21/12*(1+$F$21)^INT((Assumptions!AG$72-$C$21)/12),IF(Assumptions!AG$72&lt;=$D$21+RetailDowntime,0,1)*$E$21*$B$21/12*INDEX(Cum_RetailRent,1,AG$77)*RenewalRentFactor)))</f>
        <v/>
      </c>
      <c r="AH33" s="50">
        <f>IF(Assumptions!AH$74=0,0,IF(Assumptions!AH$72&lt;$C$21,0,IF(Assumptions!AH$72&lt;=$D$21,$E$21*$B$21/12*(1+$F$21)^INT((Assumptions!AH$72-$C$21)/12),IF(Assumptions!AH$72&lt;=$D$21+RetailDowntime,0,1)*$E$21*$B$21/12*INDEX(Cum_RetailRent,1,AH$77)*RenewalRentFactor)))</f>
        <v/>
      </c>
      <c r="AI33" s="50">
        <f>IF(Assumptions!AI$74=0,0,IF(Assumptions!AI$72&lt;$C$21,0,IF(Assumptions!AI$72&lt;=$D$21,$E$21*$B$21/12*(1+$F$21)^INT((Assumptions!AI$72-$C$21)/12),IF(Assumptions!AI$72&lt;=$D$21+RetailDowntime,0,1)*$E$21*$B$21/12*INDEX(Cum_RetailRent,1,AI$77)*RenewalRentFactor)))</f>
        <v/>
      </c>
      <c r="AJ33" s="50">
        <f>IF(Assumptions!AJ$74=0,0,IF(Assumptions!AJ$72&lt;$C$21,0,IF(Assumptions!AJ$72&lt;=$D$21,$E$21*$B$21/12*(1+$F$21)^INT((Assumptions!AJ$72-$C$21)/12),IF(Assumptions!AJ$72&lt;=$D$21+RetailDowntime,0,1)*$E$21*$B$21/12*INDEX(Cum_RetailRent,1,AJ$77)*RenewalRentFactor)))</f>
        <v/>
      </c>
      <c r="AK33" s="50">
        <f>IF(Assumptions!AK$74=0,0,IF(Assumptions!AK$72&lt;$C$21,0,IF(Assumptions!AK$72&lt;=$D$21,$E$21*$B$21/12*(1+$F$21)^INT((Assumptions!AK$72-$C$21)/12),IF(Assumptions!AK$72&lt;=$D$21+RetailDowntime,0,1)*$E$21*$B$21/12*INDEX(Cum_RetailRent,1,AK$77)*RenewalRentFactor)))</f>
        <v/>
      </c>
      <c r="AL33" s="50">
        <f>IF(Assumptions!AL$74=0,0,IF(Assumptions!AL$72&lt;$C$21,0,IF(Assumptions!AL$72&lt;=$D$21,$E$21*$B$21/12*(1+$F$21)^INT((Assumptions!AL$72-$C$21)/12),IF(Assumptions!AL$72&lt;=$D$21+RetailDowntime,0,1)*$E$21*$B$21/12*INDEX(Cum_RetailRent,1,AL$77)*RenewalRentFactor)))</f>
        <v/>
      </c>
      <c r="AM33" s="50">
        <f>IF(Assumptions!AM$74=0,0,IF(Assumptions!AM$72&lt;$C$21,0,IF(Assumptions!AM$72&lt;=$D$21,$E$21*$B$21/12*(1+$F$21)^INT((Assumptions!AM$72-$C$21)/12),IF(Assumptions!AM$72&lt;=$D$21+RetailDowntime,0,1)*$E$21*$B$21/12*INDEX(Cum_RetailRent,1,AM$77)*RenewalRentFactor)))</f>
        <v/>
      </c>
      <c r="AN33" s="50">
        <f>IF(Assumptions!AN$74=0,0,IF(Assumptions!AN$72&lt;$C$21,0,IF(Assumptions!AN$72&lt;=$D$21,$E$21*$B$21/12*(1+$F$21)^INT((Assumptions!AN$72-$C$21)/12),IF(Assumptions!AN$72&lt;=$D$21+RetailDowntime,0,1)*$E$21*$B$21/12*INDEX(Cum_RetailRent,1,AN$77)*RenewalRentFactor)))</f>
        <v/>
      </c>
      <c r="AO33" s="50">
        <f>IF(Assumptions!AO$74=0,0,IF(Assumptions!AO$72&lt;$C$21,0,IF(Assumptions!AO$72&lt;=$D$21,$E$21*$B$21/12*(1+$F$21)^INT((Assumptions!AO$72-$C$21)/12),IF(Assumptions!AO$72&lt;=$D$21+RetailDowntime,0,1)*$E$21*$B$21/12*INDEX(Cum_RetailRent,1,AO$77)*RenewalRentFactor)))</f>
        <v/>
      </c>
      <c r="AP33" s="50">
        <f>IF(Assumptions!AP$74=0,0,IF(Assumptions!AP$72&lt;$C$21,0,IF(Assumptions!AP$72&lt;=$D$21,$E$21*$B$21/12*(1+$F$21)^INT((Assumptions!AP$72-$C$21)/12),IF(Assumptions!AP$72&lt;=$D$21+RetailDowntime,0,1)*$E$21*$B$21/12*INDEX(Cum_RetailRent,1,AP$77)*RenewalRentFactor)))</f>
        <v/>
      </c>
      <c r="AQ33" s="50">
        <f>IF(Assumptions!AQ$74=0,0,IF(Assumptions!AQ$72&lt;$C$21,0,IF(Assumptions!AQ$72&lt;=$D$21,$E$21*$B$21/12*(1+$F$21)^INT((Assumptions!AQ$72-$C$21)/12),IF(Assumptions!AQ$72&lt;=$D$21+RetailDowntime,0,1)*$E$21*$B$21/12*INDEX(Cum_RetailRent,1,AQ$77)*RenewalRentFactor)))</f>
        <v/>
      </c>
      <c r="AR33" s="50">
        <f>IF(Assumptions!AR$74=0,0,IF(Assumptions!AR$72&lt;$C$21,0,IF(Assumptions!AR$72&lt;=$D$21,$E$21*$B$21/12*(1+$F$21)^INT((Assumptions!AR$72-$C$21)/12),IF(Assumptions!AR$72&lt;=$D$21+RetailDowntime,0,1)*$E$21*$B$21/12*INDEX(Cum_RetailRent,1,AR$77)*RenewalRentFactor)))</f>
        <v/>
      </c>
      <c r="AS33" s="50">
        <f>IF(Assumptions!AS$74=0,0,IF(Assumptions!AS$72&lt;$C$21,0,IF(Assumptions!AS$72&lt;=$D$21,$E$21*$B$21/12*(1+$F$21)^INT((Assumptions!AS$72-$C$21)/12),IF(Assumptions!AS$72&lt;=$D$21+RetailDowntime,0,1)*$E$21*$B$21/12*INDEX(Cum_RetailRent,1,AS$77)*RenewalRentFactor)))</f>
        <v/>
      </c>
      <c r="AT33" s="50">
        <f>IF(Assumptions!AT$74=0,0,IF(Assumptions!AT$72&lt;$C$21,0,IF(Assumptions!AT$72&lt;=$D$21,$E$21*$B$21/12*(1+$F$21)^INT((Assumptions!AT$72-$C$21)/12),IF(Assumptions!AT$72&lt;=$D$21+RetailDowntime,0,1)*$E$21*$B$21/12*INDEX(Cum_RetailRent,1,AT$77)*RenewalRentFactor)))</f>
        <v/>
      </c>
      <c r="AU33" s="50">
        <f>IF(Assumptions!AU$74=0,0,IF(Assumptions!AU$72&lt;$C$21,0,IF(Assumptions!AU$72&lt;=$D$21,$E$21*$B$21/12*(1+$F$21)^INT((Assumptions!AU$72-$C$21)/12),IF(Assumptions!AU$72&lt;=$D$21+RetailDowntime,0,1)*$E$21*$B$21/12*INDEX(Cum_RetailRent,1,AU$77)*RenewalRentFactor)))</f>
        <v/>
      </c>
      <c r="AV33" s="50">
        <f>IF(Assumptions!AV$74=0,0,IF(Assumptions!AV$72&lt;$C$21,0,IF(Assumptions!AV$72&lt;=$D$21,$E$21*$B$21/12*(1+$F$21)^INT((Assumptions!AV$72-$C$21)/12),IF(Assumptions!AV$72&lt;=$D$21+RetailDowntime,0,1)*$E$21*$B$21/12*INDEX(Cum_RetailRent,1,AV$77)*RenewalRentFactor)))</f>
        <v/>
      </c>
      <c r="AW33" s="50">
        <f>IF(Assumptions!AW$74=0,0,IF(Assumptions!AW$72&lt;$C$21,0,IF(Assumptions!AW$72&lt;=$D$21,$E$21*$B$21/12*(1+$F$21)^INT((Assumptions!AW$72-$C$21)/12),IF(Assumptions!AW$72&lt;=$D$21+RetailDowntime,0,1)*$E$21*$B$21/12*INDEX(Cum_RetailRent,1,AW$77)*RenewalRentFactor)))</f>
        <v/>
      </c>
      <c r="AX33" s="50">
        <f>IF(Assumptions!AX$74=0,0,IF(Assumptions!AX$72&lt;$C$21,0,IF(Assumptions!AX$72&lt;=$D$21,$E$21*$B$21/12*(1+$F$21)^INT((Assumptions!AX$72-$C$21)/12),IF(Assumptions!AX$72&lt;=$D$21+RetailDowntime,0,1)*$E$21*$B$21/12*INDEX(Cum_RetailRent,1,AX$77)*RenewalRentFactor)))</f>
        <v/>
      </c>
      <c r="AY33" s="50">
        <f>IF(Assumptions!AY$74=0,0,IF(Assumptions!AY$72&lt;$C$21,0,IF(Assumptions!AY$72&lt;=$D$21,$E$21*$B$21/12*(1+$F$21)^INT((Assumptions!AY$72-$C$21)/12),IF(Assumptions!AY$72&lt;=$D$21+RetailDowntime,0,1)*$E$21*$B$21/12*INDEX(Cum_RetailRent,1,AY$77)*RenewalRentFactor)))</f>
        <v/>
      </c>
      <c r="AZ33" s="50">
        <f>IF(Assumptions!AZ$74=0,0,IF(Assumptions!AZ$72&lt;$C$21,0,IF(Assumptions!AZ$72&lt;=$D$21,$E$21*$B$21/12*(1+$F$21)^INT((Assumptions!AZ$72-$C$21)/12),IF(Assumptions!AZ$72&lt;=$D$21+RetailDowntime,0,1)*$E$21*$B$21/12*INDEX(Cum_RetailRent,1,AZ$77)*RenewalRentFactor)))</f>
        <v/>
      </c>
      <c r="BA33" s="50">
        <f>IF(Assumptions!BA$74=0,0,IF(Assumptions!BA$72&lt;$C$21,0,IF(Assumptions!BA$72&lt;=$D$21,$E$21*$B$21/12*(1+$F$21)^INT((Assumptions!BA$72-$C$21)/12),IF(Assumptions!BA$72&lt;=$D$21+RetailDowntime,0,1)*$E$21*$B$21/12*INDEX(Cum_RetailRent,1,BA$77)*RenewalRentFactor)))</f>
        <v/>
      </c>
      <c r="BB33" s="50">
        <f>IF(Assumptions!BB$74=0,0,IF(Assumptions!BB$72&lt;$C$21,0,IF(Assumptions!BB$72&lt;=$D$21,$E$21*$B$21/12*(1+$F$21)^INT((Assumptions!BB$72-$C$21)/12),IF(Assumptions!BB$72&lt;=$D$21+RetailDowntime,0,1)*$E$21*$B$21/12*INDEX(Cum_RetailRent,1,BB$77)*RenewalRentFactor)))</f>
        <v/>
      </c>
      <c r="BC33" s="50">
        <f>IF(Assumptions!BC$74=0,0,IF(Assumptions!BC$72&lt;$C$21,0,IF(Assumptions!BC$72&lt;=$D$21,$E$21*$B$21/12*(1+$F$21)^INT((Assumptions!BC$72-$C$21)/12),IF(Assumptions!BC$72&lt;=$D$21+RetailDowntime,0,1)*$E$21*$B$21/12*INDEX(Cum_RetailRent,1,BC$77)*RenewalRentFactor)))</f>
        <v/>
      </c>
      <c r="BD33" s="50">
        <f>IF(Assumptions!BD$74=0,0,IF(Assumptions!BD$72&lt;$C$21,0,IF(Assumptions!BD$72&lt;=$D$21,$E$21*$B$21/12*(1+$F$21)^INT((Assumptions!BD$72-$C$21)/12),IF(Assumptions!BD$72&lt;=$D$21+RetailDowntime,0,1)*$E$21*$B$21/12*INDEX(Cum_RetailRent,1,BD$77)*RenewalRentFactor)))</f>
        <v/>
      </c>
      <c r="BE33" s="50">
        <f>IF(Assumptions!BE$74=0,0,IF(Assumptions!BE$72&lt;$C$21,0,IF(Assumptions!BE$72&lt;=$D$21,$E$21*$B$21/12*(1+$F$21)^INT((Assumptions!BE$72-$C$21)/12),IF(Assumptions!BE$72&lt;=$D$21+RetailDowntime,0,1)*$E$21*$B$21/12*INDEX(Cum_RetailRent,1,BE$77)*RenewalRentFactor)))</f>
        <v/>
      </c>
      <c r="BF33" s="50">
        <f>IF(Assumptions!BF$74=0,0,IF(Assumptions!BF$72&lt;$C$21,0,IF(Assumptions!BF$72&lt;=$D$21,$E$21*$B$21/12*(1+$F$21)^INT((Assumptions!BF$72-$C$21)/12),IF(Assumptions!BF$72&lt;=$D$21+RetailDowntime,0,1)*$E$21*$B$21/12*INDEX(Cum_RetailRent,1,BF$77)*RenewalRentFactor)))</f>
        <v/>
      </c>
      <c r="BG33" s="50">
        <f>IF(Assumptions!BG$74=0,0,IF(Assumptions!BG$72&lt;$C$21,0,IF(Assumptions!BG$72&lt;=$D$21,$E$21*$B$21/12*(1+$F$21)^INT((Assumptions!BG$72-$C$21)/12),IF(Assumptions!BG$72&lt;=$D$21+RetailDowntime,0,1)*$E$21*$B$21/12*INDEX(Cum_RetailRent,1,BG$77)*RenewalRentFactor)))</f>
        <v/>
      </c>
      <c r="BH33" s="50">
        <f>IF(Assumptions!BH$74=0,0,IF(Assumptions!BH$72&lt;$C$21,0,IF(Assumptions!BH$72&lt;=$D$21,$E$21*$B$21/12*(1+$F$21)^INT((Assumptions!BH$72-$C$21)/12),IF(Assumptions!BH$72&lt;=$D$21+RetailDowntime,0,1)*$E$21*$B$21/12*INDEX(Cum_RetailRent,1,BH$77)*RenewalRentFactor)))</f>
        <v/>
      </c>
      <c r="BI33" s="50">
        <f>IF(Assumptions!BI$74=0,0,IF(Assumptions!BI$72&lt;$C$21,0,IF(Assumptions!BI$72&lt;=$D$21,$E$21*$B$21/12*(1+$F$21)^INT((Assumptions!BI$72-$C$21)/12),IF(Assumptions!BI$72&lt;=$D$21+RetailDowntime,0,1)*$E$21*$B$21/12*INDEX(Cum_RetailRent,1,BI$77)*RenewalRentFactor)))</f>
        <v/>
      </c>
      <c r="BJ33" s="50">
        <f>IF(Assumptions!BJ$74=0,0,IF(Assumptions!BJ$72&lt;$C$21,0,IF(Assumptions!BJ$72&lt;=$D$21,$E$21*$B$21/12*(1+$F$21)^INT((Assumptions!BJ$72-$C$21)/12),IF(Assumptions!BJ$72&lt;=$D$21+RetailDowntime,0,1)*$E$21*$B$21/12*INDEX(Cum_RetailRent,1,BJ$77)*RenewalRentFactor)))</f>
        <v/>
      </c>
      <c r="BK33" s="50">
        <f>IF(Assumptions!BK$74=0,0,IF(Assumptions!BK$72&lt;$C$21,0,IF(Assumptions!BK$72&lt;=$D$21,$E$21*$B$21/12*(1+$F$21)^INT((Assumptions!BK$72-$C$21)/12),IF(Assumptions!BK$72&lt;=$D$21+RetailDowntime,0,1)*$E$21*$B$21/12*INDEX(Cum_RetailRent,1,BK$77)*RenewalRentFactor)))</f>
        <v/>
      </c>
      <c r="BL33" s="50">
        <f>IF(Assumptions!BL$74=0,0,IF(Assumptions!BL$72&lt;$C$21,0,IF(Assumptions!BL$72&lt;=$D$21,$E$21*$B$21/12*(1+$F$21)^INT((Assumptions!BL$72-$C$21)/12),IF(Assumptions!BL$72&lt;=$D$21+RetailDowntime,0,1)*$E$21*$B$21/12*INDEX(Cum_RetailRent,1,BL$77)*RenewalRentFactor)))</f>
        <v/>
      </c>
      <c r="BM33" s="50">
        <f>IF(Assumptions!BM$74=0,0,IF(Assumptions!BM$72&lt;$C$21,0,IF(Assumptions!BM$72&lt;=$D$21,$E$21*$B$21/12*(1+$F$21)^INT((Assumptions!BM$72-$C$21)/12),IF(Assumptions!BM$72&lt;=$D$21+RetailDowntime,0,1)*$E$21*$B$21/12*INDEX(Cum_RetailRent,1,BM$77)*RenewalRentFactor)))</f>
        <v/>
      </c>
      <c r="BN33" s="50">
        <f>IF(Assumptions!BN$74=0,0,IF(Assumptions!BN$72&lt;$C$21,0,IF(Assumptions!BN$72&lt;=$D$21,$E$21*$B$21/12*(1+$F$21)^INT((Assumptions!BN$72-$C$21)/12),IF(Assumptions!BN$72&lt;=$D$21+RetailDowntime,0,1)*$E$21*$B$21/12*INDEX(Cum_RetailRent,1,BN$77)*RenewalRentFactor)))</f>
        <v/>
      </c>
      <c r="BO33" s="50">
        <f>IF(Assumptions!BO$74=0,0,IF(Assumptions!BO$72&lt;$C$21,0,IF(Assumptions!BO$72&lt;=$D$21,$E$21*$B$21/12*(1+$F$21)^INT((Assumptions!BO$72-$C$21)/12),IF(Assumptions!BO$72&lt;=$D$21+RetailDowntime,0,1)*$E$21*$B$21/12*INDEX(Cum_RetailRent,1,BO$77)*RenewalRentFactor)))</f>
        <v/>
      </c>
      <c r="BP33" s="50">
        <f>IF(Assumptions!BP$74=0,0,IF(Assumptions!BP$72&lt;$C$21,0,IF(Assumptions!BP$72&lt;=$D$21,$E$21*$B$21/12*(1+$F$21)^INT((Assumptions!BP$72-$C$21)/12),IF(Assumptions!BP$72&lt;=$D$21+RetailDowntime,0,1)*$E$21*$B$21/12*INDEX(Cum_RetailRent,1,BP$77)*RenewalRentFactor)))</f>
        <v/>
      </c>
      <c r="BQ33" s="50">
        <f>IF(Assumptions!BQ$74=0,0,IF(Assumptions!BQ$72&lt;$C$21,0,IF(Assumptions!BQ$72&lt;=$D$21,$E$21*$B$21/12*(1+$F$21)^INT((Assumptions!BQ$72-$C$21)/12),IF(Assumptions!BQ$72&lt;=$D$21+RetailDowntime,0,1)*$E$21*$B$21/12*INDEX(Cum_RetailRent,1,BQ$77)*RenewalRentFactor)))</f>
        <v/>
      </c>
      <c r="BR33" s="50">
        <f>IF(Assumptions!BR$74=0,0,IF(Assumptions!BR$72&lt;$C$21,0,IF(Assumptions!BR$72&lt;=$D$21,$E$21*$B$21/12*(1+$F$21)^INT((Assumptions!BR$72-$C$21)/12),IF(Assumptions!BR$72&lt;=$D$21+RetailDowntime,0,1)*$E$21*$B$21/12*INDEX(Cum_RetailRent,1,BR$77)*RenewalRentFactor)))</f>
        <v/>
      </c>
      <c r="BS33" s="50">
        <f>IF(Assumptions!BS$74=0,0,IF(Assumptions!BS$72&lt;$C$21,0,IF(Assumptions!BS$72&lt;=$D$21,$E$21*$B$21/12*(1+$F$21)^INT((Assumptions!BS$72-$C$21)/12),IF(Assumptions!BS$72&lt;=$D$21+RetailDowntime,0,1)*$E$21*$B$21/12*INDEX(Cum_RetailRent,1,BS$77)*RenewalRentFactor)))</f>
        <v/>
      </c>
      <c r="BT33" s="50">
        <f>IF(Assumptions!BT$74=0,0,IF(Assumptions!BT$72&lt;$C$21,0,IF(Assumptions!BT$72&lt;=$D$21,$E$21*$B$21/12*(1+$F$21)^INT((Assumptions!BT$72-$C$21)/12),IF(Assumptions!BT$72&lt;=$D$21+RetailDowntime,0,1)*$E$21*$B$21/12*INDEX(Cum_RetailRent,1,BT$77)*RenewalRentFactor)))</f>
        <v/>
      </c>
      <c r="BU33" s="50">
        <f>IF(Assumptions!BU$74=0,0,IF(Assumptions!BU$72&lt;$C$21,0,IF(Assumptions!BU$72&lt;=$D$21,$E$21*$B$21/12*(1+$F$21)^INT((Assumptions!BU$72-$C$21)/12),IF(Assumptions!BU$72&lt;=$D$21+RetailDowntime,0,1)*$E$21*$B$21/12*INDEX(Cum_RetailRent,1,BU$77)*RenewalRentFactor)))</f>
        <v/>
      </c>
      <c r="BV33" s="50">
        <f>IF(Assumptions!BV$74=0,0,IF(Assumptions!BV$72&lt;$C$21,0,IF(Assumptions!BV$72&lt;=$D$21,$E$21*$B$21/12*(1+$F$21)^INT((Assumptions!BV$72-$C$21)/12),IF(Assumptions!BV$72&lt;=$D$21+RetailDowntime,0,1)*$E$21*$B$21/12*INDEX(Cum_RetailRent,1,BV$77)*RenewalRentFactor)))</f>
        <v/>
      </c>
      <c r="BW33" s="50">
        <f>IF(Assumptions!BW$74=0,0,IF(Assumptions!BW$72&lt;$C$21,0,IF(Assumptions!BW$72&lt;=$D$21,$E$21*$B$21/12*(1+$F$21)^INT((Assumptions!BW$72-$C$21)/12),IF(Assumptions!BW$72&lt;=$D$21+RetailDowntime,0,1)*$E$21*$B$21/12*INDEX(Cum_RetailRent,1,BW$77)*RenewalRentFactor)))</f>
        <v/>
      </c>
      <c r="BX33" s="50">
        <f>IF(Assumptions!BX$74=0,0,IF(Assumptions!BX$72&lt;$C$21,0,IF(Assumptions!BX$72&lt;=$D$21,$E$21*$B$21/12*(1+$F$21)^INT((Assumptions!BX$72-$C$21)/12),IF(Assumptions!BX$72&lt;=$D$21+RetailDowntime,0,1)*$E$21*$B$21/12*INDEX(Cum_RetailRent,1,BX$77)*RenewalRentFactor)))</f>
        <v/>
      </c>
      <c r="BY33" s="50">
        <f>IF(Assumptions!BY$74=0,0,IF(Assumptions!BY$72&lt;$C$21,0,IF(Assumptions!BY$72&lt;=$D$21,$E$21*$B$21/12*(1+$F$21)^INT((Assumptions!BY$72-$C$21)/12),IF(Assumptions!BY$72&lt;=$D$21+RetailDowntime,0,1)*$E$21*$B$21/12*INDEX(Cum_RetailRent,1,BY$77)*RenewalRentFactor)))</f>
        <v/>
      </c>
      <c r="BZ33" s="50">
        <f>IF(Assumptions!BZ$74=0,0,IF(Assumptions!BZ$72&lt;$C$21,0,IF(Assumptions!BZ$72&lt;=$D$21,$E$21*$B$21/12*(1+$F$21)^INT((Assumptions!BZ$72-$C$21)/12),IF(Assumptions!BZ$72&lt;=$D$21+RetailDowntime,0,1)*$E$21*$B$21/12*INDEX(Cum_RetailRent,1,BZ$77)*RenewalRentFactor)))</f>
        <v/>
      </c>
      <c r="CA33" s="50">
        <f>IF(Assumptions!CA$74=0,0,IF(Assumptions!CA$72&lt;$C$21,0,IF(Assumptions!CA$72&lt;=$D$21,$E$21*$B$21/12*(1+$F$21)^INT((Assumptions!CA$72-$C$21)/12),IF(Assumptions!CA$72&lt;=$D$21+RetailDowntime,0,1)*$E$21*$B$21/12*INDEX(Cum_RetailRent,1,CA$77)*RenewalRentFactor)))</f>
        <v/>
      </c>
      <c r="CB33" s="50">
        <f>IF(Assumptions!CB$74=0,0,IF(Assumptions!CB$72&lt;$C$21,0,IF(Assumptions!CB$72&lt;=$D$21,$E$21*$B$21/12*(1+$F$21)^INT((Assumptions!CB$72-$C$21)/12),IF(Assumptions!CB$72&lt;=$D$21+RetailDowntime,0,1)*$E$21*$B$21/12*INDEX(Cum_RetailRent,1,CB$77)*RenewalRentFactor)))</f>
        <v/>
      </c>
      <c r="CC33" s="50">
        <f>IF(Assumptions!CC$74=0,0,IF(Assumptions!CC$72&lt;$C$21,0,IF(Assumptions!CC$72&lt;=$D$21,$E$21*$B$21/12*(1+$F$21)^INT((Assumptions!CC$72-$C$21)/12),IF(Assumptions!CC$72&lt;=$D$21+RetailDowntime,0,1)*$E$21*$B$21/12*INDEX(Cum_RetailRent,1,CC$77)*RenewalRentFactor)))</f>
        <v/>
      </c>
      <c r="CD33" s="50">
        <f>IF(Assumptions!CD$74=0,0,IF(Assumptions!CD$72&lt;$C$21,0,IF(Assumptions!CD$72&lt;=$D$21,$E$21*$B$21/12*(1+$F$21)^INT((Assumptions!CD$72-$C$21)/12),IF(Assumptions!CD$72&lt;=$D$21+RetailDowntime,0,1)*$E$21*$B$21/12*INDEX(Cum_RetailRent,1,CD$77)*RenewalRentFactor)))</f>
        <v/>
      </c>
      <c r="CE33" s="50">
        <f>IF(Assumptions!CE$74=0,0,IF(Assumptions!CE$72&lt;$C$21,0,IF(Assumptions!CE$72&lt;=$D$21,$E$21*$B$21/12*(1+$F$21)^INT((Assumptions!CE$72-$C$21)/12),IF(Assumptions!CE$72&lt;=$D$21+RetailDowntime,0,1)*$E$21*$B$21/12*INDEX(Cum_RetailRent,1,CE$77)*RenewalRentFactor)))</f>
        <v/>
      </c>
      <c r="CF33" s="50">
        <f>IF(Assumptions!CF$74=0,0,IF(Assumptions!CF$72&lt;$C$21,0,IF(Assumptions!CF$72&lt;=$D$21,$E$21*$B$21/12*(1+$F$21)^INT((Assumptions!CF$72-$C$21)/12),IF(Assumptions!CF$72&lt;=$D$21+RetailDowntime,0,1)*$E$21*$B$21/12*INDEX(Cum_RetailRent,1,CF$77)*RenewalRentFactor)))</f>
        <v/>
      </c>
      <c r="CG33" s="50">
        <f>IF(Assumptions!CG$74=0,0,IF(Assumptions!CG$72&lt;$C$21,0,IF(Assumptions!CG$72&lt;=$D$21,$E$21*$B$21/12*(1+$F$21)^INT((Assumptions!CG$72-$C$21)/12),IF(Assumptions!CG$72&lt;=$D$21+RetailDowntime,0,1)*$E$21*$B$21/12*INDEX(Cum_RetailRent,1,CG$77)*RenewalRentFactor)))</f>
        <v/>
      </c>
      <c r="CH33" s="50">
        <f>IF(Assumptions!CH$74=0,0,IF(Assumptions!CH$72&lt;$C$21,0,IF(Assumptions!CH$72&lt;=$D$21,$E$21*$B$21/12*(1+$F$21)^INT((Assumptions!CH$72-$C$21)/12),IF(Assumptions!CH$72&lt;=$D$21+RetailDowntime,0,1)*$E$21*$B$21/12*INDEX(Cum_RetailRent,1,CH$77)*RenewalRentFactor)))</f>
        <v/>
      </c>
      <c r="CI33" s="50">
        <f>IF(Assumptions!CI$74=0,0,IF(Assumptions!CI$72&lt;$C$21,0,IF(Assumptions!CI$72&lt;=$D$21,$E$21*$B$21/12*(1+$F$21)^INT((Assumptions!CI$72-$C$21)/12),IF(Assumptions!CI$72&lt;=$D$21+RetailDowntime,0,1)*$E$21*$B$21/12*INDEX(Cum_RetailRent,1,CI$77)*RenewalRentFactor)))</f>
        <v/>
      </c>
      <c r="CJ33" s="50">
        <f>IF(Assumptions!CJ$74=0,0,IF(Assumptions!CJ$72&lt;$C$21,0,IF(Assumptions!CJ$72&lt;=$D$21,$E$21*$B$21/12*(1+$F$21)^INT((Assumptions!CJ$72-$C$21)/12),IF(Assumptions!CJ$72&lt;=$D$21+RetailDowntime,0,1)*$E$21*$B$21/12*INDEX(Cum_RetailRent,1,CJ$77)*RenewalRentFactor)))</f>
        <v/>
      </c>
      <c r="CK33" s="50">
        <f>IF(Assumptions!CK$74=0,0,IF(Assumptions!CK$72&lt;$C$21,0,IF(Assumptions!CK$72&lt;=$D$21,$E$21*$B$21/12*(1+$F$21)^INT((Assumptions!CK$72-$C$21)/12),IF(Assumptions!CK$72&lt;=$D$21+RetailDowntime,0,1)*$E$21*$B$21/12*INDEX(Cum_RetailRent,1,CK$77)*RenewalRentFactor)))</f>
        <v/>
      </c>
      <c r="CL33" s="50">
        <f>IF(Assumptions!CL$74=0,0,IF(Assumptions!CL$72&lt;$C$21,0,IF(Assumptions!CL$72&lt;=$D$21,$E$21*$B$21/12*(1+$F$21)^INT((Assumptions!CL$72-$C$21)/12),IF(Assumptions!CL$72&lt;=$D$21+RetailDowntime,0,1)*$E$21*$B$21/12*INDEX(Cum_RetailRent,1,CL$77)*RenewalRentFactor)))</f>
        <v/>
      </c>
      <c r="CM33" s="50">
        <f>IF(Assumptions!CM$74=0,0,IF(Assumptions!CM$72&lt;$C$21,0,IF(Assumptions!CM$72&lt;=$D$21,$E$21*$B$21/12*(1+$F$21)^INT((Assumptions!CM$72-$C$21)/12),IF(Assumptions!CM$72&lt;=$D$21+RetailDowntime,0,1)*$E$21*$B$21/12*INDEX(Cum_RetailRent,1,CM$77)*RenewalRentFactor)))</f>
        <v/>
      </c>
      <c r="CN33" s="50">
        <f>IF(Assumptions!CN$74=0,0,IF(Assumptions!CN$72&lt;$C$21,0,IF(Assumptions!CN$72&lt;=$D$21,$E$21*$B$21/12*(1+$F$21)^INT((Assumptions!CN$72-$C$21)/12),IF(Assumptions!CN$72&lt;=$D$21+RetailDowntime,0,1)*$E$21*$B$21/12*INDEX(Cum_RetailRent,1,CN$77)*RenewalRentFactor)))</f>
        <v/>
      </c>
      <c r="CO33" s="50">
        <f>IF(Assumptions!CO$74=0,0,IF(Assumptions!CO$72&lt;$C$21,0,IF(Assumptions!CO$72&lt;=$D$21,$E$21*$B$21/12*(1+$F$21)^INT((Assumptions!CO$72-$C$21)/12),IF(Assumptions!CO$72&lt;=$D$21+RetailDowntime,0,1)*$E$21*$B$21/12*INDEX(Cum_RetailRent,1,CO$77)*RenewalRentFactor)))</f>
        <v/>
      </c>
      <c r="CP33" s="50">
        <f>IF(Assumptions!CP$74=0,0,IF(Assumptions!CP$72&lt;$C$21,0,IF(Assumptions!CP$72&lt;=$D$21,$E$21*$B$21/12*(1+$F$21)^INT((Assumptions!CP$72-$C$21)/12),IF(Assumptions!CP$72&lt;=$D$21+RetailDowntime,0,1)*$E$21*$B$21/12*INDEX(Cum_RetailRent,1,CP$77)*RenewalRentFactor)))</f>
        <v/>
      </c>
      <c r="CQ33" s="50">
        <f>IF(Assumptions!CQ$74=0,0,IF(Assumptions!CQ$72&lt;$C$21,0,IF(Assumptions!CQ$72&lt;=$D$21,$E$21*$B$21/12*(1+$F$21)^INT((Assumptions!CQ$72-$C$21)/12),IF(Assumptions!CQ$72&lt;=$D$21+RetailDowntime,0,1)*$E$21*$B$21/12*INDEX(Cum_RetailRent,1,CQ$77)*RenewalRentFactor)))</f>
        <v/>
      </c>
      <c r="CR33" s="50">
        <f>IF(Assumptions!CR$74=0,0,IF(Assumptions!CR$72&lt;$C$21,0,IF(Assumptions!CR$72&lt;=$D$21,$E$21*$B$21/12*(1+$F$21)^INT((Assumptions!CR$72-$C$21)/12),IF(Assumptions!CR$72&lt;=$D$21+RetailDowntime,0,1)*$E$21*$B$21/12*INDEX(Cum_RetailRent,1,CR$77)*RenewalRentFactor)))</f>
        <v/>
      </c>
      <c r="CS33" s="50">
        <f>IF(Assumptions!CS$74=0,0,IF(Assumptions!CS$72&lt;$C$21,0,IF(Assumptions!CS$72&lt;=$D$21,$E$21*$B$21/12*(1+$F$21)^INT((Assumptions!CS$72-$C$21)/12),IF(Assumptions!CS$72&lt;=$D$21+RetailDowntime,0,1)*$E$21*$B$21/12*INDEX(Cum_RetailRent,1,CS$77)*RenewalRentFactor)))</f>
        <v/>
      </c>
      <c r="CT33" s="50">
        <f>IF(Assumptions!CT$74=0,0,IF(Assumptions!CT$72&lt;$C$21,0,IF(Assumptions!CT$72&lt;=$D$21,$E$21*$B$21/12*(1+$F$21)^INT((Assumptions!CT$72-$C$21)/12),IF(Assumptions!CT$72&lt;=$D$21+RetailDowntime,0,1)*$E$21*$B$21/12*INDEX(Cum_RetailRent,1,CT$77)*RenewalRentFactor)))</f>
        <v/>
      </c>
      <c r="CU33" s="50">
        <f>IF(Assumptions!CU$74=0,0,IF(Assumptions!CU$72&lt;$C$21,0,IF(Assumptions!CU$72&lt;=$D$21,$E$21*$B$21/12*(1+$F$21)^INT((Assumptions!CU$72-$C$21)/12),IF(Assumptions!CU$72&lt;=$D$21+RetailDowntime,0,1)*$E$21*$B$21/12*INDEX(Cum_RetailRent,1,CU$77)*RenewalRentFactor)))</f>
        <v/>
      </c>
      <c r="CV33" s="50">
        <f>IF(Assumptions!CV$74=0,0,IF(Assumptions!CV$72&lt;$C$21,0,IF(Assumptions!CV$72&lt;=$D$21,$E$21*$B$21/12*(1+$F$21)^INT((Assumptions!CV$72-$C$21)/12),IF(Assumptions!CV$72&lt;=$D$21+RetailDowntime,0,1)*$E$21*$B$21/12*INDEX(Cum_RetailRent,1,CV$77)*RenewalRentFactor)))</f>
        <v/>
      </c>
      <c r="CW33" s="50">
        <f>IF(Assumptions!CW$74=0,0,IF(Assumptions!CW$72&lt;$C$21,0,IF(Assumptions!CW$72&lt;=$D$21,$E$21*$B$21/12*(1+$F$21)^INT((Assumptions!CW$72-$C$21)/12),IF(Assumptions!CW$72&lt;=$D$21+RetailDowntime,0,1)*$E$21*$B$21/12*INDEX(Cum_RetailRent,1,CW$77)*RenewalRentFactor)))</f>
        <v/>
      </c>
      <c r="CX33" s="50">
        <f>IF(Assumptions!CX$74=0,0,IF(Assumptions!CX$72&lt;$C$21,0,IF(Assumptions!CX$72&lt;=$D$21,$E$21*$B$21/12*(1+$F$21)^INT((Assumptions!CX$72-$C$21)/12),IF(Assumptions!CX$72&lt;=$D$21+RetailDowntime,0,1)*$E$21*$B$21/12*INDEX(Cum_RetailRent,1,CX$77)*RenewalRentFactor)))</f>
        <v/>
      </c>
      <c r="CY33" s="50">
        <f>IF(Assumptions!CY$74=0,0,IF(Assumptions!CY$72&lt;$C$21,0,IF(Assumptions!CY$72&lt;=$D$21,$E$21*$B$21/12*(1+$F$21)^INT((Assumptions!CY$72-$C$21)/12),IF(Assumptions!CY$72&lt;=$D$21+RetailDowntime,0,1)*$E$21*$B$21/12*INDEX(Cum_RetailRent,1,CY$77)*RenewalRentFactor)))</f>
        <v/>
      </c>
      <c r="CZ33" s="50">
        <f>IF(Assumptions!CZ$74=0,0,IF(Assumptions!CZ$72&lt;$C$21,0,IF(Assumptions!CZ$72&lt;=$D$21,$E$21*$B$21/12*(1+$F$21)^INT((Assumptions!CZ$72-$C$21)/12),IF(Assumptions!CZ$72&lt;=$D$21+RetailDowntime,0,1)*$E$21*$B$21/12*INDEX(Cum_RetailRent,1,CZ$77)*RenewalRentFactor)))</f>
        <v/>
      </c>
      <c r="DA33" s="50">
        <f>IF(Assumptions!DA$74=0,0,IF(Assumptions!DA$72&lt;$C$21,0,IF(Assumptions!DA$72&lt;=$D$21,$E$21*$B$21/12*(1+$F$21)^INT((Assumptions!DA$72-$C$21)/12),IF(Assumptions!DA$72&lt;=$D$21+RetailDowntime,0,1)*$E$21*$B$21/12*INDEX(Cum_RetailRent,1,DA$77)*RenewalRentFactor)))</f>
        <v/>
      </c>
      <c r="DB33" s="50">
        <f>IF(Assumptions!DB$74=0,0,IF(Assumptions!DB$72&lt;$C$21,0,IF(Assumptions!DB$72&lt;=$D$21,$E$21*$B$21/12*(1+$F$21)^INT((Assumptions!DB$72-$C$21)/12),IF(Assumptions!DB$72&lt;=$D$21+RetailDowntime,0,1)*$E$21*$B$21/12*INDEX(Cum_RetailRent,1,DB$77)*RenewalRentFactor)))</f>
        <v/>
      </c>
      <c r="DC33" s="50">
        <f>IF(Assumptions!DC$74=0,0,IF(Assumptions!DC$72&lt;$C$21,0,IF(Assumptions!DC$72&lt;=$D$21,$E$21*$B$21/12*(1+$F$21)^INT((Assumptions!DC$72-$C$21)/12),IF(Assumptions!DC$72&lt;=$D$21+RetailDowntime,0,1)*$E$21*$B$21/12*INDEX(Cum_RetailRent,1,DC$77)*RenewalRentFactor)))</f>
        <v/>
      </c>
      <c r="DD33" s="50">
        <f>IF(Assumptions!DD$74=0,0,IF(Assumptions!DD$72&lt;$C$21,0,IF(Assumptions!DD$72&lt;=$D$21,$E$21*$B$21/12*(1+$F$21)^INT((Assumptions!DD$72-$C$21)/12),IF(Assumptions!DD$72&lt;=$D$21+RetailDowntime,0,1)*$E$21*$B$21/12*INDEX(Cum_RetailRent,1,DD$77)*RenewalRentFactor)))</f>
        <v/>
      </c>
      <c r="DE33" s="50">
        <f>IF(Assumptions!DE$74=0,0,IF(Assumptions!DE$72&lt;$C$21,0,IF(Assumptions!DE$72&lt;=$D$21,$E$21*$B$21/12*(1+$F$21)^INT((Assumptions!DE$72-$C$21)/12),IF(Assumptions!DE$72&lt;=$D$21+RetailDowntime,0,1)*$E$21*$B$21/12*INDEX(Cum_RetailRent,1,DE$77)*RenewalRentFactor)))</f>
        <v/>
      </c>
      <c r="DF33" s="50">
        <f>IF(Assumptions!DF$74=0,0,IF(Assumptions!DF$72&lt;$C$21,0,IF(Assumptions!DF$72&lt;=$D$21,$E$21*$B$21/12*(1+$F$21)^INT((Assumptions!DF$72-$C$21)/12),IF(Assumptions!DF$72&lt;=$D$21+RetailDowntime,0,1)*$E$21*$B$21/12*INDEX(Cum_RetailRent,1,DF$77)*RenewalRentFactor)))</f>
        <v/>
      </c>
      <c r="DG33" s="50">
        <f>IF(Assumptions!DG$74=0,0,IF(Assumptions!DG$72&lt;$C$21,0,IF(Assumptions!DG$72&lt;=$D$21,$E$21*$B$21/12*(1+$F$21)^INT((Assumptions!DG$72-$C$21)/12),IF(Assumptions!DG$72&lt;=$D$21+RetailDowntime,0,1)*$E$21*$B$21/12*INDEX(Cum_RetailRent,1,DG$77)*RenewalRentFactor)))</f>
        <v/>
      </c>
      <c r="DH33" s="50">
        <f>IF(Assumptions!DH$74=0,0,IF(Assumptions!DH$72&lt;$C$21,0,IF(Assumptions!DH$72&lt;=$D$21,$E$21*$B$21/12*(1+$F$21)^INT((Assumptions!DH$72-$C$21)/12),IF(Assumptions!DH$72&lt;=$D$21+RetailDowntime,0,1)*$E$21*$B$21/12*INDEX(Cum_RetailRent,1,DH$77)*RenewalRentFactor)))</f>
        <v/>
      </c>
      <c r="DI33" s="50">
        <f>IF(Assumptions!DI$74=0,0,IF(Assumptions!DI$72&lt;$C$21,0,IF(Assumptions!DI$72&lt;=$D$21,$E$21*$B$21/12*(1+$F$21)^INT((Assumptions!DI$72-$C$21)/12),IF(Assumptions!DI$72&lt;=$D$21+RetailDowntime,0,1)*$E$21*$B$21/12*INDEX(Cum_RetailRent,1,DI$77)*RenewalRentFactor)))</f>
        <v/>
      </c>
      <c r="DJ33" s="50">
        <f>IF(Assumptions!DJ$74=0,0,IF(Assumptions!DJ$72&lt;$C$21,0,IF(Assumptions!DJ$72&lt;=$D$21,$E$21*$B$21/12*(1+$F$21)^INT((Assumptions!DJ$72-$C$21)/12),IF(Assumptions!DJ$72&lt;=$D$21+RetailDowntime,0,1)*$E$21*$B$21/12*INDEX(Cum_RetailRent,1,DJ$77)*RenewalRentFactor)))</f>
        <v/>
      </c>
      <c r="DK33" s="50">
        <f>IF(Assumptions!DK$74=0,0,IF(Assumptions!DK$72&lt;$C$21,0,IF(Assumptions!DK$72&lt;=$D$21,$E$21*$B$21/12*(1+$F$21)^INT((Assumptions!DK$72-$C$21)/12),IF(Assumptions!DK$72&lt;=$D$21+RetailDowntime,0,1)*$E$21*$B$21/12*INDEX(Cum_RetailRent,1,DK$77)*RenewalRentFactor)))</f>
        <v/>
      </c>
      <c r="DL33" s="50">
        <f>IF(Assumptions!DL$74=0,0,IF(Assumptions!DL$72&lt;$C$21,0,IF(Assumptions!DL$72&lt;=$D$21,$E$21*$B$21/12*(1+$F$21)^INT((Assumptions!DL$72-$C$21)/12),IF(Assumptions!DL$72&lt;=$D$21+RetailDowntime,0,1)*$E$21*$B$21/12*INDEX(Cum_RetailRent,1,DL$77)*RenewalRentFactor)))</f>
        <v/>
      </c>
      <c r="DM33" s="50">
        <f>IF(Assumptions!DM$74=0,0,IF(Assumptions!DM$72&lt;$C$21,0,IF(Assumptions!DM$72&lt;=$D$21,$E$21*$B$21/12*(1+$F$21)^INT((Assumptions!DM$72-$C$21)/12),IF(Assumptions!DM$72&lt;=$D$21+RetailDowntime,0,1)*$E$21*$B$21/12*INDEX(Cum_RetailRent,1,DM$77)*RenewalRentFactor)))</f>
        <v/>
      </c>
      <c r="DN33" s="50">
        <f>IF(Assumptions!DN$74=0,0,IF(Assumptions!DN$72&lt;$C$21,0,IF(Assumptions!DN$72&lt;=$D$21,$E$21*$B$21/12*(1+$F$21)^INT((Assumptions!DN$72-$C$21)/12),IF(Assumptions!DN$72&lt;=$D$21+RetailDowntime,0,1)*$E$21*$B$21/12*INDEX(Cum_RetailRent,1,DN$77)*RenewalRentFactor)))</f>
        <v/>
      </c>
      <c r="DO33" s="50">
        <f>IF(Assumptions!DO$74=0,0,IF(Assumptions!DO$72&lt;$C$21,0,IF(Assumptions!DO$72&lt;=$D$21,$E$21*$B$21/12*(1+$F$21)^INT((Assumptions!DO$72-$C$21)/12),IF(Assumptions!DO$72&lt;=$D$21+RetailDowntime,0,1)*$E$21*$B$21/12*INDEX(Cum_RetailRent,1,DO$77)*RenewalRentFactor)))</f>
        <v/>
      </c>
      <c r="DP33" s="50">
        <f>IF(Assumptions!DP$74=0,0,IF(Assumptions!DP$72&lt;$C$21,0,IF(Assumptions!DP$72&lt;=$D$21,$E$21*$B$21/12*(1+$F$21)^INT((Assumptions!DP$72-$C$21)/12),IF(Assumptions!DP$72&lt;=$D$21+RetailDowntime,0,1)*$E$21*$B$21/12*INDEX(Cum_RetailRent,1,DP$77)*RenewalRentFactor)))</f>
        <v/>
      </c>
      <c r="DQ33" s="50">
        <f>IF(Assumptions!DQ$74=0,0,IF(Assumptions!DQ$72&lt;$C$21,0,IF(Assumptions!DQ$72&lt;=$D$21,$E$21*$B$21/12*(1+$F$21)^INT((Assumptions!DQ$72-$C$21)/12),IF(Assumptions!DQ$72&lt;=$D$21+RetailDowntime,0,1)*$E$21*$B$21/12*INDEX(Cum_RetailRent,1,DQ$77)*RenewalRentFactor)))</f>
        <v/>
      </c>
      <c r="DR33" s="50">
        <f>IF(Assumptions!DR$74=0,0,IF(Assumptions!DR$72&lt;$C$21,0,IF(Assumptions!DR$72&lt;=$D$21,$E$21*$B$21/12*(1+$F$21)^INT((Assumptions!DR$72-$C$21)/12),IF(Assumptions!DR$72&lt;=$D$21+RetailDowntime,0,1)*$E$21*$B$21/12*INDEX(Cum_RetailRent,1,DR$77)*RenewalRentFactor)))</f>
        <v/>
      </c>
      <c r="DS33" s="50">
        <f>IF(Assumptions!DS$74=0,0,IF(Assumptions!DS$72&lt;$C$21,0,IF(Assumptions!DS$72&lt;=$D$21,$E$21*$B$21/12*(1+$F$21)^INT((Assumptions!DS$72-$C$21)/12),IF(Assumptions!DS$72&lt;=$D$21+RetailDowntime,0,1)*$E$21*$B$21/12*INDEX(Cum_RetailRent,1,DS$77)*RenewalRentFactor)))</f>
        <v/>
      </c>
      <c r="DT33" s="50">
        <f>IF(Assumptions!DT$74=0,0,IF(Assumptions!DT$72&lt;$C$21,0,IF(Assumptions!DT$72&lt;=$D$21,$E$21*$B$21/12*(1+$F$21)^INT((Assumptions!DT$72-$C$21)/12),IF(Assumptions!DT$72&lt;=$D$21+RetailDowntime,0,1)*$E$21*$B$21/12*INDEX(Cum_RetailRent,1,DT$77)*RenewalRentFactor)))</f>
        <v/>
      </c>
    </row>
    <row r="34">
      <c r="A34" s="10" t="inlineStr">
        <is>
          <t xml:space="preserve">  Restaurant</t>
        </is>
      </c>
      <c r="E34" s="50">
        <f>IF(Assumptions!E$74=0,0,IF(Assumptions!E$72&lt;$C$22,0,IF(Assumptions!E$72&lt;=$D$22,$E$22*$B$22/12*(1+$F$22)^INT((Assumptions!E$72-$C$22)/12),IF(Assumptions!E$72&lt;=$D$22+RetailDowntime,0,1)*$E$22*$B$22/12*INDEX(Cum_RetailRent,1,E$77)*RenewalRentFactor)))</f>
        <v/>
      </c>
      <c r="F34" s="50">
        <f>IF(Assumptions!F$74=0,0,IF(Assumptions!F$72&lt;$C$22,0,IF(Assumptions!F$72&lt;=$D$22,$E$22*$B$22/12*(1+$F$22)^INT((Assumptions!F$72-$C$22)/12),IF(Assumptions!F$72&lt;=$D$22+RetailDowntime,0,1)*$E$22*$B$22/12*INDEX(Cum_RetailRent,1,F$77)*RenewalRentFactor)))</f>
        <v/>
      </c>
      <c r="G34" s="50">
        <f>IF(Assumptions!G$74=0,0,IF(Assumptions!G$72&lt;$C$22,0,IF(Assumptions!G$72&lt;=$D$22,$E$22*$B$22/12*(1+$F$22)^INT((Assumptions!G$72-$C$22)/12),IF(Assumptions!G$72&lt;=$D$22+RetailDowntime,0,1)*$E$22*$B$22/12*INDEX(Cum_RetailRent,1,G$77)*RenewalRentFactor)))</f>
        <v/>
      </c>
      <c r="H34" s="50">
        <f>IF(Assumptions!H$74=0,0,IF(Assumptions!H$72&lt;$C$22,0,IF(Assumptions!H$72&lt;=$D$22,$E$22*$B$22/12*(1+$F$22)^INT((Assumptions!H$72-$C$22)/12),IF(Assumptions!H$72&lt;=$D$22+RetailDowntime,0,1)*$E$22*$B$22/12*INDEX(Cum_RetailRent,1,H$77)*RenewalRentFactor)))</f>
        <v/>
      </c>
      <c r="I34" s="50">
        <f>IF(Assumptions!I$74=0,0,IF(Assumptions!I$72&lt;$C$22,0,IF(Assumptions!I$72&lt;=$D$22,$E$22*$B$22/12*(1+$F$22)^INT((Assumptions!I$72-$C$22)/12),IF(Assumptions!I$72&lt;=$D$22+RetailDowntime,0,1)*$E$22*$B$22/12*INDEX(Cum_RetailRent,1,I$77)*RenewalRentFactor)))</f>
        <v/>
      </c>
      <c r="J34" s="50">
        <f>IF(Assumptions!J$74=0,0,IF(Assumptions!J$72&lt;$C$22,0,IF(Assumptions!J$72&lt;=$D$22,$E$22*$B$22/12*(1+$F$22)^INT((Assumptions!J$72-$C$22)/12),IF(Assumptions!J$72&lt;=$D$22+RetailDowntime,0,1)*$E$22*$B$22/12*INDEX(Cum_RetailRent,1,J$77)*RenewalRentFactor)))</f>
        <v/>
      </c>
      <c r="K34" s="50">
        <f>IF(Assumptions!K$74=0,0,IF(Assumptions!K$72&lt;$C$22,0,IF(Assumptions!K$72&lt;=$D$22,$E$22*$B$22/12*(1+$F$22)^INT((Assumptions!K$72-$C$22)/12),IF(Assumptions!K$72&lt;=$D$22+RetailDowntime,0,1)*$E$22*$B$22/12*INDEX(Cum_RetailRent,1,K$77)*RenewalRentFactor)))</f>
        <v/>
      </c>
      <c r="L34" s="50">
        <f>IF(Assumptions!L$74=0,0,IF(Assumptions!L$72&lt;$C$22,0,IF(Assumptions!L$72&lt;=$D$22,$E$22*$B$22/12*(1+$F$22)^INT((Assumptions!L$72-$C$22)/12),IF(Assumptions!L$72&lt;=$D$22+RetailDowntime,0,1)*$E$22*$B$22/12*INDEX(Cum_RetailRent,1,L$77)*RenewalRentFactor)))</f>
        <v/>
      </c>
      <c r="M34" s="50">
        <f>IF(Assumptions!M$74=0,0,IF(Assumptions!M$72&lt;$C$22,0,IF(Assumptions!M$72&lt;=$D$22,$E$22*$B$22/12*(1+$F$22)^INT((Assumptions!M$72-$C$22)/12),IF(Assumptions!M$72&lt;=$D$22+RetailDowntime,0,1)*$E$22*$B$22/12*INDEX(Cum_RetailRent,1,M$77)*RenewalRentFactor)))</f>
        <v/>
      </c>
      <c r="N34" s="50">
        <f>IF(Assumptions!N$74=0,0,IF(Assumptions!N$72&lt;$C$22,0,IF(Assumptions!N$72&lt;=$D$22,$E$22*$B$22/12*(1+$F$22)^INT((Assumptions!N$72-$C$22)/12),IF(Assumptions!N$72&lt;=$D$22+RetailDowntime,0,1)*$E$22*$B$22/12*INDEX(Cum_RetailRent,1,N$77)*RenewalRentFactor)))</f>
        <v/>
      </c>
      <c r="O34" s="50">
        <f>IF(Assumptions!O$74=0,0,IF(Assumptions!O$72&lt;$C$22,0,IF(Assumptions!O$72&lt;=$D$22,$E$22*$B$22/12*(1+$F$22)^INT((Assumptions!O$72-$C$22)/12),IF(Assumptions!O$72&lt;=$D$22+RetailDowntime,0,1)*$E$22*$B$22/12*INDEX(Cum_RetailRent,1,O$77)*RenewalRentFactor)))</f>
        <v/>
      </c>
      <c r="P34" s="50">
        <f>IF(Assumptions!P$74=0,0,IF(Assumptions!P$72&lt;$C$22,0,IF(Assumptions!P$72&lt;=$D$22,$E$22*$B$22/12*(1+$F$22)^INT((Assumptions!P$72-$C$22)/12),IF(Assumptions!P$72&lt;=$D$22+RetailDowntime,0,1)*$E$22*$B$22/12*INDEX(Cum_RetailRent,1,P$77)*RenewalRentFactor)))</f>
        <v/>
      </c>
      <c r="Q34" s="50">
        <f>IF(Assumptions!Q$74=0,0,IF(Assumptions!Q$72&lt;$C$22,0,IF(Assumptions!Q$72&lt;=$D$22,$E$22*$B$22/12*(1+$F$22)^INT((Assumptions!Q$72-$C$22)/12),IF(Assumptions!Q$72&lt;=$D$22+RetailDowntime,0,1)*$E$22*$B$22/12*INDEX(Cum_RetailRent,1,Q$77)*RenewalRentFactor)))</f>
        <v/>
      </c>
      <c r="R34" s="50">
        <f>IF(Assumptions!R$74=0,0,IF(Assumptions!R$72&lt;$C$22,0,IF(Assumptions!R$72&lt;=$D$22,$E$22*$B$22/12*(1+$F$22)^INT((Assumptions!R$72-$C$22)/12),IF(Assumptions!R$72&lt;=$D$22+RetailDowntime,0,1)*$E$22*$B$22/12*INDEX(Cum_RetailRent,1,R$77)*RenewalRentFactor)))</f>
        <v/>
      </c>
      <c r="S34" s="50">
        <f>IF(Assumptions!S$74=0,0,IF(Assumptions!S$72&lt;$C$22,0,IF(Assumptions!S$72&lt;=$D$22,$E$22*$B$22/12*(1+$F$22)^INT((Assumptions!S$72-$C$22)/12),IF(Assumptions!S$72&lt;=$D$22+RetailDowntime,0,1)*$E$22*$B$22/12*INDEX(Cum_RetailRent,1,S$77)*RenewalRentFactor)))</f>
        <v/>
      </c>
      <c r="T34" s="50">
        <f>IF(Assumptions!T$74=0,0,IF(Assumptions!T$72&lt;$C$22,0,IF(Assumptions!T$72&lt;=$D$22,$E$22*$B$22/12*(1+$F$22)^INT((Assumptions!T$72-$C$22)/12),IF(Assumptions!T$72&lt;=$D$22+RetailDowntime,0,1)*$E$22*$B$22/12*INDEX(Cum_RetailRent,1,T$77)*RenewalRentFactor)))</f>
        <v/>
      </c>
      <c r="U34" s="50">
        <f>IF(Assumptions!U$74=0,0,IF(Assumptions!U$72&lt;$C$22,0,IF(Assumptions!U$72&lt;=$D$22,$E$22*$B$22/12*(1+$F$22)^INT((Assumptions!U$72-$C$22)/12),IF(Assumptions!U$72&lt;=$D$22+RetailDowntime,0,1)*$E$22*$B$22/12*INDEX(Cum_RetailRent,1,U$77)*RenewalRentFactor)))</f>
        <v/>
      </c>
      <c r="V34" s="50">
        <f>IF(Assumptions!V$74=0,0,IF(Assumptions!V$72&lt;$C$22,0,IF(Assumptions!V$72&lt;=$D$22,$E$22*$B$22/12*(1+$F$22)^INT((Assumptions!V$72-$C$22)/12),IF(Assumptions!V$72&lt;=$D$22+RetailDowntime,0,1)*$E$22*$B$22/12*INDEX(Cum_RetailRent,1,V$77)*RenewalRentFactor)))</f>
        <v/>
      </c>
      <c r="W34" s="50">
        <f>IF(Assumptions!W$74=0,0,IF(Assumptions!W$72&lt;$C$22,0,IF(Assumptions!W$72&lt;=$D$22,$E$22*$B$22/12*(1+$F$22)^INT((Assumptions!W$72-$C$22)/12),IF(Assumptions!W$72&lt;=$D$22+RetailDowntime,0,1)*$E$22*$B$22/12*INDEX(Cum_RetailRent,1,W$77)*RenewalRentFactor)))</f>
        <v/>
      </c>
      <c r="X34" s="50">
        <f>IF(Assumptions!X$74=0,0,IF(Assumptions!X$72&lt;$C$22,0,IF(Assumptions!X$72&lt;=$D$22,$E$22*$B$22/12*(1+$F$22)^INT((Assumptions!X$72-$C$22)/12),IF(Assumptions!X$72&lt;=$D$22+RetailDowntime,0,1)*$E$22*$B$22/12*INDEX(Cum_RetailRent,1,X$77)*RenewalRentFactor)))</f>
        <v/>
      </c>
      <c r="Y34" s="50">
        <f>IF(Assumptions!Y$74=0,0,IF(Assumptions!Y$72&lt;$C$22,0,IF(Assumptions!Y$72&lt;=$D$22,$E$22*$B$22/12*(1+$F$22)^INT((Assumptions!Y$72-$C$22)/12),IF(Assumptions!Y$72&lt;=$D$22+RetailDowntime,0,1)*$E$22*$B$22/12*INDEX(Cum_RetailRent,1,Y$77)*RenewalRentFactor)))</f>
        <v/>
      </c>
      <c r="Z34" s="50">
        <f>IF(Assumptions!Z$74=0,0,IF(Assumptions!Z$72&lt;$C$22,0,IF(Assumptions!Z$72&lt;=$D$22,$E$22*$B$22/12*(1+$F$22)^INT((Assumptions!Z$72-$C$22)/12),IF(Assumptions!Z$72&lt;=$D$22+RetailDowntime,0,1)*$E$22*$B$22/12*INDEX(Cum_RetailRent,1,Z$77)*RenewalRentFactor)))</f>
        <v/>
      </c>
      <c r="AA34" s="50">
        <f>IF(Assumptions!AA$74=0,0,IF(Assumptions!AA$72&lt;$C$22,0,IF(Assumptions!AA$72&lt;=$D$22,$E$22*$B$22/12*(1+$F$22)^INT((Assumptions!AA$72-$C$22)/12),IF(Assumptions!AA$72&lt;=$D$22+RetailDowntime,0,1)*$E$22*$B$22/12*INDEX(Cum_RetailRent,1,AA$77)*RenewalRentFactor)))</f>
        <v/>
      </c>
      <c r="AB34" s="50">
        <f>IF(Assumptions!AB$74=0,0,IF(Assumptions!AB$72&lt;$C$22,0,IF(Assumptions!AB$72&lt;=$D$22,$E$22*$B$22/12*(1+$F$22)^INT((Assumptions!AB$72-$C$22)/12),IF(Assumptions!AB$72&lt;=$D$22+RetailDowntime,0,1)*$E$22*$B$22/12*INDEX(Cum_RetailRent,1,AB$77)*RenewalRentFactor)))</f>
        <v/>
      </c>
      <c r="AC34" s="50">
        <f>IF(Assumptions!AC$74=0,0,IF(Assumptions!AC$72&lt;$C$22,0,IF(Assumptions!AC$72&lt;=$D$22,$E$22*$B$22/12*(1+$F$22)^INT((Assumptions!AC$72-$C$22)/12),IF(Assumptions!AC$72&lt;=$D$22+RetailDowntime,0,1)*$E$22*$B$22/12*INDEX(Cum_RetailRent,1,AC$77)*RenewalRentFactor)))</f>
        <v/>
      </c>
      <c r="AD34" s="50">
        <f>IF(Assumptions!AD$74=0,0,IF(Assumptions!AD$72&lt;$C$22,0,IF(Assumptions!AD$72&lt;=$D$22,$E$22*$B$22/12*(1+$F$22)^INT((Assumptions!AD$72-$C$22)/12),IF(Assumptions!AD$72&lt;=$D$22+RetailDowntime,0,1)*$E$22*$B$22/12*INDEX(Cum_RetailRent,1,AD$77)*RenewalRentFactor)))</f>
        <v/>
      </c>
      <c r="AE34" s="50">
        <f>IF(Assumptions!AE$74=0,0,IF(Assumptions!AE$72&lt;$C$22,0,IF(Assumptions!AE$72&lt;=$D$22,$E$22*$B$22/12*(1+$F$22)^INT((Assumptions!AE$72-$C$22)/12),IF(Assumptions!AE$72&lt;=$D$22+RetailDowntime,0,1)*$E$22*$B$22/12*INDEX(Cum_RetailRent,1,AE$77)*RenewalRentFactor)))</f>
        <v/>
      </c>
      <c r="AF34" s="50">
        <f>IF(Assumptions!AF$74=0,0,IF(Assumptions!AF$72&lt;$C$22,0,IF(Assumptions!AF$72&lt;=$D$22,$E$22*$B$22/12*(1+$F$22)^INT((Assumptions!AF$72-$C$22)/12),IF(Assumptions!AF$72&lt;=$D$22+RetailDowntime,0,1)*$E$22*$B$22/12*INDEX(Cum_RetailRent,1,AF$77)*RenewalRentFactor)))</f>
        <v/>
      </c>
      <c r="AG34" s="50">
        <f>IF(Assumptions!AG$74=0,0,IF(Assumptions!AG$72&lt;$C$22,0,IF(Assumptions!AG$72&lt;=$D$22,$E$22*$B$22/12*(1+$F$22)^INT((Assumptions!AG$72-$C$22)/12),IF(Assumptions!AG$72&lt;=$D$22+RetailDowntime,0,1)*$E$22*$B$22/12*INDEX(Cum_RetailRent,1,AG$77)*RenewalRentFactor)))</f>
        <v/>
      </c>
      <c r="AH34" s="50">
        <f>IF(Assumptions!AH$74=0,0,IF(Assumptions!AH$72&lt;$C$22,0,IF(Assumptions!AH$72&lt;=$D$22,$E$22*$B$22/12*(1+$F$22)^INT((Assumptions!AH$72-$C$22)/12),IF(Assumptions!AH$72&lt;=$D$22+RetailDowntime,0,1)*$E$22*$B$22/12*INDEX(Cum_RetailRent,1,AH$77)*RenewalRentFactor)))</f>
        <v/>
      </c>
      <c r="AI34" s="50">
        <f>IF(Assumptions!AI$74=0,0,IF(Assumptions!AI$72&lt;$C$22,0,IF(Assumptions!AI$72&lt;=$D$22,$E$22*$B$22/12*(1+$F$22)^INT((Assumptions!AI$72-$C$22)/12),IF(Assumptions!AI$72&lt;=$D$22+RetailDowntime,0,1)*$E$22*$B$22/12*INDEX(Cum_RetailRent,1,AI$77)*RenewalRentFactor)))</f>
        <v/>
      </c>
      <c r="AJ34" s="50">
        <f>IF(Assumptions!AJ$74=0,0,IF(Assumptions!AJ$72&lt;$C$22,0,IF(Assumptions!AJ$72&lt;=$D$22,$E$22*$B$22/12*(1+$F$22)^INT((Assumptions!AJ$72-$C$22)/12),IF(Assumptions!AJ$72&lt;=$D$22+RetailDowntime,0,1)*$E$22*$B$22/12*INDEX(Cum_RetailRent,1,AJ$77)*RenewalRentFactor)))</f>
        <v/>
      </c>
      <c r="AK34" s="50">
        <f>IF(Assumptions!AK$74=0,0,IF(Assumptions!AK$72&lt;$C$22,0,IF(Assumptions!AK$72&lt;=$D$22,$E$22*$B$22/12*(1+$F$22)^INT((Assumptions!AK$72-$C$22)/12),IF(Assumptions!AK$72&lt;=$D$22+RetailDowntime,0,1)*$E$22*$B$22/12*INDEX(Cum_RetailRent,1,AK$77)*RenewalRentFactor)))</f>
        <v/>
      </c>
      <c r="AL34" s="50">
        <f>IF(Assumptions!AL$74=0,0,IF(Assumptions!AL$72&lt;$C$22,0,IF(Assumptions!AL$72&lt;=$D$22,$E$22*$B$22/12*(1+$F$22)^INT((Assumptions!AL$72-$C$22)/12),IF(Assumptions!AL$72&lt;=$D$22+RetailDowntime,0,1)*$E$22*$B$22/12*INDEX(Cum_RetailRent,1,AL$77)*RenewalRentFactor)))</f>
        <v/>
      </c>
      <c r="AM34" s="50">
        <f>IF(Assumptions!AM$74=0,0,IF(Assumptions!AM$72&lt;$C$22,0,IF(Assumptions!AM$72&lt;=$D$22,$E$22*$B$22/12*(1+$F$22)^INT((Assumptions!AM$72-$C$22)/12),IF(Assumptions!AM$72&lt;=$D$22+RetailDowntime,0,1)*$E$22*$B$22/12*INDEX(Cum_RetailRent,1,AM$77)*RenewalRentFactor)))</f>
        <v/>
      </c>
      <c r="AN34" s="50">
        <f>IF(Assumptions!AN$74=0,0,IF(Assumptions!AN$72&lt;$C$22,0,IF(Assumptions!AN$72&lt;=$D$22,$E$22*$B$22/12*(1+$F$22)^INT((Assumptions!AN$72-$C$22)/12),IF(Assumptions!AN$72&lt;=$D$22+RetailDowntime,0,1)*$E$22*$B$22/12*INDEX(Cum_RetailRent,1,AN$77)*RenewalRentFactor)))</f>
        <v/>
      </c>
      <c r="AO34" s="50">
        <f>IF(Assumptions!AO$74=0,0,IF(Assumptions!AO$72&lt;$C$22,0,IF(Assumptions!AO$72&lt;=$D$22,$E$22*$B$22/12*(1+$F$22)^INT((Assumptions!AO$72-$C$22)/12),IF(Assumptions!AO$72&lt;=$D$22+RetailDowntime,0,1)*$E$22*$B$22/12*INDEX(Cum_RetailRent,1,AO$77)*RenewalRentFactor)))</f>
        <v/>
      </c>
      <c r="AP34" s="50">
        <f>IF(Assumptions!AP$74=0,0,IF(Assumptions!AP$72&lt;$C$22,0,IF(Assumptions!AP$72&lt;=$D$22,$E$22*$B$22/12*(1+$F$22)^INT((Assumptions!AP$72-$C$22)/12),IF(Assumptions!AP$72&lt;=$D$22+RetailDowntime,0,1)*$E$22*$B$22/12*INDEX(Cum_RetailRent,1,AP$77)*RenewalRentFactor)))</f>
        <v/>
      </c>
      <c r="AQ34" s="50">
        <f>IF(Assumptions!AQ$74=0,0,IF(Assumptions!AQ$72&lt;$C$22,0,IF(Assumptions!AQ$72&lt;=$D$22,$E$22*$B$22/12*(1+$F$22)^INT((Assumptions!AQ$72-$C$22)/12),IF(Assumptions!AQ$72&lt;=$D$22+RetailDowntime,0,1)*$E$22*$B$22/12*INDEX(Cum_RetailRent,1,AQ$77)*RenewalRentFactor)))</f>
        <v/>
      </c>
      <c r="AR34" s="50">
        <f>IF(Assumptions!AR$74=0,0,IF(Assumptions!AR$72&lt;$C$22,0,IF(Assumptions!AR$72&lt;=$D$22,$E$22*$B$22/12*(1+$F$22)^INT((Assumptions!AR$72-$C$22)/12),IF(Assumptions!AR$72&lt;=$D$22+RetailDowntime,0,1)*$E$22*$B$22/12*INDEX(Cum_RetailRent,1,AR$77)*RenewalRentFactor)))</f>
        <v/>
      </c>
      <c r="AS34" s="50">
        <f>IF(Assumptions!AS$74=0,0,IF(Assumptions!AS$72&lt;$C$22,0,IF(Assumptions!AS$72&lt;=$D$22,$E$22*$B$22/12*(1+$F$22)^INT((Assumptions!AS$72-$C$22)/12),IF(Assumptions!AS$72&lt;=$D$22+RetailDowntime,0,1)*$E$22*$B$22/12*INDEX(Cum_RetailRent,1,AS$77)*RenewalRentFactor)))</f>
        <v/>
      </c>
      <c r="AT34" s="50">
        <f>IF(Assumptions!AT$74=0,0,IF(Assumptions!AT$72&lt;$C$22,0,IF(Assumptions!AT$72&lt;=$D$22,$E$22*$B$22/12*(1+$F$22)^INT((Assumptions!AT$72-$C$22)/12),IF(Assumptions!AT$72&lt;=$D$22+RetailDowntime,0,1)*$E$22*$B$22/12*INDEX(Cum_RetailRent,1,AT$77)*RenewalRentFactor)))</f>
        <v/>
      </c>
      <c r="AU34" s="50">
        <f>IF(Assumptions!AU$74=0,0,IF(Assumptions!AU$72&lt;$C$22,0,IF(Assumptions!AU$72&lt;=$D$22,$E$22*$B$22/12*(1+$F$22)^INT((Assumptions!AU$72-$C$22)/12),IF(Assumptions!AU$72&lt;=$D$22+RetailDowntime,0,1)*$E$22*$B$22/12*INDEX(Cum_RetailRent,1,AU$77)*RenewalRentFactor)))</f>
        <v/>
      </c>
      <c r="AV34" s="50">
        <f>IF(Assumptions!AV$74=0,0,IF(Assumptions!AV$72&lt;$C$22,0,IF(Assumptions!AV$72&lt;=$D$22,$E$22*$B$22/12*(1+$F$22)^INT((Assumptions!AV$72-$C$22)/12),IF(Assumptions!AV$72&lt;=$D$22+RetailDowntime,0,1)*$E$22*$B$22/12*INDEX(Cum_RetailRent,1,AV$77)*RenewalRentFactor)))</f>
        <v/>
      </c>
      <c r="AW34" s="50">
        <f>IF(Assumptions!AW$74=0,0,IF(Assumptions!AW$72&lt;$C$22,0,IF(Assumptions!AW$72&lt;=$D$22,$E$22*$B$22/12*(1+$F$22)^INT((Assumptions!AW$72-$C$22)/12),IF(Assumptions!AW$72&lt;=$D$22+RetailDowntime,0,1)*$E$22*$B$22/12*INDEX(Cum_RetailRent,1,AW$77)*RenewalRentFactor)))</f>
        <v/>
      </c>
      <c r="AX34" s="50">
        <f>IF(Assumptions!AX$74=0,0,IF(Assumptions!AX$72&lt;$C$22,0,IF(Assumptions!AX$72&lt;=$D$22,$E$22*$B$22/12*(1+$F$22)^INT((Assumptions!AX$72-$C$22)/12),IF(Assumptions!AX$72&lt;=$D$22+RetailDowntime,0,1)*$E$22*$B$22/12*INDEX(Cum_RetailRent,1,AX$77)*RenewalRentFactor)))</f>
        <v/>
      </c>
      <c r="AY34" s="50">
        <f>IF(Assumptions!AY$74=0,0,IF(Assumptions!AY$72&lt;$C$22,0,IF(Assumptions!AY$72&lt;=$D$22,$E$22*$B$22/12*(1+$F$22)^INT((Assumptions!AY$72-$C$22)/12),IF(Assumptions!AY$72&lt;=$D$22+RetailDowntime,0,1)*$E$22*$B$22/12*INDEX(Cum_RetailRent,1,AY$77)*RenewalRentFactor)))</f>
        <v/>
      </c>
      <c r="AZ34" s="50">
        <f>IF(Assumptions!AZ$74=0,0,IF(Assumptions!AZ$72&lt;$C$22,0,IF(Assumptions!AZ$72&lt;=$D$22,$E$22*$B$22/12*(1+$F$22)^INT((Assumptions!AZ$72-$C$22)/12),IF(Assumptions!AZ$72&lt;=$D$22+RetailDowntime,0,1)*$E$22*$B$22/12*INDEX(Cum_RetailRent,1,AZ$77)*RenewalRentFactor)))</f>
        <v/>
      </c>
      <c r="BA34" s="50">
        <f>IF(Assumptions!BA$74=0,0,IF(Assumptions!BA$72&lt;$C$22,0,IF(Assumptions!BA$72&lt;=$D$22,$E$22*$B$22/12*(1+$F$22)^INT((Assumptions!BA$72-$C$22)/12),IF(Assumptions!BA$72&lt;=$D$22+RetailDowntime,0,1)*$E$22*$B$22/12*INDEX(Cum_RetailRent,1,BA$77)*RenewalRentFactor)))</f>
        <v/>
      </c>
      <c r="BB34" s="50">
        <f>IF(Assumptions!BB$74=0,0,IF(Assumptions!BB$72&lt;$C$22,0,IF(Assumptions!BB$72&lt;=$D$22,$E$22*$B$22/12*(1+$F$22)^INT((Assumptions!BB$72-$C$22)/12),IF(Assumptions!BB$72&lt;=$D$22+RetailDowntime,0,1)*$E$22*$B$22/12*INDEX(Cum_RetailRent,1,BB$77)*RenewalRentFactor)))</f>
        <v/>
      </c>
      <c r="BC34" s="50">
        <f>IF(Assumptions!BC$74=0,0,IF(Assumptions!BC$72&lt;$C$22,0,IF(Assumptions!BC$72&lt;=$D$22,$E$22*$B$22/12*(1+$F$22)^INT((Assumptions!BC$72-$C$22)/12),IF(Assumptions!BC$72&lt;=$D$22+RetailDowntime,0,1)*$E$22*$B$22/12*INDEX(Cum_RetailRent,1,BC$77)*RenewalRentFactor)))</f>
        <v/>
      </c>
      <c r="BD34" s="50">
        <f>IF(Assumptions!BD$74=0,0,IF(Assumptions!BD$72&lt;$C$22,0,IF(Assumptions!BD$72&lt;=$D$22,$E$22*$B$22/12*(1+$F$22)^INT((Assumptions!BD$72-$C$22)/12),IF(Assumptions!BD$72&lt;=$D$22+RetailDowntime,0,1)*$E$22*$B$22/12*INDEX(Cum_RetailRent,1,BD$77)*RenewalRentFactor)))</f>
        <v/>
      </c>
      <c r="BE34" s="50">
        <f>IF(Assumptions!BE$74=0,0,IF(Assumptions!BE$72&lt;$C$22,0,IF(Assumptions!BE$72&lt;=$D$22,$E$22*$B$22/12*(1+$F$22)^INT((Assumptions!BE$72-$C$22)/12),IF(Assumptions!BE$72&lt;=$D$22+RetailDowntime,0,1)*$E$22*$B$22/12*INDEX(Cum_RetailRent,1,BE$77)*RenewalRentFactor)))</f>
        <v/>
      </c>
      <c r="BF34" s="50">
        <f>IF(Assumptions!BF$74=0,0,IF(Assumptions!BF$72&lt;$C$22,0,IF(Assumptions!BF$72&lt;=$D$22,$E$22*$B$22/12*(1+$F$22)^INT((Assumptions!BF$72-$C$22)/12),IF(Assumptions!BF$72&lt;=$D$22+RetailDowntime,0,1)*$E$22*$B$22/12*INDEX(Cum_RetailRent,1,BF$77)*RenewalRentFactor)))</f>
        <v/>
      </c>
      <c r="BG34" s="50">
        <f>IF(Assumptions!BG$74=0,0,IF(Assumptions!BG$72&lt;$C$22,0,IF(Assumptions!BG$72&lt;=$D$22,$E$22*$B$22/12*(1+$F$22)^INT((Assumptions!BG$72-$C$22)/12),IF(Assumptions!BG$72&lt;=$D$22+RetailDowntime,0,1)*$E$22*$B$22/12*INDEX(Cum_RetailRent,1,BG$77)*RenewalRentFactor)))</f>
        <v/>
      </c>
      <c r="BH34" s="50">
        <f>IF(Assumptions!BH$74=0,0,IF(Assumptions!BH$72&lt;$C$22,0,IF(Assumptions!BH$72&lt;=$D$22,$E$22*$B$22/12*(1+$F$22)^INT((Assumptions!BH$72-$C$22)/12),IF(Assumptions!BH$72&lt;=$D$22+RetailDowntime,0,1)*$E$22*$B$22/12*INDEX(Cum_RetailRent,1,BH$77)*RenewalRentFactor)))</f>
        <v/>
      </c>
      <c r="BI34" s="50">
        <f>IF(Assumptions!BI$74=0,0,IF(Assumptions!BI$72&lt;$C$22,0,IF(Assumptions!BI$72&lt;=$D$22,$E$22*$B$22/12*(1+$F$22)^INT((Assumptions!BI$72-$C$22)/12),IF(Assumptions!BI$72&lt;=$D$22+RetailDowntime,0,1)*$E$22*$B$22/12*INDEX(Cum_RetailRent,1,BI$77)*RenewalRentFactor)))</f>
        <v/>
      </c>
      <c r="BJ34" s="50">
        <f>IF(Assumptions!BJ$74=0,0,IF(Assumptions!BJ$72&lt;$C$22,0,IF(Assumptions!BJ$72&lt;=$D$22,$E$22*$B$22/12*(1+$F$22)^INT((Assumptions!BJ$72-$C$22)/12),IF(Assumptions!BJ$72&lt;=$D$22+RetailDowntime,0,1)*$E$22*$B$22/12*INDEX(Cum_RetailRent,1,BJ$77)*RenewalRentFactor)))</f>
        <v/>
      </c>
      <c r="BK34" s="50">
        <f>IF(Assumptions!BK$74=0,0,IF(Assumptions!BK$72&lt;$C$22,0,IF(Assumptions!BK$72&lt;=$D$22,$E$22*$B$22/12*(1+$F$22)^INT((Assumptions!BK$72-$C$22)/12),IF(Assumptions!BK$72&lt;=$D$22+RetailDowntime,0,1)*$E$22*$B$22/12*INDEX(Cum_RetailRent,1,BK$77)*RenewalRentFactor)))</f>
        <v/>
      </c>
      <c r="BL34" s="50">
        <f>IF(Assumptions!BL$74=0,0,IF(Assumptions!BL$72&lt;$C$22,0,IF(Assumptions!BL$72&lt;=$D$22,$E$22*$B$22/12*(1+$F$22)^INT((Assumptions!BL$72-$C$22)/12),IF(Assumptions!BL$72&lt;=$D$22+RetailDowntime,0,1)*$E$22*$B$22/12*INDEX(Cum_RetailRent,1,BL$77)*RenewalRentFactor)))</f>
        <v/>
      </c>
      <c r="BM34" s="50">
        <f>IF(Assumptions!BM$74=0,0,IF(Assumptions!BM$72&lt;$C$22,0,IF(Assumptions!BM$72&lt;=$D$22,$E$22*$B$22/12*(1+$F$22)^INT((Assumptions!BM$72-$C$22)/12),IF(Assumptions!BM$72&lt;=$D$22+RetailDowntime,0,1)*$E$22*$B$22/12*INDEX(Cum_RetailRent,1,BM$77)*RenewalRentFactor)))</f>
        <v/>
      </c>
      <c r="BN34" s="50">
        <f>IF(Assumptions!BN$74=0,0,IF(Assumptions!BN$72&lt;$C$22,0,IF(Assumptions!BN$72&lt;=$D$22,$E$22*$B$22/12*(1+$F$22)^INT((Assumptions!BN$72-$C$22)/12),IF(Assumptions!BN$72&lt;=$D$22+RetailDowntime,0,1)*$E$22*$B$22/12*INDEX(Cum_RetailRent,1,BN$77)*RenewalRentFactor)))</f>
        <v/>
      </c>
      <c r="BO34" s="50">
        <f>IF(Assumptions!BO$74=0,0,IF(Assumptions!BO$72&lt;$C$22,0,IF(Assumptions!BO$72&lt;=$D$22,$E$22*$B$22/12*(1+$F$22)^INT((Assumptions!BO$72-$C$22)/12),IF(Assumptions!BO$72&lt;=$D$22+RetailDowntime,0,1)*$E$22*$B$22/12*INDEX(Cum_RetailRent,1,BO$77)*RenewalRentFactor)))</f>
        <v/>
      </c>
      <c r="BP34" s="50">
        <f>IF(Assumptions!BP$74=0,0,IF(Assumptions!BP$72&lt;$C$22,0,IF(Assumptions!BP$72&lt;=$D$22,$E$22*$B$22/12*(1+$F$22)^INT((Assumptions!BP$72-$C$22)/12),IF(Assumptions!BP$72&lt;=$D$22+RetailDowntime,0,1)*$E$22*$B$22/12*INDEX(Cum_RetailRent,1,BP$77)*RenewalRentFactor)))</f>
        <v/>
      </c>
      <c r="BQ34" s="50">
        <f>IF(Assumptions!BQ$74=0,0,IF(Assumptions!BQ$72&lt;$C$22,0,IF(Assumptions!BQ$72&lt;=$D$22,$E$22*$B$22/12*(1+$F$22)^INT((Assumptions!BQ$72-$C$22)/12),IF(Assumptions!BQ$72&lt;=$D$22+RetailDowntime,0,1)*$E$22*$B$22/12*INDEX(Cum_RetailRent,1,BQ$77)*RenewalRentFactor)))</f>
        <v/>
      </c>
      <c r="BR34" s="50">
        <f>IF(Assumptions!BR$74=0,0,IF(Assumptions!BR$72&lt;$C$22,0,IF(Assumptions!BR$72&lt;=$D$22,$E$22*$B$22/12*(1+$F$22)^INT((Assumptions!BR$72-$C$22)/12),IF(Assumptions!BR$72&lt;=$D$22+RetailDowntime,0,1)*$E$22*$B$22/12*INDEX(Cum_RetailRent,1,BR$77)*RenewalRentFactor)))</f>
        <v/>
      </c>
      <c r="BS34" s="50">
        <f>IF(Assumptions!BS$74=0,0,IF(Assumptions!BS$72&lt;$C$22,0,IF(Assumptions!BS$72&lt;=$D$22,$E$22*$B$22/12*(1+$F$22)^INT((Assumptions!BS$72-$C$22)/12),IF(Assumptions!BS$72&lt;=$D$22+RetailDowntime,0,1)*$E$22*$B$22/12*INDEX(Cum_RetailRent,1,BS$77)*RenewalRentFactor)))</f>
        <v/>
      </c>
      <c r="BT34" s="50">
        <f>IF(Assumptions!BT$74=0,0,IF(Assumptions!BT$72&lt;$C$22,0,IF(Assumptions!BT$72&lt;=$D$22,$E$22*$B$22/12*(1+$F$22)^INT((Assumptions!BT$72-$C$22)/12),IF(Assumptions!BT$72&lt;=$D$22+RetailDowntime,0,1)*$E$22*$B$22/12*INDEX(Cum_RetailRent,1,BT$77)*RenewalRentFactor)))</f>
        <v/>
      </c>
      <c r="BU34" s="50">
        <f>IF(Assumptions!BU$74=0,0,IF(Assumptions!BU$72&lt;$C$22,0,IF(Assumptions!BU$72&lt;=$D$22,$E$22*$B$22/12*(1+$F$22)^INT((Assumptions!BU$72-$C$22)/12),IF(Assumptions!BU$72&lt;=$D$22+RetailDowntime,0,1)*$E$22*$B$22/12*INDEX(Cum_RetailRent,1,BU$77)*RenewalRentFactor)))</f>
        <v/>
      </c>
      <c r="BV34" s="50">
        <f>IF(Assumptions!BV$74=0,0,IF(Assumptions!BV$72&lt;$C$22,0,IF(Assumptions!BV$72&lt;=$D$22,$E$22*$B$22/12*(1+$F$22)^INT((Assumptions!BV$72-$C$22)/12),IF(Assumptions!BV$72&lt;=$D$22+RetailDowntime,0,1)*$E$22*$B$22/12*INDEX(Cum_RetailRent,1,BV$77)*RenewalRentFactor)))</f>
        <v/>
      </c>
      <c r="BW34" s="50">
        <f>IF(Assumptions!BW$74=0,0,IF(Assumptions!BW$72&lt;$C$22,0,IF(Assumptions!BW$72&lt;=$D$22,$E$22*$B$22/12*(1+$F$22)^INT((Assumptions!BW$72-$C$22)/12),IF(Assumptions!BW$72&lt;=$D$22+RetailDowntime,0,1)*$E$22*$B$22/12*INDEX(Cum_RetailRent,1,BW$77)*RenewalRentFactor)))</f>
        <v/>
      </c>
      <c r="BX34" s="50">
        <f>IF(Assumptions!BX$74=0,0,IF(Assumptions!BX$72&lt;$C$22,0,IF(Assumptions!BX$72&lt;=$D$22,$E$22*$B$22/12*(1+$F$22)^INT((Assumptions!BX$72-$C$22)/12),IF(Assumptions!BX$72&lt;=$D$22+RetailDowntime,0,1)*$E$22*$B$22/12*INDEX(Cum_RetailRent,1,BX$77)*RenewalRentFactor)))</f>
        <v/>
      </c>
      <c r="BY34" s="50">
        <f>IF(Assumptions!BY$74=0,0,IF(Assumptions!BY$72&lt;$C$22,0,IF(Assumptions!BY$72&lt;=$D$22,$E$22*$B$22/12*(1+$F$22)^INT((Assumptions!BY$72-$C$22)/12),IF(Assumptions!BY$72&lt;=$D$22+RetailDowntime,0,1)*$E$22*$B$22/12*INDEX(Cum_RetailRent,1,BY$77)*RenewalRentFactor)))</f>
        <v/>
      </c>
      <c r="BZ34" s="50">
        <f>IF(Assumptions!BZ$74=0,0,IF(Assumptions!BZ$72&lt;$C$22,0,IF(Assumptions!BZ$72&lt;=$D$22,$E$22*$B$22/12*(1+$F$22)^INT((Assumptions!BZ$72-$C$22)/12),IF(Assumptions!BZ$72&lt;=$D$22+RetailDowntime,0,1)*$E$22*$B$22/12*INDEX(Cum_RetailRent,1,BZ$77)*RenewalRentFactor)))</f>
        <v/>
      </c>
      <c r="CA34" s="50">
        <f>IF(Assumptions!CA$74=0,0,IF(Assumptions!CA$72&lt;$C$22,0,IF(Assumptions!CA$72&lt;=$D$22,$E$22*$B$22/12*(1+$F$22)^INT((Assumptions!CA$72-$C$22)/12),IF(Assumptions!CA$72&lt;=$D$22+RetailDowntime,0,1)*$E$22*$B$22/12*INDEX(Cum_RetailRent,1,CA$77)*RenewalRentFactor)))</f>
        <v/>
      </c>
      <c r="CB34" s="50">
        <f>IF(Assumptions!CB$74=0,0,IF(Assumptions!CB$72&lt;$C$22,0,IF(Assumptions!CB$72&lt;=$D$22,$E$22*$B$22/12*(1+$F$22)^INT((Assumptions!CB$72-$C$22)/12),IF(Assumptions!CB$72&lt;=$D$22+RetailDowntime,0,1)*$E$22*$B$22/12*INDEX(Cum_RetailRent,1,CB$77)*RenewalRentFactor)))</f>
        <v/>
      </c>
      <c r="CC34" s="50">
        <f>IF(Assumptions!CC$74=0,0,IF(Assumptions!CC$72&lt;$C$22,0,IF(Assumptions!CC$72&lt;=$D$22,$E$22*$B$22/12*(1+$F$22)^INT((Assumptions!CC$72-$C$22)/12),IF(Assumptions!CC$72&lt;=$D$22+RetailDowntime,0,1)*$E$22*$B$22/12*INDEX(Cum_RetailRent,1,CC$77)*RenewalRentFactor)))</f>
        <v/>
      </c>
      <c r="CD34" s="50">
        <f>IF(Assumptions!CD$74=0,0,IF(Assumptions!CD$72&lt;$C$22,0,IF(Assumptions!CD$72&lt;=$D$22,$E$22*$B$22/12*(1+$F$22)^INT((Assumptions!CD$72-$C$22)/12),IF(Assumptions!CD$72&lt;=$D$22+RetailDowntime,0,1)*$E$22*$B$22/12*INDEX(Cum_RetailRent,1,CD$77)*RenewalRentFactor)))</f>
        <v/>
      </c>
      <c r="CE34" s="50">
        <f>IF(Assumptions!CE$74=0,0,IF(Assumptions!CE$72&lt;$C$22,0,IF(Assumptions!CE$72&lt;=$D$22,$E$22*$B$22/12*(1+$F$22)^INT((Assumptions!CE$72-$C$22)/12),IF(Assumptions!CE$72&lt;=$D$22+RetailDowntime,0,1)*$E$22*$B$22/12*INDEX(Cum_RetailRent,1,CE$77)*RenewalRentFactor)))</f>
        <v/>
      </c>
      <c r="CF34" s="50">
        <f>IF(Assumptions!CF$74=0,0,IF(Assumptions!CF$72&lt;$C$22,0,IF(Assumptions!CF$72&lt;=$D$22,$E$22*$B$22/12*(1+$F$22)^INT((Assumptions!CF$72-$C$22)/12),IF(Assumptions!CF$72&lt;=$D$22+RetailDowntime,0,1)*$E$22*$B$22/12*INDEX(Cum_RetailRent,1,CF$77)*RenewalRentFactor)))</f>
        <v/>
      </c>
      <c r="CG34" s="50">
        <f>IF(Assumptions!CG$74=0,0,IF(Assumptions!CG$72&lt;$C$22,0,IF(Assumptions!CG$72&lt;=$D$22,$E$22*$B$22/12*(1+$F$22)^INT((Assumptions!CG$72-$C$22)/12),IF(Assumptions!CG$72&lt;=$D$22+RetailDowntime,0,1)*$E$22*$B$22/12*INDEX(Cum_RetailRent,1,CG$77)*RenewalRentFactor)))</f>
        <v/>
      </c>
      <c r="CH34" s="50">
        <f>IF(Assumptions!CH$74=0,0,IF(Assumptions!CH$72&lt;$C$22,0,IF(Assumptions!CH$72&lt;=$D$22,$E$22*$B$22/12*(1+$F$22)^INT((Assumptions!CH$72-$C$22)/12),IF(Assumptions!CH$72&lt;=$D$22+RetailDowntime,0,1)*$E$22*$B$22/12*INDEX(Cum_RetailRent,1,CH$77)*RenewalRentFactor)))</f>
        <v/>
      </c>
      <c r="CI34" s="50">
        <f>IF(Assumptions!CI$74=0,0,IF(Assumptions!CI$72&lt;$C$22,0,IF(Assumptions!CI$72&lt;=$D$22,$E$22*$B$22/12*(1+$F$22)^INT((Assumptions!CI$72-$C$22)/12),IF(Assumptions!CI$72&lt;=$D$22+RetailDowntime,0,1)*$E$22*$B$22/12*INDEX(Cum_RetailRent,1,CI$77)*RenewalRentFactor)))</f>
        <v/>
      </c>
      <c r="CJ34" s="50">
        <f>IF(Assumptions!CJ$74=0,0,IF(Assumptions!CJ$72&lt;$C$22,0,IF(Assumptions!CJ$72&lt;=$D$22,$E$22*$B$22/12*(1+$F$22)^INT((Assumptions!CJ$72-$C$22)/12),IF(Assumptions!CJ$72&lt;=$D$22+RetailDowntime,0,1)*$E$22*$B$22/12*INDEX(Cum_RetailRent,1,CJ$77)*RenewalRentFactor)))</f>
        <v/>
      </c>
      <c r="CK34" s="50">
        <f>IF(Assumptions!CK$74=0,0,IF(Assumptions!CK$72&lt;$C$22,0,IF(Assumptions!CK$72&lt;=$D$22,$E$22*$B$22/12*(1+$F$22)^INT((Assumptions!CK$72-$C$22)/12),IF(Assumptions!CK$72&lt;=$D$22+RetailDowntime,0,1)*$E$22*$B$22/12*INDEX(Cum_RetailRent,1,CK$77)*RenewalRentFactor)))</f>
        <v/>
      </c>
      <c r="CL34" s="50">
        <f>IF(Assumptions!CL$74=0,0,IF(Assumptions!CL$72&lt;$C$22,0,IF(Assumptions!CL$72&lt;=$D$22,$E$22*$B$22/12*(1+$F$22)^INT((Assumptions!CL$72-$C$22)/12),IF(Assumptions!CL$72&lt;=$D$22+RetailDowntime,0,1)*$E$22*$B$22/12*INDEX(Cum_RetailRent,1,CL$77)*RenewalRentFactor)))</f>
        <v/>
      </c>
      <c r="CM34" s="50">
        <f>IF(Assumptions!CM$74=0,0,IF(Assumptions!CM$72&lt;$C$22,0,IF(Assumptions!CM$72&lt;=$D$22,$E$22*$B$22/12*(1+$F$22)^INT((Assumptions!CM$72-$C$22)/12),IF(Assumptions!CM$72&lt;=$D$22+RetailDowntime,0,1)*$E$22*$B$22/12*INDEX(Cum_RetailRent,1,CM$77)*RenewalRentFactor)))</f>
        <v/>
      </c>
      <c r="CN34" s="50">
        <f>IF(Assumptions!CN$74=0,0,IF(Assumptions!CN$72&lt;$C$22,0,IF(Assumptions!CN$72&lt;=$D$22,$E$22*$B$22/12*(1+$F$22)^INT((Assumptions!CN$72-$C$22)/12),IF(Assumptions!CN$72&lt;=$D$22+RetailDowntime,0,1)*$E$22*$B$22/12*INDEX(Cum_RetailRent,1,CN$77)*RenewalRentFactor)))</f>
        <v/>
      </c>
      <c r="CO34" s="50">
        <f>IF(Assumptions!CO$74=0,0,IF(Assumptions!CO$72&lt;$C$22,0,IF(Assumptions!CO$72&lt;=$D$22,$E$22*$B$22/12*(1+$F$22)^INT((Assumptions!CO$72-$C$22)/12),IF(Assumptions!CO$72&lt;=$D$22+RetailDowntime,0,1)*$E$22*$B$22/12*INDEX(Cum_RetailRent,1,CO$77)*RenewalRentFactor)))</f>
        <v/>
      </c>
      <c r="CP34" s="50">
        <f>IF(Assumptions!CP$74=0,0,IF(Assumptions!CP$72&lt;$C$22,0,IF(Assumptions!CP$72&lt;=$D$22,$E$22*$B$22/12*(1+$F$22)^INT((Assumptions!CP$72-$C$22)/12),IF(Assumptions!CP$72&lt;=$D$22+RetailDowntime,0,1)*$E$22*$B$22/12*INDEX(Cum_RetailRent,1,CP$77)*RenewalRentFactor)))</f>
        <v/>
      </c>
      <c r="CQ34" s="50">
        <f>IF(Assumptions!CQ$74=0,0,IF(Assumptions!CQ$72&lt;$C$22,0,IF(Assumptions!CQ$72&lt;=$D$22,$E$22*$B$22/12*(1+$F$22)^INT((Assumptions!CQ$72-$C$22)/12),IF(Assumptions!CQ$72&lt;=$D$22+RetailDowntime,0,1)*$E$22*$B$22/12*INDEX(Cum_RetailRent,1,CQ$77)*RenewalRentFactor)))</f>
        <v/>
      </c>
      <c r="CR34" s="50">
        <f>IF(Assumptions!CR$74=0,0,IF(Assumptions!CR$72&lt;$C$22,0,IF(Assumptions!CR$72&lt;=$D$22,$E$22*$B$22/12*(1+$F$22)^INT((Assumptions!CR$72-$C$22)/12),IF(Assumptions!CR$72&lt;=$D$22+RetailDowntime,0,1)*$E$22*$B$22/12*INDEX(Cum_RetailRent,1,CR$77)*RenewalRentFactor)))</f>
        <v/>
      </c>
      <c r="CS34" s="50">
        <f>IF(Assumptions!CS$74=0,0,IF(Assumptions!CS$72&lt;$C$22,0,IF(Assumptions!CS$72&lt;=$D$22,$E$22*$B$22/12*(1+$F$22)^INT((Assumptions!CS$72-$C$22)/12),IF(Assumptions!CS$72&lt;=$D$22+RetailDowntime,0,1)*$E$22*$B$22/12*INDEX(Cum_RetailRent,1,CS$77)*RenewalRentFactor)))</f>
        <v/>
      </c>
      <c r="CT34" s="50">
        <f>IF(Assumptions!CT$74=0,0,IF(Assumptions!CT$72&lt;$C$22,0,IF(Assumptions!CT$72&lt;=$D$22,$E$22*$B$22/12*(1+$F$22)^INT((Assumptions!CT$72-$C$22)/12),IF(Assumptions!CT$72&lt;=$D$22+RetailDowntime,0,1)*$E$22*$B$22/12*INDEX(Cum_RetailRent,1,CT$77)*RenewalRentFactor)))</f>
        <v/>
      </c>
      <c r="CU34" s="50">
        <f>IF(Assumptions!CU$74=0,0,IF(Assumptions!CU$72&lt;$C$22,0,IF(Assumptions!CU$72&lt;=$D$22,$E$22*$B$22/12*(1+$F$22)^INT((Assumptions!CU$72-$C$22)/12),IF(Assumptions!CU$72&lt;=$D$22+RetailDowntime,0,1)*$E$22*$B$22/12*INDEX(Cum_RetailRent,1,CU$77)*RenewalRentFactor)))</f>
        <v/>
      </c>
      <c r="CV34" s="50">
        <f>IF(Assumptions!CV$74=0,0,IF(Assumptions!CV$72&lt;$C$22,0,IF(Assumptions!CV$72&lt;=$D$22,$E$22*$B$22/12*(1+$F$22)^INT((Assumptions!CV$72-$C$22)/12),IF(Assumptions!CV$72&lt;=$D$22+RetailDowntime,0,1)*$E$22*$B$22/12*INDEX(Cum_RetailRent,1,CV$77)*RenewalRentFactor)))</f>
        <v/>
      </c>
      <c r="CW34" s="50">
        <f>IF(Assumptions!CW$74=0,0,IF(Assumptions!CW$72&lt;$C$22,0,IF(Assumptions!CW$72&lt;=$D$22,$E$22*$B$22/12*(1+$F$22)^INT((Assumptions!CW$72-$C$22)/12),IF(Assumptions!CW$72&lt;=$D$22+RetailDowntime,0,1)*$E$22*$B$22/12*INDEX(Cum_RetailRent,1,CW$77)*RenewalRentFactor)))</f>
        <v/>
      </c>
      <c r="CX34" s="50">
        <f>IF(Assumptions!CX$74=0,0,IF(Assumptions!CX$72&lt;$C$22,0,IF(Assumptions!CX$72&lt;=$D$22,$E$22*$B$22/12*(1+$F$22)^INT((Assumptions!CX$72-$C$22)/12),IF(Assumptions!CX$72&lt;=$D$22+RetailDowntime,0,1)*$E$22*$B$22/12*INDEX(Cum_RetailRent,1,CX$77)*RenewalRentFactor)))</f>
        <v/>
      </c>
      <c r="CY34" s="50">
        <f>IF(Assumptions!CY$74=0,0,IF(Assumptions!CY$72&lt;$C$22,0,IF(Assumptions!CY$72&lt;=$D$22,$E$22*$B$22/12*(1+$F$22)^INT((Assumptions!CY$72-$C$22)/12),IF(Assumptions!CY$72&lt;=$D$22+RetailDowntime,0,1)*$E$22*$B$22/12*INDEX(Cum_RetailRent,1,CY$77)*RenewalRentFactor)))</f>
        <v/>
      </c>
      <c r="CZ34" s="50">
        <f>IF(Assumptions!CZ$74=0,0,IF(Assumptions!CZ$72&lt;$C$22,0,IF(Assumptions!CZ$72&lt;=$D$22,$E$22*$B$22/12*(1+$F$22)^INT((Assumptions!CZ$72-$C$22)/12),IF(Assumptions!CZ$72&lt;=$D$22+RetailDowntime,0,1)*$E$22*$B$22/12*INDEX(Cum_RetailRent,1,CZ$77)*RenewalRentFactor)))</f>
        <v/>
      </c>
      <c r="DA34" s="50">
        <f>IF(Assumptions!DA$74=0,0,IF(Assumptions!DA$72&lt;$C$22,0,IF(Assumptions!DA$72&lt;=$D$22,$E$22*$B$22/12*(1+$F$22)^INT((Assumptions!DA$72-$C$22)/12),IF(Assumptions!DA$72&lt;=$D$22+RetailDowntime,0,1)*$E$22*$B$22/12*INDEX(Cum_RetailRent,1,DA$77)*RenewalRentFactor)))</f>
        <v/>
      </c>
      <c r="DB34" s="50">
        <f>IF(Assumptions!DB$74=0,0,IF(Assumptions!DB$72&lt;$C$22,0,IF(Assumptions!DB$72&lt;=$D$22,$E$22*$B$22/12*(1+$F$22)^INT((Assumptions!DB$72-$C$22)/12),IF(Assumptions!DB$72&lt;=$D$22+RetailDowntime,0,1)*$E$22*$B$22/12*INDEX(Cum_RetailRent,1,DB$77)*RenewalRentFactor)))</f>
        <v/>
      </c>
      <c r="DC34" s="50">
        <f>IF(Assumptions!DC$74=0,0,IF(Assumptions!DC$72&lt;$C$22,0,IF(Assumptions!DC$72&lt;=$D$22,$E$22*$B$22/12*(1+$F$22)^INT((Assumptions!DC$72-$C$22)/12),IF(Assumptions!DC$72&lt;=$D$22+RetailDowntime,0,1)*$E$22*$B$22/12*INDEX(Cum_RetailRent,1,DC$77)*RenewalRentFactor)))</f>
        <v/>
      </c>
      <c r="DD34" s="50">
        <f>IF(Assumptions!DD$74=0,0,IF(Assumptions!DD$72&lt;$C$22,0,IF(Assumptions!DD$72&lt;=$D$22,$E$22*$B$22/12*(1+$F$22)^INT((Assumptions!DD$72-$C$22)/12),IF(Assumptions!DD$72&lt;=$D$22+RetailDowntime,0,1)*$E$22*$B$22/12*INDEX(Cum_RetailRent,1,DD$77)*RenewalRentFactor)))</f>
        <v/>
      </c>
      <c r="DE34" s="50">
        <f>IF(Assumptions!DE$74=0,0,IF(Assumptions!DE$72&lt;$C$22,0,IF(Assumptions!DE$72&lt;=$D$22,$E$22*$B$22/12*(1+$F$22)^INT((Assumptions!DE$72-$C$22)/12),IF(Assumptions!DE$72&lt;=$D$22+RetailDowntime,0,1)*$E$22*$B$22/12*INDEX(Cum_RetailRent,1,DE$77)*RenewalRentFactor)))</f>
        <v/>
      </c>
      <c r="DF34" s="50">
        <f>IF(Assumptions!DF$74=0,0,IF(Assumptions!DF$72&lt;$C$22,0,IF(Assumptions!DF$72&lt;=$D$22,$E$22*$B$22/12*(1+$F$22)^INT((Assumptions!DF$72-$C$22)/12),IF(Assumptions!DF$72&lt;=$D$22+RetailDowntime,0,1)*$E$22*$B$22/12*INDEX(Cum_RetailRent,1,DF$77)*RenewalRentFactor)))</f>
        <v/>
      </c>
      <c r="DG34" s="50">
        <f>IF(Assumptions!DG$74=0,0,IF(Assumptions!DG$72&lt;$C$22,0,IF(Assumptions!DG$72&lt;=$D$22,$E$22*$B$22/12*(1+$F$22)^INT((Assumptions!DG$72-$C$22)/12),IF(Assumptions!DG$72&lt;=$D$22+RetailDowntime,0,1)*$E$22*$B$22/12*INDEX(Cum_RetailRent,1,DG$77)*RenewalRentFactor)))</f>
        <v/>
      </c>
      <c r="DH34" s="50">
        <f>IF(Assumptions!DH$74=0,0,IF(Assumptions!DH$72&lt;$C$22,0,IF(Assumptions!DH$72&lt;=$D$22,$E$22*$B$22/12*(1+$F$22)^INT((Assumptions!DH$72-$C$22)/12),IF(Assumptions!DH$72&lt;=$D$22+RetailDowntime,0,1)*$E$22*$B$22/12*INDEX(Cum_RetailRent,1,DH$77)*RenewalRentFactor)))</f>
        <v/>
      </c>
      <c r="DI34" s="50">
        <f>IF(Assumptions!DI$74=0,0,IF(Assumptions!DI$72&lt;$C$22,0,IF(Assumptions!DI$72&lt;=$D$22,$E$22*$B$22/12*(1+$F$22)^INT((Assumptions!DI$72-$C$22)/12),IF(Assumptions!DI$72&lt;=$D$22+RetailDowntime,0,1)*$E$22*$B$22/12*INDEX(Cum_RetailRent,1,DI$77)*RenewalRentFactor)))</f>
        <v/>
      </c>
      <c r="DJ34" s="50">
        <f>IF(Assumptions!DJ$74=0,0,IF(Assumptions!DJ$72&lt;$C$22,0,IF(Assumptions!DJ$72&lt;=$D$22,$E$22*$B$22/12*(1+$F$22)^INT((Assumptions!DJ$72-$C$22)/12),IF(Assumptions!DJ$72&lt;=$D$22+RetailDowntime,0,1)*$E$22*$B$22/12*INDEX(Cum_RetailRent,1,DJ$77)*RenewalRentFactor)))</f>
        <v/>
      </c>
      <c r="DK34" s="50">
        <f>IF(Assumptions!DK$74=0,0,IF(Assumptions!DK$72&lt;$C$22,0,IF(Assumptions!DK$72&lt;=$D$22,$E$22*$B$22/12*(1+$F$22)^INT((Assumptions!DK$72-$C$22)/12),IF(Assumptions!DK$72&lt;=$D$22+RetailDowntime,0,1)*$E$22*$B$22/12*INDEX(Cum_RetailRent,1,DK$77)*RenewalRentFactor)))</f>
        <v/>
      </c>
      <c r="DL34" s="50">
        <f>IF(Assumptions!DL$74=0,0,IF(Assumptions!DL$72&lt;$C$22,0,IF(Assumptions!DL$72&lt;=$D$22,$E$22*$B$22/12*(1+$F$22)^INT((Assumptions!DL$72-$C$22)/12),IF(Assumptions!DL$72&lt;=$D$22+RetailDowntime,0,1)*$E$22*$B$22/12*INDEX(Cum_RetailRent,1,DL$77)*RenewalRentFactor)))</f>
        <v/>
      </c>
      <c r="DM34" s="50">
        <f>IF(Assumptions!DM$74=0,0,IF(Assumptions!DM$72&lt;$C$22,0,IF(Assumptions!DM$72&lt;=$D$22,$E$22*$B$22/12*(1+$F$22)^INT((Assumptions!DM$72-$C$22)/12),IF(Assumptions!DM$72&lt;=$D$22+RetailDowntime,0,1)*$E$22*$B$22/12*INDEX(Cum_RetailRent,1,DM$77)*RenewalRentFactor)))</f>
        <v/>
      </c>
      <c r="DN34" s="50">
        <f>IF(Assumptions!DN$74=0,0,IF(Assumptions!DN$72&lt;$C$22,0,IF(Assumptions!DN$72&lt;=$D$22,$E$22*$B$22/12*(1+$F$22)^INT((Assumptions!DN$72-$C$22)/12),IF(Assumptions!DN$72&lt;=$D$22+RetailDowntime,0,1)*$E$22*$B$22/12*INDEX(Cum_RetailRent,1,DN$77)*RenewalRentFactor)))</f>
        <v/>
      </c>
      <c r="DO34" s="50">
        <f>IF(Assumptions!DO$74=0,0,IF(Assumptions!DO$72&lt;$C$22,0,IF(Assumptions!DO$72&lt;=$D$22,$E$22*$B$22/12*(1+$F$22)^INT((Assumptions!DO$72-$C$22)/12),IF(Assumptions!DO$72&lt;=$D$22+RetailDowntime,0,1)*$E$22*$B$22/12*INDEX(Cum_RetailRent,1,DO$77)*RenewalRentFactor)))</f>
        <v/>
      </c>
      <c r="DP34" s="50">
        <f>IF(Assumptions!DP$74=0,0,IF(Assumptions!DP$72&lt;$C$22,0,IF(Assumptions!DP$72&lt;=$D$22,$E$22*$B$22/12*(1+$F$22)^INT((Assumptions!DP$72-$C$22)/12),IF(Assumptions!DP$72&lt;=$D$22+RetailDowntime,0,1)*$E$22*$B$22/12*INDEX(Cum_RetailRent,1,DP$77)*RenewalRentFactor)))</f>
        <v/>
      </c>
      <c r="DQ34" s="50">
        <f>IF(Assumptions!DQ$74=0,0,IF(Assumptions!DQ$72&lt;$C$22,0,IF(Assumptions!DQ$72&lt;=$D$22,$E$22*$B$22/12*(1+$F$22)^INT((Assumptions!DQ$72-$C$22)/12),IF(Assumptions!DQ$72&lt;=$D$22+RetailDowntime,0,1)*$E$22*$B$22/12*INDEX(Cum_RetailRent,1,DQ$77)*RenewalRentFactor)))</f>
        <v/>
      </c>
      <c r="DR34" s="50">
        <f>IF(Assumptions!DR$74=0,0,IF(Assumptions!DR$72&lt;$C$22,0,IF(Assumptions!DR$72&lt;=$D$22,$E$22*$B$22/12*(1+$F$22)^INT((Assumptions!DR$72-$C$22)/12),IF(Assumptions!DR$72&lt;=$D$22+RetailDowntime,0,1)*$E$22*$B$22/12*INDEX(Cum_RetailRent,1,DR$77)*RenewalRentFactor)))</f>
        <v/>
      </c>
      <c r="DS34" s="50">
        <f>IF(Assumptions!DS$74=0,0,IF(Assumptions!DS$72&lt;$C$22,0,IF(Assumptions!DS$72&lt;=$D$22,$E$22*$B$22/12*(1+$F$22)^INT((Assumptions!DS$72-$C$22)/12),IF(Assumptions!DS$72&lt;=$D$22+RetailDowntime,0,1)*$E$22*$B$22/12*INDEX(Cum_RetailRent,1,DS$77)*RenewalRentFactor)))</f>
        <v/>
      </c>
      <c r="DT34" s="50">
        <f>IF(Assumptions!DT$74=0,0,IF(Assumptions!DT$72&lt;$C$22,0,IF(Assumptions!DT$72&lt;=$D$22,$E$22*$B$22/12*(1+$F$22)^INT((Assumptions!DT$72-$C$22)/12),IF(Assumptions!DT$72&lt;=$D$22+RetailDowntime,0,1)*$E$22*$B$22/12*INDEX(Cum_RetailRent,1,DT$77)*RenewalRentFactor)))</f>
        <v/>
      </c>
    </row>
    <row r="35">
      <c r="A35" s="10" t="inlineStr">
        <is>
          <t>Total base + steps + rollover ($/mo)</t>
        </is>
      </c>
      <c r="E35" s="50">
        <f>SUM(E29:E34)</f>
        <v/>
      </c>
      <c r="F35" s="50">
        <f>SUM(F29:F34)</f>
        <v/>
      </c>
      <c r="G35" s="50">
        <f>SUM(G29:G34)</f>
        <v/>
      </c>
      <c r="H35" s="50">
        <f>SUM(H29:H34)</f>
        <v/>
      </c>
      <c r="I35" s="50">
        <f>SUM(I29:I34)</f>
        <v/>
      </c>
      <c r="J35" s="50">
        <f>SUM(J29:J34)</f>
        <v/>
      </c>
      <c r="K35" s="50">
        <f>SUM(K29:K34)</f>
        <v/>
      </c>
      <c r="L35" s="50">
        <f>SUM(L29:L34)</f>
        <v/>
      </c>
      <c r="M35" s="50">
        <f>SUM(M29:M34)</f>
        <v/>
      </c>
      <c r="N35" s="50">
        <f>SUM(N29:N34)</f>
        <v/>
      </c>
      <c r="O35" s="50">
        <f>SUM(O29:O34)</f>
        <v/>
      </c>
      <c r="P35" s="50">
        <f>SUM(P29:P34)</f>
        <v/>
      </c>
      <c r="Q35" s="50">
        <f>SUM(Q29:Q34)</f>
        <v/>
      </c>
      <c r="R35" s="50">
        <f>SUM(R29:R34)</f>
        <v/>
      </c>
      <c r="S35" s="50">
        <f>SUM(S29:S34)</f>
        <v/>
      </c>
      <c r="T35" s="50">
        <f>SUM(T29:T34)</f>
        <v/>
      </c>
      <c r="U35" s="50">
        <f>SUM(U29:U34)</f>
        <v/>
      </c>
      <c r="V35" s="50">
        <f>SUM(V29:V34)</f>
        <v/>
      </c>
      <c r="W35" s="50">
        <f>SUM(W29:W34)</f>
        <v/>
      </c>
      <c r="X35" s="50">
        <f>SUM(X29:X34)</f>
        <v/>
      </c>
      <c r="Y35" s="50">
        <f>SUM(Y29:Y34)</f>
        <v/>
      </c>
      <c r="Z35" s="50">
        <f>SUM(Z29:Z34)</f>
        <v/>
      </c>
      <c r="AA35" s="50">
        <f>SUM(AA29:AA34)</f>
        <v/>
      </c>
      <c r="AB35" s="50">
        <f>SUM(AB29:AB34)</f>
        <v/>
      </c>
      <c r="AC35" s="50">
        <f>SUM(AC29:AC34)</f>
        <v/>
      </c>
      <c r="AD35" s="50">
        <f>SUM(AD29:AD34)</f>
        <v/>
      </c>
      <c r="AE35" s="50">
        <f>SUM(AE29:AE34)</f>
        <v/>
      </c>
      <c r="AF35" s="50">
        <f>SUM(AF29:AF34)</f>
        <v/>
      </c>
      <c r="AG35" s="50">
        <f>SUM(AG29:AG34)</f>
        <v/>
      </c>
      <c r="AH35" s="50">
        <f>SUM(AH29:AH34)</f>
        <v/>
      </c>
      <c r="AI35" s="50">
        <f>SUM(AI29:AI34)</f>
        <v/>
      </c>
      <c r="AJ35" s="50">
        <f>SUM(AJ29:AJ34)</f>
        <v/>
      </c>
      <c r="AK35" s="50">
        <f>SUM(AK29:AK34)</f>
        <v/>
      </c>
      <c r="AL35" s="50">
        <f>SUM(AL29:AL34)</f>
        <v/>
      </c>
      <c r="AM35" s="50">
        <f>SUM(AM29:AM34)</f>
        <v/>
      </c>
      <c r="AN35" s="50">
        <f>SUM(AN29:AN34)</f>
        <v/>
      </c>
      <c r="AO35" s="50">
        <f>SUM(AO29:AO34)</f>
        <v/>
      </c>
      <c r="AP35" s="50">
        <f>SUM(AP29:AP34)</f>
        <v/>
      </c>
      <c r="AQ35" s="50">
        <f>SUM(AQ29:AQ34)</f>
        <v/>
      </c>
      <c r="AR35" s="50">
        <f>SUM(AR29:AR34)</f>
        <v/>
      </c>
      <c r="AS35" s="50">
        <f>SUM(AS29:AS34)</f>
        <v/>
      </c>
      <c r="AT35" s="50">
        <f>SUM(AT29:AT34)</f>
        <v/>
      </c>
      <c r="AU35" s="50">
        <f>SUM(AU29:AU34)</f>
        <v/>
      </c>
      <c r="AV35" s="50">
        <f>SUM(AV29:AV34)</f>
        <v/>
      </c>
      <c r="AW35" s="50">
        <f>SUM(AW29:AW34)</f>
        <v/>
      </c>
      <c r="AX35" s="50">
        <f>SUM(AX29:AX34)</f>
        <v/>
      </c>
      <c r="AY35" s="50">
        <f>SUM(AY29:AY34)</f>
        <v/>
      </c>
      <c r="AZ35" s="50">
        <f>SUM(AZ29:AZ34)</f>
        <v/>
      </c>
      <c r="BA35" s="50">
        <f>SUM(BA29:BA34)</f>
        <v/>
      </c>
      <c r="BB35" s="50">
        <f>SUM(BB29:BB34)</f>
        <v/>
      </c>
      <c r="BC35" s="50">
        <f>SUM(BC29:BC34)</f>
        <v/>
      </c>
      <c r="BD35" s="50">
        <f>SUM(BD29:BD34)</f>
        <v/>
      </c>
      <c r="BE35" s="50">
        <f>SUM(BE29:BE34)</f>
        <v/>
      </c>
      <c r="BF35" s="50">
        <f>SUM(BF29:BF34)</f>
        <v/>
      </c>
      <c r="BG35" s="50">
        <f>SUM(BG29:BG34)</f>
        <v/>
      </c>
      <c r="BH35" s="50">
        <f>SUM(BH29:BH34)</f>
        <v/>
      </c>
      <c r="BI35" s="50">
        <f>SUM(BI29:BI34)</f>
        <v/>
      </c>
      <c r="BJ35" s="50">
        <f>SUM(BJ29:BJ34)</f>
        <v/>
      </c>
      <c r="BK35" s="50">
        <f>SUM(BK29:BK34)</f>
        <v/>
      </c>
      <c r="BL35" s="50">
        <f>SUM(BL29:BL34)</f>
        <v/>
      </c>
      <c r="BM35" s="50">
        <f>SUM(BM29:BM34)</f>
        <v/>
      </c>
      <c r="BN35" s="50">
        <f>SUM(BN29:BN34)</f>
        <v/>
      </c>
      <c r="BO35" s="50">
        <f>SUM(BO29:BO34)</f>
        <v/>
      </c>
      <c r="BP35" s="50">
        <f>SUM(BP29:BP34)</f>
        <v/>
      </c>
      <c r="BQ35" s="50">
        <f>SUM(BQ29:BQ34)</f>
        <v/>
      </c>
      <c r="BR35" s="50">
        <f>SUM(BR29:BR34)</f>
        <v/>
      </c>
      <c r="BS35" s="50">
        <f>SUM(BS29:BS34)</f>
        <v/>
      </c>
      <c r="BT35" s="50">
        <f>SUM(BT29:BT34)</f>
        <v/>
      </c>
      <c r="BU35" s="50">
        <f>SUM(BU29:BU34)</f>
        <v/>
      </c>
      <c r="BV35" s="50">
        <f>SUM(BV29:BV34)</f>
        <v/>
      </c>
      <c r="BW35" s="50">
        <f>SUM(BW29:BW34)</f>
        <v/>
      </c>
      <c r="BX35" s="50">
        <f>SUM(BX29:BX34)</f>
        <v/>
      </c>
      <c r="BY35" s="50">
        <f>SUM(BY29:BY34)</f>
        <v/>
      </c>
      <c r="BZ35" s="50">
        <f>SUM(BZ29:BZ34)</f>
        <v/>
      </c>
      <c r="CA35" s="50">
        <f>SUM(CA29:CA34)</f>
        <v/>
      </c>
      <c r="CB35" s="50">
        <f>SUM(CB29:CB34)</f>
        <v/>
      </c>
      <c r="CC35" s="50">
        <f>SUM(CC29:CC34)</f>
        <v/>
      </c>
      <c r="CD35" s="50">
        <f>SUM(CD29:CD34)</f>
        <v/>
      </c>
      <c r="CE35" s="50">
        <f>SUM(CE29:CE34)</f>
        <v/>
      </c>
      <c r="CF35" s="50">
        <f>SUM(CF29:CF34)</f>
        <v/>
      </c>
      <c r="CG35" s="50">
        <f>SUM(CG29:CG34)</f>
        <v/>
      </c>
      <c r="CH35" s="50">
        <f>SUM(CH29:CH34)</f>
        <v/>
      </c>
      <c r="CI35" s="50">
        <f>SUM(CI29:CI34)</f>
        <v/>
      </c>
      <c r="CJ35" s="50">
        <f>SUM(CJ29:CJ34)</f>
        <v/>
      </c>
      <c r="CK35" s="50">
        <f>SUM(CK29:CK34)</f>
        <v/>
      </c>
      <c r="CL35" s="50">
        <f>SUM(CL29:CL34)</f>
        <v/>
      </c>
      <c r="CM35" s="50">
        <f>SUM(CM29:CM34)</f>
        <v/>
      </c>
      <c r="CN35" s="50">
        <f>SUM(CN29:CN34)</f>
        <v/>
      </c>
      <c r="CO35" s="50">
        <f>SUM(CO29:CO34)</f>
        <v/>
      </c>
      <c r="CP35" s="50">
        <f>SUM(CP29:CP34)</f>
        <v/>
      </c>
      <c r="CQ35" s="50">
        <f>SUM(CQ29:CQ34)</f>
        <v/>
      </c>
      <c r="CR35" s="50">
        <f>SUM(CR29:CR34)</f>
        <v/>
      </c>
      <c r="CS35" s="50">
        <f>SUM(CS29:CS34)</f>
        <v/>
      </c>
      <c r="CT35" s="50">
        <f>SUM(CT29:CT34)</f>
        <v/>
      </c>
      <c r="CU35" s="50">
        <f>SUM(CU29:CU34)</f>
        <v/>
      </c>
      <c r="CV35" s="50">
        <f>SUM(CV29:CV34)</f>
        <v/>
      </c>
      <c r="CW35" s="50">
        <f>SUM(CW29:CW34)</f>
        <v/>
      </c>
      <c r="CX35" s="50">
        <f>SUM(CX29:CX34)</f>
        <v/>
      </c>
      <c r="CY35" s="50">
        <f>SUM(CY29:CY34)</f>
        <v/>
      </c>
      <c r="CZ35" s="50">
        <f>SUM(CZ29:CZ34)</f>
        <v/>
      </c>
      <c r="DA35" s="50">
        <f>SUM(DA29:DA34)</f>
        <v/>
      </c>
      <c r="DB35" s="50">
        <f>SUM(DB29:DB34)</f>
        <v/>
      </c>
      <c r="DC35" s="50">
        <f>SUM(DC29:DC34)</f>
        <v/>
      </c>
      <c r="DD35" s="50">
        <f>SUM(DD29:DD34)</f>
        <v/>
      </c>
      <c r="DE35" s="50">
        <f>SUM(DE29:DE34)</f>
        <v/>
      </c>
      <c r="DF35" s="50">
        <f>SUM(DF29:DF34)</f>
        <v/>
      </c>
      <c r="DG35" s="50">
        <f>SUM(DG29:DG34)</f>
        <v/>
      </c>
      <c r="DH35" s="50">
        <f>SUM(DH29:DH34)</f>
        <v/>
      </c>
      <c r="DI35" s="50">
        <f>SUM(DI29:DI34)</f>
        <v/>
      </c>
      <c r="DJ35" s="50">
        <f>SUM(DJ29:DJ34)</f>
        <v/>
      </c>
      <c r="DK35" s="50">
        <f>SUM(DK29:DK34)</f>
        <v/>
      </c>
      <c r="DL35" s="50">
        <f>SUM(DL29:DL34)</f>
        <v/>
      </c>
      <c r="DM35" s="50">
        <f>SUM(DM29:DM34)</f>
        <v/>
      </c>
      <c r="DN35" s="50">
        <f>SUM(DN29:DN34)</f>
        <v/>
      </c>
      <c r="DO35" s="50">
        <f>SUM(DO29:DO34)</f>
        <v/>
      </c>
      <c r="DP35" s="50">
        <f>SUM(DP29:DP34)</f>
        <v/>
      </c>
      <c r="DQ35" s="50">
        <f>SUM(DQ29:DQ34)</f>
        <v/>
      </c>
      <c r="DR35" s="50">
        <f>SUM(DR29:DR34)</f>
        <v/>
      </c>
      <c r="DS35" s="50">
        <f>SUM(DS29:DS34)</f>
        <v/>
      </c>
      <c r="DT35" s="50">
        <f>SUM(DT29:DT34)</f>
        <v/>
      </c>
    </row>
    <row r="36">
      <c r="A36" s="10" t="inlineStr">
        <is>
          <t>Percentage rent ($/mo)</t>
        </is>
      </c>
      <c r="E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0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0">
        <f>((VLOOKUP($G$17,RecovMatrix,2,FALSE)*RecovCAM+VLOOKUP($G$17,RecovMatrix,3,FALSE)*RecovTax+VLOOKUP($G$17,RecovMatrix,4,FALSE)*RecovIns)*$B$17/12*INDEX(Cum_OpEx,1,E$77)*(1+IF(AdminFeeOn="On",AdminFeePct,0))+(VLOOKUP($G$18,RecovMatrix,2,FALSE)*RecovCAM+VLOOKUP($G$18,RecovMatrix,3,FALSE)*RecovTax+VLOOKUP($G$18,RecovMatrix,4,FALSE)*RecovIns)*$B$18/12*INDEX(Cum_OpEx,1,E$77)*(1+IF(AdminFeeOn="On",AdminFeePct,0))+(VLOOKUP($G$19,RecovMatrix,2,FALSE)*RecovCAM+VLOOKUP($G$19,RecovMatrix,3,FALSE)*RecovTax+VLOOKUP($G$19,RecovMatrix,4,FALSE)*RecovIns)*$B$19/12*INDEX(Cum_OpEx,1,E$77)*(1+IF(AdminFeeOn="On",AdminFeePct,0))+(VLOOKUP($G$20,RecovMatrix,2,FALSE)*RecovCAM+VLOOKUP($G$20,RecovMatrix,3,FALSE)*RecovTax+VLOOKUP($G$20,RecovMatrix,4,FALSE)*RecovIns)*$B$20/12*INDEX(Cum_OpEx,1,E$77)*(1+IF(AdminFeeOn="On",AdminFeePct,0))+(VLOOKUP($G$21,RecovMatrix,2,FALSE)*RecovCAM+VLOOKUP($G$21,RecovMatrix,3,FALSE)*RecovTax+VLOOKUP($G$21,RecovMatrix,4,FALSE)*RecovIns)*$B$21/12*INDEX(Cum_OpEx,1,E$77)*(1+IF(AdminFeeOn="On",AdminFeePct,0))+(VLOOKUP($G$22,RecovMatrix,2,FALSE)*RecovCAM+VLOOKUP($G$22,RecovMatrix,3,FALSE)*RecovTax+VLOOKUP($G$22,RecovMatrix,4,FALSE)*RecovIns)*$B$22/12*INDEX(Cum_OpEx,1,E$77)*(1+IF(AdminFeeOn="On",AdminFeePct,0)))*Assumptions!E$74</f>
        <v/>
      </c>
      <c r="F37" s="50">
        <f>((VLOOKUP($G$17,RecovMatrix,2,FALSE)*RecovCAM+VLOOKUP($G$17,RecovMatrix,3,FALSE)*RecovTax+VLOOKUP($G$17,RecovMatrix,4,FALSE)*RecovIns)*$B$17/12*INDEX(Cum_OpEx,1,F$77)*(1+IF(AdminFeeOn="On",AdminFeePct,0))+(VLOOKUP($G$18,RecovMatrix,2,FALSE)*RecovCAM+VLOOKUP($G$18,RecovMatrix,3,FALSE)*RecovTax+VLOOKUP($G$18,RecovMatrix,4,FALSE)*RecovIns)*$B$18/12*INDEX(Cum_OpEx,1,F$77)*(1+IF(AdminFeeOn="On",AdminFeePct,0))+(VLOOKUP($G$19,RecovMatrix,2,FALSE)*RecovCAM+VLOOKUP($G$19,RecovMatrix,3,FALSE)*RecovTax+VLOOKUP($G$19,RecovMatrix,4,FALSE)*RecovIns)*$B$19/12*INDEX(Cum_OpEx,1,F$77)*(1+IF(AdminFeeOn="On",AdminFeePct,0))+(VLOOKUP($G$20,RecovMatrix,2,FALSE)*RecovCAM+VLOOKUP($G$20,RecovMatrix,3,FALSE)*RecovTax+VLOOKUP($G$20,RecovMatrix,4,FALSE)*RecovIns)*$B$20/12*INDEX(Cum_OpEx,1,F$77)*(1+IF(AdminFeeOn="On",AdminFeePct,0))+(VLOOKUP($G$21,RecovMatrix,2,FALSE)*RecovCAM+VLOOKUP($G$21,RecovMatrix,3,FALSE)*RecovTax+VLOOKUP($G$21,RecovMatrix,4,FALSE)*RecovIns)*$B$21/12*INDEX(Cum_OpEx,1,F$77)*(1+IF(AdminFeeOn="On",AdminFeePct,0))+(VLOOKUP($G$22,RecovMatrix,2,FALSE)*RecovCAM+VLOOKUP($G$22,RecovMatrix,3,FALSE)*RecovTax+VLOOKUP($G$22,RecovMatrix,4,FALSE)*RecovIns)*$B$22/12*INDEX(Cum_OpEx,1,F$77)*(1+IF(AdminFeeOn="On",AdminFeePct,0)))*Assumptions!F$74</f>
        <v/>
      </c>
      <c r="G37" s="50">
        <f>((VLOOKUP($G$17,RecovMatrix,2,FALSE)*RecovCAM+VLOOKUP($G$17,RecovMatrix,3,FALSE)*RecovTax+VLOOKUP($G$17,RecovMatrix,4,FALSE)*RecovIns)*$B$17/12*INDEX(Cum_OpEx,1,G$77)*(1+IF(AdminFeeOn="On",AdminFeePct,0))+(VLOOKUP($G$18,RecovMatrix,2,FALSE)*RecovCAM+VLOOKUP($G$18,RecovMatrix,3,FALSE)*RecovTax+VLOOKUP($G$18,RecovMatrix,4,FALSE)*RecovIns)*$B$18/12*INDEX(Cum_OpEx,1,G$77)*(1+IF(AdminFeeOn="On",AdminFeePct,0))+(VLOOKUP($G$19,RecovMatrix,2,FALSE)*RecovCAM+VLOOKUP($G$19,RecovMatrix,3,FALSE)*RecovTax+VLOOKUP($G$19,RecovMatrix,4,FALSE)*RecovIns)*$B$19/12*INDEX(Cum_OpEx,1,G$77)*(1+IF(AdminFeeOn="On",AdminFeePct,0))+(VLOOKUP($G$20,RecovMatrix,2,FALSE)*RecovCAM+VLOOKUP($G$20,RecovMatrix,3,FALSE)*RecovTax+VLOOKUP($G$20,RecovMatrix,4,FALSE)*RecovIns)*$B$20/12*INDEX(Cum_OpEx,1,G$77)*(1+IF(AdminFeeOn="On",AdminFeePct,0))+(VLOOKUP($G$21,RecovMatrix,2,FALSE)*RecovCAM+VLOOKUP($G$21,RecovMatrix,3,FALSE)*RecovTax+VLOOKUP($G$21,RecovMatrix,4,FALSE)*RecovIns)*$B$21/12*INDEX(Cum_OpEx,1,G$77)*(1+IF(AdminFeeOn="On",AdminFeePct,0))+(VLOOKUP($G$22,RecovMatrix,2,FALSE)*RecovCAM+VLOOKUP($G$22,RecovMatrix,3,FALSE)*RecovTax+VLOOKUP($G$22,RecovMatrix,4,FALSE)*RecovIns)*$B$22/12*INDEX(Cum_OpEx,1,G$77)*(1+IF(AdminFeeOn="On",AdminFeePct,0)))*Assumptions!G$74</f>
        <v/>
      </c>
      <c r="H37" s="50">
        <f>((VLOOKUP($G$17,RecovMatrix,2,FALSE)*RecovCAM+VLOOKUP($G$17,RecovMatrix,3,FALSE)*RecovTax+VLOOKUP($G$17,RecovMatrix,4,FALSE)*RecovIns)*$B$17/12*INDEX(Cum_OpEx,1,H$77)*(1+IF(AdminFeeOn="On",AdminFeePct,0))+(VLOOKUP($G$18,RecovMatrix,2,FALSE)*RecovCAM+VLOOKUP($G$18,RecovMatrix,3,FALSE)*RecovTax+VLOOKUP($G$18,RecovMatrix,4,FALSE)*RecovIns)*$B$18/12*INDEX(Cum_OpEx,1,H$77)*(1+IF(AdminFeeOn="On",AdminFeePct,0))+(VLOOKUP($G$19,RecovMatrix,2,FALSE)*RecovCAM+VLOOKUP($G$19,RecovMatrix,3,FALSE)*RecovTax+VLOOKUP($G$19,RecovMatrix,4,FALSE)*RecovIns)*$B$19/12*INDEX(Cum_OpEx,1,H$77)*(1+IF(AdminFeeOn="On",AdminFeePct,0))+(VLOOKUP($G$20,RecovMatrix,2,FALSE)*RecovCAM+VLOOKUP($G$20,RecovMatrix,3,FALSE)*RecovTax+VLOOKUP($G$20,RecovMatrix,4,FALSE)*RecovIns)*$B$20/12*INDEX(Cum_OpEx,1,H$77)*(1+IF(AdminFeeOn="On",AdminFeePct,0))+(VLOOKUP($G$21,RecovMatrix,2,FALSE)*RecovCAM+VLOOKUP($G$21,RecovMatrix,3,FALSE)*RecovTax+VLOOKUP($G$21,RecovMatrix,4,FALSE)*RecovIns)*$B$21/12*INDEX(Cum_OpEx,1,H$77)*(1+IF(AdminFeeOn="On",AdminFeePct,0))+(VLOOKUP($G$22,RecovMatrix,2,FALSE)*RecovCAM+VLOOKUP($G$22,RecovMatrix,3,FALSE)*RecovTax+VLOOKUP($G$22,RecovMatrix,4,FALSE)*RecovIns)*$B$22/12*INDEX(Cum_OpEx,1,H$77)*(1+IF(AdminFeeOn="On",AdminFeePct,0)))*Assumptions!H$74</f>
        <v/>
      </c>
      <c r="I37" s="50">
        <f>((VLOOKUP($G$17,RecovMatrix,2,FALSE)*RecovCAM+VLOOKUP($G$17,RecovMatrix,3,FALSE)*RecovTax+VLOOKUP($G$17,RecovMatrix,4,FALSE)*RecovIns)*$B$17/12*INDEX(Cum_OpEx,1,I$77)*(1+IF(AdminFeeOn="On",AdminFeePct,0))+(VLOOKUP($G$18,RecovMatrix,2,FALSE)*RecovCAM+VLOOKUP($G$18,RecovMatrix,3,FALSE)*RecovTax+VLOOKUP($G$18,RecovMatrix,4,FALSE)*RecovIns)*$B$18/12*INDEX(Cum_OpEx,1,I$77)*(1+IF(AdminFeeOn="On",AdminFeePct,0))+(VLOOKUP($G$19,RecovMatrix,2,FALSE)*RecovCAM+VLOOKUP($G$19,RecovMatrix,3,FALSE)*RecovTax+VLOOKUP($G$19,RecovMatrix,4,FALSE)*RecovIns)*$B$19/12*INDEX(Cum_OpEx,1,I$77)*(1+IF(AdminFeeOn="On",AdminFeePct,0))+(VLOOKUP($G$20,RecovMatrix,2,FALSE)*RecovCAM+VLOOKUP($G$20,RecovMatrix,3,FALSE)*RecovTax+VLOOKUP($G$20,RecovMatrix,4,FALSE)*RecovIns)*$B$20/12*INDEX(Cum_OpEx,1,I$77)*(1+IF(AdminFeeOn="On",AdminFeePct,0))+(VLOOKUP($G$21,RecovMatrix,2,FALSE)*RecovCAM+VLOOKUP($G$21,RecovMatrix,3,FALSE)*RecovTax+VLOOKUP($G$21,RecovMatrix,4,FALSE)*RecovIns)*$B$21/12*INDEX(Cum_OpEx,1,I$77)*(1+IF(AdminFeeOn="On",AdminFeePct,0))+(VLOOKUP($G$22,RecovMatrix,2,FALSE)*RecovCAM+VLOOKUP($G$22,RecovMatrix,3,FALSE)*RecovTax+VLOOKUP($G$22,RecovMatrix,4,FALSE)*RecovIns)*$B$22/12*INDEX(Cum_OpEx,1,I$77)*(1+IF(AdminFeeOn="On",AdminFeePct,0)))*Assumptions!I$74</f>
        <v/>
      </c>
      <c r="J37" s="50">
        <f>((VLOOKUP($G$17,RecovMatrix,2,FALSE)*RecovCAM+VLOOKUP($G$17,RecovMatrix,3,FALSE)*RecovTax+VLOOKUP($G$17,RecovMatrix,4,FALSE)*RecovIns)*$B$17/12*INDEX(Cum_OpEx,1,J$77)*(1+IF(AdminFeeOn="On",AdminFeePct,0))+(VLOOKUP($G$18,RecovMatrix,2,FALSE)*RecovCAM+VLOOKUP($G$18,RecovMatrix,3,FALSE)*RecovTax+VLOOKUP($G$18,RecovMatrix,4,FALSE)*RecovIns)*$B$18/12*INDEX(Cum_OpEx,1,J$77)*(1+IF(AdminFeeOn="On",AdminFeePct,0))+(VLOOKUP($G$19,RecovMatrix,2,FALSE)*RecovCAM+VLOOKUP($G$19,RecovMatrix,3,FALSE)*RecovTax+VLOOKUP($G$19,RecovMatrix,4,FALSE)*RecovIns)*$B$19/12*INDEX(Cum_OpEx,1,J$77)*(1+IF(AdminFeeOn="On",AdminFeePct,0))+(VLOOKUP($G$20,RecovMatrix,2,FALSE)*RecovCAM+VLOOKUP($G$20,RecovMatrix,3,FALSE)*RecovTax+VLOOKUP($G$20,RecovMatrix,4,FALSE)*RecovIns)*$B$20/12*INDEX(Cum_OpEx,1,J$77)*(1+IF(AdminFeeOn="On",AdminFeePct,0))+(VLOOKUP($G$21,RecovMatrix,2,FALSE)*RecovCAM+VLOOKUP($G$21,RecovMatrix,3,FALSE)*RecovTax+VLOOKUP($G$21,RecovMatrix,4,FALSE)*RecovIns)*$B$21/12*INDEX(Cum_OpEx,1,J$77)*(1+IF(AdminFeeOn="On",AdminFeePct,0))+(VLOOKUP($G$22,RecovMatrix,2,FALSE)*RecovCAM+VLOOKUP($G$22,RecovMatrix,3,FALSE)*RecovTax+VLOOKUP($G$22,RecovMatrix,4,FALSE)*RecovIns)*$B$22/12*INDEX(Cum_OpEx,1,J$77)*(1+IF(AdminFeeOn="On",AdminFeePct,0)))*Assumptions!J$74</f>
        <v/>
      </c>
      <c r="K37" s="50">
        <f>((VLOOKUP($G$17,RecovMatrix,2,FALSE)*RecovCAM+VLOOKUP($G$17,RecovMatrix,3,FALSE)*RecovTax+VLOOKUP($G$17,RecovMatrix,4,FALSE)*RecovIns)*$B$17/12*INDEX(Cum_OpEx,1,K$77)*(1+IF(AdminFeeOn="On",AdminFeePct,0))+(VLOOKUP($G$18,RecovMatrix,2,FALSE)*RecovCAM+VLOOKUP($G$18,RecovMatrix,3,FALSE)*RecovTax+VLOOKUP($G$18,RecovMatrix,4,FALSE)*RecovIns)*$B$18/12*INDEX(Cum_OpEx,1,K$77)*(1+IF(AdminFeeOn="On",AdminFeePct,0))+(VLOOKUP($G$19,RecovMatrix,2,FALSE)*RecovCAM+VLOOKUP($G$19,RecovMatrix,3,FALSE)*RecovTax+VLOOKUP($G$19,RecovMatrix,4,FALSE)*RecovIns)*$B$19/12*INDEX(Cum_OpEx,1,K$77)*(1+IF(AdminFeeOn="On",AdminFeePct,0))+(VLOOKUP($G$20,RecovMatrix,2,FALSE)*RecovCAM+VLOOKUP($G$20,RecovMatrix,3,FALSE)*RecovTax+VLOOKUP($G$20,RecovMatrix,4,FALSE)*RecovIns)*$B$20/12*INDEX(Cum_OpEx,1,K$77)*(1+IF(AdminFeeOn="On",AdminFeePct,0))+(VLOOKUP($G$21,RecovMatrix,2,FALSE)*RecovCAM+VLOOKUP($G$21,RecovMatrix,3,FALSE)*RecovTax+VLOOKUP($G$21,RecovMatrix,4,FALSE)*RecovIns)*$B$21/12*INDEX(Cum_OpEx,1,K$77)*(1+IF(AdminFeeOn="On",AdminFeePct,0))+(VLOOKUP($G$22,RecovMatrix,2,FALSE)*RecovCAM+VLOOKUP($G$22,RecovMatrix,3,FALSE)*RecovTax+VLOOKUP($G$22,RecovMatrix,4,FALSE)*RecovIns)*$B$22/12*INDEX(Cum_OpEx,1,K$77)*(1+IF(AdminFeeOn="On",AdminFeePct,0)))*Assumptions!K$74</f>
        <v/>
      </c>
      <c r="L37" s="50">
        <f>((VLOOKUP($G$17,RecovMatrix,2,FALSE)*RecovCAM+VLOOKUP($G$17,RecovMatrix,3,FALSE)*RecovTax+VLOOKUP($G$17,RecovMatrix,4,FALSE)*RecovIns)*$B$17/12*INDEX(Cum_OpEx,1,L$77)*(1+IF(AdminFeeOn="On",AdminFeePct,0))+(VLOOKUP($G$18,RecovMatrix,2,FALSE)*RecovCAM+VLOOKUP($G$18,RecovMatrix,3,FALSE)*RecovTax+VLOOKUP($G$18,RecovMatrix,4,FALSE)*RecovIns)*$B$18/12*INDEX(Cum_OpEx,1,L$77)*(1+IF(AdminFeeOn="On",AdminFeePct,0))+(VLOOKUP($G$19,RecovMatrix,2,FALSE)*RecovCAM+VLOOKUP($G$19,RecovMatrix,3,FALSE)*RecovTax+VLOOKUP($G$19,RecovMatrix,4,FALSE)*RecovIns)*$B$19/12*INDEX(Cum_OpEx,1,L$77)*(1+IF(AdminFeeOn="On",AdminFeePct,0))+(VLOOKUP($G$20,RecovMatrix,2,FALSE)*RecovCAM+VLOOKUP($G$20,RecovMatrix,3,FALSE)*RecovTax+VLOOKUP($G$20,RecovMatrix,4,FALSE)*RecovIns)*$B$20/12*INDEX(Cum_OpEx,1,L$77)*(1+IF(AdminFeeOn="On",AdminFeePct,0))+(VLOOKUP($G$21,RecovMatrix,2,FALSE)*RecovCAM+VLOOKUP($G$21,RecovMatrix,3,FALSE)*RecovTax+VLOOKUP($G$21,RecovMatrix,4,FALSE)*RecovIns)*$B$21/12*INDEX(Cum_OpEx,1,L$77)*(1+IF(AdminFeeOn="On",AdminFeePct,0))+(VLOOKUP($G$22,RecovMatrix,2,FALSE)*RecovCAM+VLOOKUP($G$22,RecovMatrix,3,FALSE)*RecovTax+VLOOKUP($G$22,RecovMatrix,4,FALSE)*RecovIns)*$B$22/12*INDEX(Cum_OpEx,1,L$77)*(1+IF(AdminFeeOn="On",AdminFeePct,0)))*Assumptions!L$74</f>
        <v/>
      </c>
      <c r="M37" s="50">
        <f>((VLOOKUP($G$17,RecovMatrix,2,FALSE)*RecovCAM+VLOOKUP($G$17,RecovMatrix,3,FALSE)*RecovTax+VLOOKUP($G$17,RecovMatrix,4,FALSE)*RecovIns)*$B$17/12*INDEX(Cum_OpEx,1,M$77)*(1+IF(AdminFeeOn="On",AdminFeePct,0))+(VLOOKUP($G$18,RecovMatrix,2,FALSE)*RecovCAM+VLOOKUP($G$18,RecovMatrix,3,FALSE)*RecovTax+VLOOKUP($G$18,RecovMatrix,4,FALSE)*RecovIns)*$B$18/12*INDEX(Cum_OpEx,1,M$77)*(1+IF(AdminFeeOn="On",AdminFeePct,0))+(VLOOKUP($G$19,RecovMatrix,2,FALSE)*RecovCAM+VLOOKUP($G$19,RecovMatrix,3,FALSE)*RecovTax+VLOOKUP($G$19,RecovMatrix,4,FALSE)*RecovIns)*$B$19/12*INDEX(Cum_OpEx,1,M$77)*(1+IF(AdminFeeOn="On",AdminFeePct,0))+(VLOOKUP($G$20,RecovMatrix,2,FALSE)*RecovCAM+VLOOKUP($G$20,RecovMatrix,3,FALSE)*RecovTax+VLOOKUP($G$20,RecovMatrix,4,FALSE)*RecovIns)*$B$20/12*INDEX(Cum_OpEx,1,M$77)*(1+IF(AdminFeeOn="On",AdminFeePct,0))+(VLOOKUP($G$21,RecovMatrix,2,FALSE)*RecovCAM+VLOOKUP($G$21,RecovMatrix,3,FALSE)*RecovTax+VLOOKUP($G$21,RecovMatrix,4,FALSE)*RecovIns)*$B$21/12*INDEX(Cum_OpEx,1,M$77)*(1+IF(AdminFeeOn="On",AdminFeePct,0))+(VLOOKUP($G$22,RecovMatrix,2,FALSE)*RecovCAM+VLOOKUP($G$22,RecovMatrix,3,FALSE)*RecovTax+VLOOKUP($G$22,RecovMatrix,4,FALSE)*RecovIns)*$B$22/12*INDEX(Cum_OpEx,1,M$77)*(1+IF(AdminFeeOn="On",AdminFeePct,0)))*Assumptions!M$74</f>
        <v/>
      </c>
      <c r="N37" s="50">
        <f>((VLOOKUP($G$17,RecovMatrix,2,FALSE)*RecovCAM+VLOOKUP($G$17,RecovMatrix,3,FALSE)*RecovTax+VLOOKUP($G$17,RecovMatrix,4,FALSE)*RecovIns)*$B$17/12*INDEX(Cum_OpEx,1,N$77)*(1+IF(AdminFeeOn="On",AdminFeePct,0))+(VLOOKUP($G$18,RecovMatrix,2,FALSE)*RecovCAM+VLOOKUP($G$18,RecovMatrix,3,FALSE)*RecovTax+VLOOKUP($G$18,RecovMatrix,4,FALSE)*RecovIns)*$B$18/12*INDEX(Cum_OpEx,1,N$77)*(1+IF(AdminFeeOn="On",AdminFeePct,0))+(VLOOKUP($G$19,RecovMatrix,2,FALSE)*RecovCAM+VLOOKUP($G$19,RecovMatrix,3,FALSE)*RecovTax+VLOOKUP($G$19,RecovMatrix,4,FALSE)*RecovIns)*$B$19/12*INDEX(Cum_OpEx,1,N$77)*(1+IF(AdminFeeOn="On",AdminFeePct,0))+(VLOOKUP($G$20,RecovMatrix,2,FALSE)*RecovCAM+VLOOKUP($G$20,RecovMatrix,3,FALSE)*RecovTax+VLOOKUP($G$20,RecovMatrix,4,FALSE)*RecovIns)*$B$20/12*INDEX(Cum_OpEx,1,N$77)*(1+IF(AdminFeeOn="On",AdminFeePct,0))+(VLOOKUP($G$21,RecovMatrix,2,FALSE)*RecovCAM+VLOOKUP($G$21,RecovMatrix,3,FALSE)*RecovTax+VLOOKUP($G$21,RecovMatrix,4,FALSE)*RecovIns)*$B$21/12*INDEX(Cum_OpEx,1,N$77)*(1+IF(AdminFeeOn="On",AdminFeePct,0))+(VLOOKUP($G$22,RecovMatrix,2,FALSE)*RecovCAM+VLOOKUP($G$22,RecovMatrix,3,FALSE)*RecovTax+VLOOKUP($G$22,RecovMatrix,4,FALSE)*RecovIns)*$B$22/12*INDEX(Cum_OpEx,1,N$77)*(1+IF(AdminFeeOn="On",AdminFeePct,0)))*Assumptions!N$74</f>
        <v/>
      </c>
      <c r="O37" s="50">
        <f>((VLOOKUP($G$17,RecovMatrix,2,FALSE)*RecovCAM+VLOOKUP($G$17,RecovMatrix,3,FALSE)*RecovTax+VLOOKUP($G$17,RecovMatrix,4,FALSE)*RecovIns)*$B$17/12*INDEX(Cum_OpEx,1,O$77)*(1+IF(AdminFeeOn="On",AdminFeePct,0))+(VLOOKUP($G$18,RecovMatrix,2,FALSE)*RecovCAM+VLOOKUP($G$18,RecovMatrix,3,FALSE)*RecovTax+VLOOKUP($G$18,RecovMatrix,4,FALSE)*RecovIns)*$B$18/12*INDEX(Cum_OpEx,1,O$77)*(1+IF(AdminFeeOn="On",AdminFeePct,0))+(VLOOKUP($G$19,RecovMatrix,2,FALSE)*RecovCAM+VLOOKUP($G$19,RecovMatrix,3,FALSE)*RecovTax+VLOOKUP($G$19,RecovMatrix,4,FALSE)*RecovIns)*$B$19/12*INDEX(Cum_OpEx,1,O$77)*(1+IF(AdminFeeOn="On",AdminFeePct,0))+(VLOOKUP($G$20,RecovMatrix,2,FALSE)*RecovCAM+VLOOKUP($G$20,RecovMatrix,3,FALSE)*RecovTax+VLOOKUP($G$20,RecovMatrix,4,FALSE)*RecovIns)*$B$20/12*INDEX(Cum_OpEx,1,O$77)*(1+IF(AdminFeeOn="On",AdminFeePct,0))+(VLOOKUP($G$21,RecovMatrix,2,FALSE)*RecovCAM+VLOOKUP($G$21,RecovMatrix,3,FALSE)*RecovTax+VLOOKUP($G$21,RecovMatrix,4,FALSE)*RecovIns)*$B$21/12*INDEX(Cum_OpEx,1,O$77)*(1+IF(AdminFeeOn="On",AdminFeePct,0))+(VLOOKUP($G$22,RecovMatrix,2,FALSE)*RecovCAM+VLOOKUP($G$22,RecovMatrix,3,FALSE)*RecovTax+VLOOKUP($G$22,RecovMatrix,4,FALSE)*RecovIns)*$B$22/12*INDEX(Cum_OpEx,1,O$77)*(1+IF(AdminFeeOn="On",AdminFeePct,0)))*Assumptions!O$74</f>
        <v/>
      </c>
      <c r="P37" s="50">
        <f>((VLOOKUP($G$17,RecovMatrix,2,FALSE)*RecovCAM+VLOOKUP($G$17,RecovMatrix,3,FALSE)*RecovTax+VLOOKUP($G$17,RecovMatrix,4,FALSE)*RecovIns)*$B$17/12*INDEX(Cum_OpEx,1,P$77)*(1+IF(AdminFeeOn="On",AdminFeePct,0))+(VLOOKUP($G$18,RecovMatrix,2,FALSE)*RecovCAM+VLOOKUP($G$18,RecovMatrix,3,FALSE)*RecovTax+VLOOKUP($G$18,RecovMatrix,4,FALSE)*RecovIns)*$B$18/12*INDEX(Cum_OpEx,1,P$77)*(1+IF(AdminFeeOn="On",AdminFeePct,0))+(VLOOKUP($G$19,RecovMatrix,2,FALSE)*RecovCAM+VLOOKUP($G$19,RecovMatrix,3,FALSE)*RecovTax+VLOOKUP($G$19,RecovMatrix,4,FALSE)*RecovIns)*$B$19/12*INDEX(Cum_OpEx,1,P$77)*(1+IF(AdminFeeOn="On",AdminFeePct,0))+(VLOOKUP($G$20,RecovMatrix,2,FALSE)*RecovCAM+VLOOKUP($G$20,RecovMatrix,3,FALSE)*RecovTax+VLOOKUP($G$20,RecovMatrix,4,FALSE)*RecovIns)*$B$20/12*INDEX(Cum_OpEx,1,P$77)*(1+IF(AdminFeeOn="On",AdminFeePct,0))+(VLOOKUP($G$21,RecovMatrix,2,FALSE)*RecovCAM+VLOOKUP($G$21,RecovMatrix,3,FALSE)*RecovTax+VLOOKUP($G$21,RecovMatrix,4,FALSE)*RecovIns)*$B$21/12*INDEX(Cum_OpEx,1,P$77)*(1+IF(AdminFeeOn="On",AdminFeePct,0))+(VLOOKUP($G$22,RecovMatrix,2,FALSE)*RecovCAM+VLOOKUP($G$22,RecovMatrix,3,FALSE)*RecovTax+VLOOKUP($G$22,RecovMatrix,4,FALSE)*RecovIns)*$B$22/12*INDEX(Cum_OpEx,1,P$77)*(1+IF(AdminFeeOn="On",AdminFeePct,0)))*Assumptions!P$74</f>
        <v/>
      </c>
      <c r="Q37" s="50">
        <f>((VLOOKUP($G$17,RecovMatrix,2,FALSE)*RecovCAM+VLOOKUP($G$17,RecovMatrix,3,FALSE)*RecovTax+VLOOKUP($G$17,RecovMatrix,4,FALSE)*RecovIns)*$B$17/12*INDEX(Cum_OpEx,1,Q$77)*(1+IF(AdminFeeOn="On",AdminFeePct,0))+(VLOOKUP($G$18,RecovMatrix,2,FALSE)*RecovCAM+VLOOKUP($G$18,RecovMatrix,3,FALSE)*RecovTax+VLOOKUP($G$18,RecovMatrix,4,FALSE)*RecovIns)*$B$18/12*INDEX(Cum_OpEx,1,Q$77)*(1+IF(AdminFeeOn="On",AdminFeePct,0))+(VLOOKUP($G$19,RecovMatrix,2,FALSE)*RecovCAM+VLOOKUP($G$19,RecovMatrix,3,FALSE)*RecovTax+VLOOKUP($G$19,RecovMatrix,4,FALSE)*RecovIns)*$B$19/12*INDEX(Cum_OpEx,1,Q$77)*(1+IF(AdminFeeOn="On",AdminFeePct,0))+(VLOOKUP($G$20,RecovMatrix,2,FALSE)*RecovCAM+VLOOKUP($G$20,RecovMatrix,3,FALSE)*RecovTax+VLOOKUP($G$20,RecovMatrix,4,FALSE)*RecovIns)*$B$20/12*INDEX(Cum_OpEx,1,Q$77)*(1+IF(AdminFeeOn="On",AdminFeePct,0))+(VLOOKUP($G$21,RecovMatrix,2,FALSE)*RecovCAM+VLOOKUP($G$21,RecovMatrix,3,FALSE)*RecovTax+VLOOKUP($G$21,RecovMatrix,4,FALSE)*RecovIns)*$B$21/12*INDEX(Cum_OpEx,1,Q$77)*(1+IF(AdminFeeOn="On",AdminFeePct,0))+(VLOOKUP($G$22,RecovMatrix,2,FALSE)*RecovCAM+VLOOKUP($G$22,RecovMatrix,3,FALSE)*RecovTax+VLOOKUP($G$22,RecovMatrix,4,FALSE)*RecovIns)*$B$22/12*INDEX(Cum_OpEx,1,Q$77)*(1+IF(AdminFeeOn="On",AdminFeePct,0)))*Assumptions!Q$74</f>
        <v/>
      </c>
      <c r="R37" s="50">
        <f>((VLOOKUP($G$17,RecovMatrix,2,FALSE)*RecovCAM+VLOOKUP($G$17,RecovMatrix,3,FALSE)*RecovTax+VLOOKUP($G$17,RecovMatrix,4,FALSE)*RecovIns)*$B$17/12*INDEX(Cum_OpEx,1,R$77)*(1+IF(AdminFeeOn="On",AdminFeePct,0))+(VLOOKUP($G$18,RecovMatrix,2,FALSE)*RecovCAM+VLOOKUP($G$18,RecovMatrix,3,FALSE)*RecovTax+VLOOKUP($G$18,RecovMatrix,4,FALSE)*RecovIns)*$B$18/12*INDEX(Cum_OpEx,1,R$77)*(1+IF(AdminFeeOn="On",AdminFeePct,0))+(VLOOKUP($G$19,RecovMatrix,2,FALSE)*RecovCAM+VLOOKUP($G$19,RecovMatrix,3,FALSE)*RecovTax+VLOOKUP($G$19,RecovMatrix,4,FALSE)*RecovIns)*$B$19/12*INDEX(Cum_OpEx,1,R$77)*(1+IF(AdminFeeOn="On",AdminFeePct,0))+(VLOOKUP($G$20,RecovMatrix,2,FALSE)*RecovCAM+VLOOKUP($G$20,RecovMatrix,3,FALSE)*RecovTax+VLOOKUP($G$20,RecovMatrix,4,FALSE)*RecovIns)*$B$20/12*INDEX(Cum_OpEx,1,R$77)*(1+IF(AdminFeeOn="On",AdminFeePct,0))+(VLOOKUP($G$21,RecovMatrix,2,FALSE)*RecovCAM+VLOOKUP($G$21,RecovMatrix,3,FALSE)*RecovTax+VLOOKUP($G$21,RecovMatrix,4,FALSE)*RecovIns)*$B$21/12*INDEX(Cum_OpEx,1,R$77)*(1+IF(AdminFeeOn="On",AdminFeePct,0))+(VLOOKUP($G$22,RecovMatrix,2,FALSE)*RecovCAM+VLOOKUP($G$22,RecovMatrix,3,FALSE)*RecovTax+VLOOKUP($G$22,RecovMatrix,4,FALSE)*RecovIns)*$B$22/12*INDEX(Cum_OpEx,1,R$77)*(1+IF(AdminFeeOn="On",AdminFeePct,0)))*Assumptions!R$74</f>
        <v/>
      </c>
      <c r="S37" s="50">
        <f>((VLOOKUP($G$17,RecovMatrix,2,FALSE)*RecovCAM+VLOOKUP($G$17,RecovMatrix,3,FALSE)*RecovTax+VLOOKUP($G$17,RecovMatrix,4,FALSE)*RecovIns)*$B$17/12*INDEX(Cum_OpEx,1,S$77)*(1+IF(AdminFeeOn="On",AdminFeePct,0))+(VLOOKUP($G$18,RecovMatrix,2,FALSE)*RecovCAM+VLOOKUP($G$18,RecovMatrix,3,FALSE)*RecovTax+VLOOKUP($G$18,RecovMatrix,4,FALSE)*RecovIns)*$B$18/12*INDEX(Cum_OpEx,1,S$77)*(1+IF(AdminFeeOn="On",AdminFeePct,0))+(VLOOKUP($G$19,RecovMatrix,2,FALSE)*RecovCAM+VLOOKUP($G$19,RecovMatrix,3,FALSE)*RecovTax+VLOOKUP($G$19,RecovMatrix,4,FALSE)*RecovIns)*$B$19/12*INDEX(Cum_OpEx,1,S$77)*(1+IF(AdminFeeOn="On",AdminFeePct,0))+(VLOOKUP($G$20,RecovMatrix,2,FALSE)*RecovCAM+VLOOKUP($G$20,RecovMatrix,3,FALSE)*RecovTax+VLOOKUP($G$20,RecovMatrix,4,FALSE)*RecovIns)*$B$20/12*INDEX(Cum_OpEx,1,S$77)*(1+IF(AdminFeeOn="On",AdminFeePct,0))+(VLOOKUP($G$21,RecovMatrix,2,FALSE)*RecovCAM+VLOOKUP($G$21,RecovMatrix,3,FALSE)*RecovTax+VLOOKUP($G$21,RecovMatrix,4,FALSE)*RecovIns)*$B$21/12*INDEX(Cum_OpEx,1,S$77)*(1+IF(AdminFeeOn="On",AdminFeePct,0))+(VLOOKUP($G$22,RecovMatrix,2,FALSE)*RecovCAM+VLOOKUP($G$22,RecovMatrix,3,FALSE)*RecovTax+VLOOKUP($G$22,RecovMatrix,4,FALSE)*RecovIns)*$B$22/12*INDEX(Cum_OpEx,1,S$77)*(1+IF(AdminFeeOn="On",AdminFeePct,0)))*Assumptions!S$74</f>
        <v/>
      </c>
      <c r="T37" s="50">
        <f>((VLOOKUP($G$17,RecovMatrix,2,FALSE)*RecovCAM+VLOOKUP($G$17,RecovMatrix,3,FALSE)*RecovTax+VLOOKUP($G$17,RecovMatrix,4,FALSE)*RecovIns)*$B$17/12*INDEX(Cum_OpEx,1,T$77)*(1+IF(AdminFeeOn="On",AdminFeePct,0))+(VLOOKUP($G$18,RecovMatrix,2,FALSE)*RecovCAM+VLOOKUP($G$18,RecovMatrix,3,FALSE)*RecovTax+VLOOKUP($G$18,RecovMatrix,4,FALSE)*RecovIns)*$B$18/12*INDEX(Cum_OpEx,1,T$77)*(1+IF(AdminFeeOn="On",AdminFeePct,0))+(VLOOKUP($G$19,RecovMatrix,2,FALSE)*RecovCAM+VLOOKUP($G$19,RecovMatrix,3,FALSE)*RecovTax+VLOOKUP($G$19,RecovMatrix,4,FALSE)*RecovIns)*$B$19/12*INDEX(Cum_OpEx,1,T$77)*(1+IF(AdminFeeOn="On",AdminFeePct,0))+(VLOOKUP($G$20,RecovMatrix,2,FALSE)*RecovCAM+VLOOKUP($G$20,RecovMatrix,3,FALSE)*RecovTax+VLOOKUP($G$20,RecovMatrix,4,FALSE)*RecovIns)*$B$20/12*INDEX(Cum_OpEx,1,T$77)*(1+IF(AdminFeeOn="On",AdminFeePct,0))+(VLOOKUP($G$21,RecovMatrix,2,FALSE)*RecovCAM+VLOOKUP($G$21,RecovMatrix,3,FALSE)*RecovTax+VLOOKUP($G$21,RecovMatrix,4,FALSE)*RecovIns)*$B$21/12*INDEX(Cum_OpEx,1,T$77)*(1+IF(AdminFeeOn="On",AdminFeePct,0))+(VLOOKUP($G$22,RecovMatrix,2,FALSE)*RecovCAM+VLOOKUP($G$22,RecovMatrix,3,FALSE)*RecovTax+VLOOKUP($G$22,RecovMatrix,4,FALSE)*RecovIns)*$B$22/12*INDEX(Cum_OpEx,1,T$77)*(1+IF(AdminFeeOn="On",AdminFeePct,0)))*Assumptions!T$74</f>
        <v/>
      </c>
      <c r="U37" s="50">
        <f>((VLOOKUP($G$17,RecovMatrix,2,FALSE)*RecovCAM+VLOOKUP($G$17,RecovMatrix,3,FALSE)*RecovTax+VLOOKUP($G$17,RecovMatrix,4,FALSE)*RecovIns)*$B$17/12*INDEX(Cum_OpEx,1,U$77)*(1+IF(AdminFeeOn="On",AdminFeePct,0))+(VLOOKUP($G$18,RecovMatrix,2,FALSE)*RecovCAM+VLOOKUP($G$18,RecovMatrix,3,FALSE)*RecovTax+VLOOKUP($G$18,RecovMatrix,4,FALSE)*RecovIns)*$B$18/12*INDEX(Cum_OpEx,1,U$77)*(1+IF(AdminFeeOn="On",AdminFeePct,0))+(VLOOKUP($G$19,RecovMatrix,2,FALSE)*RecovCAM+VLOOKUP($G$19,RecovMatrix,3,FALSE)*RecovTax+VLOOKUP($G$19,RecovMatrix,4,FALSE)*RecovIns)*$B$19/12*INDEX(Cum_OpEx,1,U$77)*(1+IF(AdminFeeOn="On",AdminFeePct,0))+(VLOOKUP($G$20,RecovMatrix,2,FALSE)*RecovCAM+VLOOKUP($G$20,RecovMatrix,3,FALSE)*RecovTax+VLOOKUP($G$20,RecovMatrix,4,FALSE)*RecovIns)*$B$20/12*INDEX(Cum_OpEx,1,U$77)*(1+IF(AdminFeeOn="On",AdminFeePct,0))+(VLOOKUP($G$21,RecovMatrix,2,FALSE)*RecovCAM+VLOOKUP($G$21,RecovMatrix,3,FALSE)*RecovTax+VLOOKUP($G$21,RecovMatrix,4,FALSE)*RecovIns)*$B$21/12*INDEX(Cum_OpEx,1,U$77)*(1+IF(AdminFeeOn="On",AdminFeePct,0))+(VLOOKUP($G$22,RecovMatrix,2,FALSE)*RecovCAM+VLOOKUP($G$22,RecovMatrix,3,FALSE)*RecovTax+VLOOKUP($G$22,RecovMatrix,4,FALSE)*RecovIns)*$B$22/12*INDEX(Cum_OpEx,1,U$77)*(1+IF(AdminFeeOn="On",AdminFeePct,0)))*Assumptions!U$74</f>
        <v/>
      </c>
      <c r="V37" s="50">
        <f>((VLOOKUP($G$17,RecovMatrix,2,FALSE)*RecovCAM+VLOOKUP($G$17,RecovMatrix,3,FALSE)*RecovTax+VLOOKUP($G$17,RecovMatrix,4,FALSE)*RecovIns)*$B$17/12*INDEX(Cum_OpEx,1,V$77)*(1+IF(AdminFeeOn="On",AdminFeePct,0))+(VLOOKUP($G$18,RecovMatrix,2,FALSE)*RecovCAM+VLOOKUP($G$18,RecovMatrix,3,FALSE)*RecovTax+VLOOKUP($G$18,RecovMatrix,4,FALSE)*RecovIns)*$B$18/12*INDEX(Cum_OpEx,1,V$77)*(1+IF(AdminFeeOn="On",AdminFeePct,0))+(VLOOKUP($G$19,RecovMatrix,2,FALSE)*RecovCAM+VLOOKUP($G$19,RecovMatrix,3,FALSE)*RecovTax+VLOOKUP($G$19,RecovMatrix,4,FALSE)*RecovIns)*$B$19/12*INDEX(Cum_OpEx,1,V$77)*(1+IF(AdminFeeOn="On",AdminFeePct,0))+(VLOOKUP($G$20,RecovMatrix,2,FALSE)*RecovCAM+VLOOKUP($G$20,RecovMatrix,3,FALSE)*RecovTax+VLOOKUP($G$20,RecovMatrix,4,FALSE)*RecovIns)*$B$20/12*INDEX(Cum_OpEx,1,V$77)*(1+IF(AdminFeeOn="On",AdminFeePct,0))+(VLOOKUP($G$21,RecovMatrix,2,FALSE)*RecovCAM+VLOOKUP($G$21,RecovMatrix,3,FALSE)*RecovTax+VLOOKUP($G$21,RecovMatrix,4,FALSE)*RecovIns)*$B$21/12*INDEX(Cum_OpEx,1,V$77)*(1+IF(AdminFeeOn="On",AdminFeePct,0))+(VLOOKUP($G$22,RecovMatrix,2,FALSE)*RecovCAM+VLOOKUP($G$22,RecovMatrix,3,FALSE)*RecovTax+VLOOKUP($G$22,RecovMatrix,4,FALSE)*RecovIns)*$B$22/12*INDEX(Cum_OpEx,1,V$77)*(1+IF(AdminFeeOn="On",AdminFeePct,0)))*Assumptions!V$74</f>
        <v/>
      </c>
      <c r="W37" s="50">
        <f>((VLOOKUP($G$17,RecovMatrix,2,FALSE)*RecovCAM+VLOOKUP($G$17,RecovMatrix,3,FALSE)*RecovTax+VLOOKUP($G$17,RecovMatrix,4,FALSE)*RecovIns)*$B$17/12*INDEX(Cum_OpEx,1,W$77)*(1+IF(AdminFeeOn="On",AdminFeePct,0))+(VLOOKUP($G$18,RecovMatrix,2,FALSE)*RecovCAM+VLOOKUP($G$18,RecovMatrix,3,FALSE)*RecovTax+VLOOKUP($G$18,RecovMatrix,4,FALSE)*RecovIns)*$B$18/12*INDEX(Cum_OpEx,1,W$77)*(1+IF(AdminFeeOn="On",AdminFeePct,0))+(VLOOKUP($G$19,RecovMatrix,2,FALSE)*RecovCAM+VLOOKUP($G$19,RecovMatrix,3,FALSE)*RecovTax+VLOOKUP($G$19,RecovMatrix,4,FALSE)*RecovIns)*$B$19/12*INDEX(Cum_OpEx,1,W$77)*(1+IF(AdminFeeOn="On",AdminFeePct,0))+(VLOOKUP($G$20,RecovMatrix,2,FALSE)*RecovCAM+VLOOKUP($G$20,RecovMatrix,3,FALSE)*RecovTax+VLOOKUP($G$20,RecovMatrix,4,FALSE)*RecovIns)*$B$20/12*INDEX(Cum_OpEx,1,W$77)*(1+IF(AdminFeeOn="On",AdminFeePct,0))+(VLOOKUP($G$21,RecovMatrix,2,FALSE)*RecovCAM+VLOOKUP($G$21,RecovMatrix,3,FALSE)*RecovTax+VLOOKUP($G$21,RecovMatrix,4,FALSE)*RecovIns)*$B$21/12*INDEX(Cum_OpEx,1,W$77)*(1+IF(AdminFeeOn="On",AdminFeePct,0))+(VLOOKUP($G$22,RecovMatrix,2,FALSE)*RecovCAM+VLOOKUP($G$22,RecovMatrix,3,FALSE)*RecovTax+VLOOKUP($G$22,RecovMatrix,4,FALSE)*RecovIns)*$B$22/12*INDEX(Cum_OpEx,1,W$77)*(1+IF(AdminFeeOn="On",AdminFeePct,0)))*Assumptions!W$74</f>
        <v/>
      </c>
      <c r="X37" s="50">
        <f>((VLOOKUP($G$17,RecovMatrix,2,FALSE)*RecovCAM+VLOOKUP($G$17,RecovMatrix,3,FALSE)*RecovTax+VLOOKUP($G$17,RecovMatrix,4,FALSE)*RecovIns)*$B$17/12*INDEX(Cum_OpEx,1,X$77)*(1+IF(AdminFeeOn="On",AdminFeePct,0))+(VLOOKUP($G$18,RecovMatrix,2,FALSE)*RecovCAM+VLOOKUP($G$18,RecovMatrix,3,FALSE)*RecovTax+VLOOKUP($G$18,RecovMatrix,4,FALSE)*RecovIns)*$B$18/12*INDEX(Cum_OpEx,1,X$77)*(1+IF(AdminFeeOn="On",AdminFeePct,0))+(VLOOKUP($G$19,RecovMatrix,2,FALSE)*RecovCAM+VLOOKUP($G$19,RecovMatrix,3,FALSE)*RecovTax+VLOOKUP($G$19,RecovMatrix,4,FALSE)*RecovIns)*$B$19/12*INDEX(Cum_OpEx,1,X$77)*(1+IF(AdminFeeOn="On",AdminFeePct,0))+(VLOOKUP($G$20,RecovMatrix,2,FALSE)*RecovCAM+VLOOKUP($G$20,RecovMatrix,3,FALSE)*RecovTax+VLOOKUP($G$20,RecovMatrix,4,FALSE)*RecovIns)*$B$20/12*INDEX(Cum_OpEx,1,X$77)*(1+IF(AdminFeeOn="On",AdminFeePct,0))+(VLOOKUP($G$21,RecovMatrix,2,FALSE)*RecovCAM+VLOOKUP($G$21,RecovMatrix,3,FALSE)*RecovTax+VLOOKUP($G$21,RecovMatrix,4,FALSE)*RecovIns)*$B$21/12*INDEX(Cum_OpEx,1,X$77)*(1+IF(AdminFeeOn="On",AdminFeePct,0))+(VLOOKUP($G$22,RecovMatrix,2,FALSE)*RecovCAM+VLOOKUP($G$22,RecovMatrix,3,FALSE)*RecovTax+VLOOKUP($G$22,RecovMatrix,4,FALSE)*RecovIns)*$B$22/12*INDEX(Cum_OpEx,1,X$77)*(1+IF(AdminFeeOn="On",AdminFeePct,0)))*Assumptions!X$74</f>
        <v/>
      </c>
      <c r="Y37" s="50">
        <f>((VLOOKUP($G$17,RecovMatrix,2,FALSE)*RecovCAM+VLOOKUP($G$17,RecovMatrix,3,FALSE)*RecovTax+VLOOKUP($G$17,RecovMatrix,4,FALSE)*RecovIns)*$B$17/12*INDEX(Cum_OpEx,1,Y$77)*(1+IF(AdminFeeOn="On",AdminFeePct,0))+(VLOOKUP($G$18,RecovMatrix,2,FALSE)*RecovCAM+VLOOKUP($G$18,RecovMatrix,3,FALSE)*RecovTax+VLOOKUP($G$18,RecovMatrix,4,FALSE)*RecovIns)*$B$18/12*INDEX(Cum_OpEx,1,Y$77)*(1+IF(AdminFeeOn="On",AdminFeePct,0))+(VLOOKUP($G$19,RecovMatrix,2,FALSE)*RecovCAM+VLOOKUP($G$19,RecovMatrix,3,FALSE)*RecovTax+VLOOKUP($G$19,RecovMatrix,4,FALSE)*RecovIns)*$B$19/12*INDEX(Cum_OpEx,1,Y$77)*(1+IF(AdminFeeOn="On",AdminFeePct,0))+(VLOOKUP($G$20,RecovMatrix,2,FALSE)*RecovCAM+VLOOKUP($G$20,RecovMatrix,3,FALSE)*RecovTax+VLOOKUP($G$20,RecovMatrix,4,FALSE)*RecovIns)*$B$20/12*INDEX(Cum_OpEx,1,Y$77)*(1+IF(AdminFeeOn="On",AdminFeePct,0))+(VLOOKUP($G$21,RecovMatrix,2,FALSE)*RecovCAM+VLOOKUP($G$21,RecovMatrix,3,FALSE)*RecovTax+VLOOKUP($G$21,RecovMatrix,4,FALSE)*RecovIns)*$B$21/12*INDEX(Cum_OpEx,1,Y$77)*(1+IF(AdminFeeOn="On",AdminFeePct,0))+(VLOOKUP($G$22,RecovMatrix,2,FALSE)*RecovCAM+VLOOKUP($G$22,RecovMatrix,3,FALSE)*RecovTax+VLOOKUP($G$22,RecovMatrix,4,FALSE)*RecovIns)*$B$22/12*INDEX(Cum_OpEx,1,Y$77)*(1+IF(AdminFeeOn="On",AdminFeePct,0)))*Assumptions!Y$74</f>
        <v/>
      </c>
      <c r="Z37" s="50">
        <f>((VLOOKUP($G$17,RecovMatrix,2,FALSE)*RecovCAM+VLOOKUP($G$17,RecovMatrix,3,FALSE)*RecovTax+VLOOKUP($G$17,RecovMatrix,4,FALSE)*RecovIns)*$B$17/12*INDEX(Cum_OpEx,1,Z$77)*(1+IF(AdminFeeOn="On",AdminFeePct,0))+(VLOOKUP($G$18,RecovMatrix,2,FALSE)*RecovCAM+VLOOKUP($G$18,RecovMatrix,3,FALSE)*RecovTax+VLOOKUP($G$18,RecovMatrix,4,FALSE)*RecovIns)*$B$18/12*INDEX(Cum_OpEx,1,Z$77)*(1+IF(AdminFeeOn="On",AdminFeePct,0))+(VLOOKUP($G$19,RecovMatrix,2,FALSE)*RecovCAM+VLOOKUP($G$19,RecovMatrix,3,FALSE)*RecovTax+VLOOKUP($G$19,RecovMatrix,4,FALSE)*RecovIns)*$B$19/12*INDEX(Cum_OpEx,1,Z$77)*(1+IF(AdminFeeOn="On",AdminFeePct,0))+(VLOOKUP($G$20,RecovMatrix,2,FALSE)*RecovCAM+VLOOKUP($G$20,RecovMatrix,3,FALSE)*RecovTax+VLOOKUP($G$20,RecovMatrix,4,FALSE)*RecovIns)*$B$20/12*INDEX(Cum_OpEx,1,Z$77)*(1+IF(AdminFeeOn="On",AdminFeePct,0))+(VLOOKUP($G$21,RecovMatrix,2,FALSE)*RecovCAM+VLOOKUP($G$21,RecovMatrix,3,FALSE)*RecovTax+VLOOKUP($G$21,RecovMatrix,4,FALSE)*RecovIns)*$B$21/12*INDEX(Cum_OpEx,1,Z$77)*(1+IF(AdminFeeOn="On",AdminFeePct,0))+(VLOOKUP($G$22,RecovMatrix,2,FALSE)*RecovCAM+VLOOKUP($G$22,RecovMatrix,3,FALSE)*RecovTax+VLOOKUP($G$22,RecovMatrix,4,FALSE)*RecovIns)*$B$22/12*INDEX(Cum_OpEx,1,Z$77)*(1+IF(AdminFeeOn="On",AdminFeePct,0)))*Assumptions!Z$74</f>
        <v/>
      </c>
      <c r="AA37" s="50">
        <f>((VLOOKUP($G$17,RecovMatrix,2,FALSE)*RecovCAM+VLOOKUP($G$17,RecovMatrix,3,FALSE)*RecovTax+VLOOKUP($G$17,RecovMatrix,4,FALSE)*RecovIns)*$B$17/12*INDEX(Cum_OpEx,1,AA$77)*(1+IF(AdminFeeOn="On",AdminFeePct,0))+(VLOOKUP($G$18,RecovMatrix,2,FALSE)*RecovCAM+VLOOKUP($G$18,RecovMatrix,3,FALSE)*RecovTax+VLOOKUP($G$18,RecovMatrix,4,FALSE)*RecovIns)*$B$18/12*INDEX(Cum_OpEx,1,AA$77)*(1+IF(AdminFeeOn="On",AdminFeePct,0))+(VLOOKUP($G$19,RecovMatrix,2,FALSE)*RecovCAM+VLOOKUP($G$19,RecovMatrix,3,FALSE)*RecovTax+VLOOKUP($G$19,RecovMatrix,4,FALSE)*RecovIns)*$B$19/12*INDEX(Cum_OpEx,1,AA$77)*(1+IF(AdminFeeOn="On",AdminFeePct,0))+(VLOOKUP($G$20,RecovMatrix,2,FALSE)*RecovCAM+VLOOKUP($G$20,RecovMatrix,3,FALSE)*RecovTax+VLOOKUP($G$20,RecovMatrix,4,FALSE)*RecovIns)*$B$20/12*INDEX(Cum_OpEx,1,AA$77)*(1+IF(AdminFeeOn="On",AdminFeePct,0))+(VLOOKUP($G$21,RecovMatrix,2,FALSE)*RecovCAM+VLOOKUP($G$21,RecovMatrix,3,FALSE)*RecovTax+VLOOKUP($G$21,RecovMatrix,4,FALSE)*RecovIns)*$B$21/12*INDEX(Cum_OpEx,1,AA$77)*(1+IF(AdminFeeOn="On",AdminFeePct,0))+(VLOOKUP($G$22,RecovMatrix,2,FALSE)*RecovCAM+VLOOKUP($G$22,RecovMatrix,3,FALSE)*RecovTax+VLOOKUP($G$22,RecovMatrix,4,FALSE)*RecovIns)*$B$22/12*INDEX(Cum_OpEx,1,AA$77)*(1+IF(AdminFeeOn="On",AdminFeePct,0)))*Assumptions!AA$74</f>
        <v/>
      </c>
      <c r="AB37" s="50">
        <f>((VLOOKUP($G$17,RecovMatrix,2,FALSE)*RecovCAM+VLOOKUP($G$17,RecovMatrix,3,FALSE)*RecovTax+VLOOKUP($G$17,RecovMatrix,4,FALSE)*RecovIns)*$B$17/12*INDEX(Cum_OpEx,1,AB$77)*(1+IF(AdminFeeOn="On",AdminFeePct,0))+(VLOOKUP($G$18,RecovMatrix,2,FALSE)*RecovCAM+VLOOKUP($G$18,RecovMatrix,3,FALSE)*RecovTax+VLOOKUP($G$18,RecovMatrix,4,FALSE)*RecovIns)*$B$18/12*INDEX(Cum_OpEx,1,AB$77)*(1+IF(AdminFeeOn="On",AdminFeePct,0))+(VLOOKUP($G$19,RecovMatrix,2,FALSE)*RecovCAM+VLOOKUP($G$19,RecovMatrix,3,FALSE)*RecovTax+VLOOKUP($G$19,RecovMatrix,4,FALSE)*RecovIns)*$B$19/12*INDEX(Cum_OpEx,1,AB$77)*(1+IF(AdminFeeOn="On",AdminFeePct,0))+(VLOOKUP($G$20,RecovMatrix,2,FALSE)*RecovCAM+VLOOKUP($G$20,RecovMatrix,3,FALSE)*RecovTax+VLOOKUP($G$20,RecovMatrix,4,FALSE)*RecovIns)*$B$20/12*INDEX(Cum_OpEx,1,AB$77)*(1+IF(AdminFeeOn="On",AdminFeePct,0))+(VLOOKUP($G$21,RecovMatrix,2,FALSE)*RecovCAM+VLOOKUP($G$21,RecovMatrix,3,FALSE)*RecovTax+VLOOKUP($G$21,RecovMatrix,4,FALSE)*RecovIns)*$B$21/12*INDEX(Cum_OpEx,1,AB$77)*(1+IF(AdminFeeOn="On",AdminFeePct,0))+(VLOOKUP($G$22,RecovMatrix,2,FALSE)*RecovCAM+VLOOKUP($G$22,RecovMatrix,3,FALSE)*RecovTax+VLOOKUP($G$22,RecovMatrix,4,FALSE)*RecovIns)*$B$22/12*INDEX(Cum_OpEx,1,AB$77)*(1+IF(AdminFeeOn="On",AdminFeePct,0)))*Assumptions!AB$74</f>
        <v/>
      </c>
      <c r="AC37" s="50">
        <f>((VLOOKUP($G$17,RecovMatrix,2,FALSE)*RecovCAM+VLOOKUP($G$17,RecovMatrix,3,FALSE)*RecovTax+VLOOKUP($G$17,RecovMatrix,4,FALSE)*RecovIns)*$B$17/12*INDEX(Cum_OpEx,1,AC$77)*(1+IF(AdminFeeOn="On",AdminFeePct,0))+(VLOOKUP($G$18,RecovMatrix,2,FALSE)*RecovCAM+VLOOKUP($G$18,RecovMatrix,3,FALSE)*RecovTax+VLOOKUP($G$18,RecovMatrix,4,FALSE)*RecovIns)*$B$18/12*INDEX(Cum_OpEx,1,AC$77)*(1+IF(AdminFeeOn="On",AdminFeePct,0))+(VLOOKUP($G$19,RecovMatrix,2,FALSE)*RecovCAM+VLOOKUP($G$19,RecovMatrix,3,FALSE)*RecovTax+VLOOKUP($G$19,RecovMatrix,4,FALSE)*RecovIns)*$B$19/12*INDEX(Cum_OpEx,1,AC$77)*(1+IF(AdminFeeOn="On",AdminFeePct,0))+(VLOOKUP($G$20,RecovMatrix,2,FALSE)*RecovCAM+VLOOKUP($G$20,RecovMatrix,3,FALSE)*RecovTax+VLOOKUP($G$20,RecovMatrix,4,FALSE)*RecovIns)*$B$20/12*INDEX(Cum_OpEx,1,AC$77)*(1+IF(AdminFeeOn="On",AdminFeePct,0))+(VLOOKUP($G$21,RecovMatrix,2,FALSE)*RecovCAM+VLOOKUP($G$21,RecovMatrix,3,FALSE)*RecovTax+VLOOKUP($G$21,RecovMatrix,4,FALSE)*RecovIns)*$B$21/12*INDEX(Cum_OpEx,1,AC$77)*(1+IF(AdminFeeOn="On",AdminFeePct,0))+(VLOOKUP($G$22,RecovMatrix,2,FALSE)*RecovCAM+VLOOKUP($G$22,RecovMatrix,3,FALSE)*RecovTax+VLOOKUP($G$22,RecovMatrix,4,FALSE)*RecovIns)*$B$22/12*INDEX(Cum_OpEx,1,AC$77)*(1+IF(AdminFeeOn="On",AdminFeePct,0)))*Assumptions!AC$74</f>
        <v/>
      </c>
      <c r="AD37" s="50">
        <f>((VLOOKUP($G$17,RecovMatrix,2,FALSE)*RecovCAM+VLOOKUP($G$17,RecovMatrix,3,FALSE)*RecovTax+VLOOKUP($G$17,RecovMatrix,4,FALSE)*RecovIns)*$B$17/12*INDEX(Cum_OpEx,1,AD$77)*(1+IF(AdminFeeOn="On",AdminFeePct,0))+(VLOOKUP($G$18,RecovMatrix,2,FALSE)*RecovCAM+VLOOKUP($G$18,RecovMatrix,3,FALSE)*RecovTax+VLOOKUP($G$18,RecovMatrix,4,FALSE)*RecovIns)*$B$18/12*INDEX(Cum_OpEx,1,AD$77)*(1+IF(AdminFeeOn="On",AdminFeePct,0))+(VLOOKUP($G$19,RecovMatrix,2,FALSE)*RecovCAM+VLOOKUP($G$19,RecovMatrix,3,FALSE)*RecovTax+VLOOKUP($G$19,RecovMatrix,4,FALSE)*RecovIns)*$B$19/12*INDEX(Cum_OpEx,1,AD$77)*(1+IF(AdminFeeOn="On",AdminFeePct,0))+(VLOOKUP($G$20,RecovMatrix,2,FALSE)*RecovCAM+VLOOKUP($G$20,RecovMatrix,3,FALSE)*RecovTax+VLOOKUP($G$20,RecovMatrix,4,FALSE)*RecovIns)*$B$20/12*INDEX(Cum_OpEx,1,AD$77)*(1+IF(AdminFeeOn="On",AdminFeePct,0))+(VLOOKUP($G$21,RecovMatrix,2,FALSE)*RecovCAM+VLOOKUP($G$21,RecovMatrix,3,FALSE)*RecovTax+VLOOKUP($G$21,RecovMatrix,4,FALSE)*RecovIns)*$B$21/12*INDEX(Cum_OpEx,1,AD$77)*(1+IF(AdminFeeOn="On",AdminFeePct,0))+(VLOOKUP($G$22,RecovMatrix,2,FALSE)*RecovCAM+VLOOKUP($G$22,RecovMatrix,3,FALSE)*RecovTax+VLOOKUP($G$22,RecovMatrix,4,FALSE)*RecovIns)*$B$22/12*INDEX(Cum_OpEx,1,AD$77)*(1+IF(AdminFeeOn="On",AdminFeePct,0)))*Assumptions!AD$74</f>
        <v/>
      </c>
      <c r="AE37" s="50">
        <f>((VLOOKUP($G$17,RecovMatrix,2,FALSE)*RecovCAM+VLOOKUP($G$17,RecovMatrix,3,FALSE)*RecovTax+VLOOKUP($G$17,RecovMatrix,4,FALSE)*RecovIns)*$B$17/12*INDEX(Cum_OpEx,1,AE$77)*(1+IF(AdminFeeOn="On",AdminFeePct,0))+(VLOOKUP($G$18,RecovMatrix,2,FALSE)*RecovCAM+VLOOKUP($G$18,RecovMatrix,3,FALSE)*RecovTax+VLOOKUP($G$18,RecovMatrix,4,FALSE)*RecovIns)*$B$18/12*INDEX(Cum_OpEx,1,AE$77)*(1+IF(AdminFeeOn="On",AdminFeePct,0))+(VLOOKUP($G$19,RecovMatrix,2,FALSE)*RecovCAM+VLOOKUP($G$19,RecovMatrix,3,FALSE)*RecovTax+VLOOKUP($G$19,RecovMatrix,4,FALSE)*RecovIns)*$B$19/12*INDEX(Cum_OpEx,1,AE$77)*(1+IF(AdminFeeOn="On",AdminFeePct,0))+(VLOOKUP($G$20,RecovMatrix,2,FALSE)*RecovCAM+VLOOKUP($G$20,RecovMatrix,3,FALSE)*RecovTax+VLOOKUP($G$20,RecovMatrix,4,FALSE)*RecovIns)*$B$20/12*INDEX(Cum_OpEx,1,AE$77)*(1+IF(AdminFeeOn="On",AdminFeePct,0))+(VLOOKUP($G$21,RecovMatrix,2,FALSE)*RecovCAM+VLOOKUP($G$21,RecovMatrix,3,FALSE)*RecovTax+VLOOKUP($G$21,RecovMatrix,4,FALSE)*RecovIns)*$B$21/12*INDEX(Cum_OpEx,1,AE$77)*(1+IF(AdminFeeOn="On",AdminFeePct,0))+(VLOOKUP($G$22,RecovMatrix,2,FALSE)*RecovCAM+VLOOKUP($G$22,RecovMatrix,3,FALSE)*RecovTax+VLOOKUP($G$22,RecovMatrix,4,FALSE)*RecovIns)*$B$22/12*INDEX(Cum_OpEx,1,AE$77)*(1+IF(AdminFeeOn="On",AdminFeePct,0)))*Assumptions!AE$74</f>
        <v/>
      </c>
      <c r="AF37" s="50">
        <f>((VLOOKUP($G$17,RecovMatrix,2,FALSE)*RecovCAM+VLOOKUP($G$17,RecovMatrix,3,FALSE)*RecovTax+VLOOKUP($G$17,RecovMatrix,4,FALSE)*RecovIns)*$B$17/12*INDEX(Cum_OpEx,1,AF$77)*(1+IF(AdminFeeOn="On",AdminFeePct,0))+(VLOOKUP($G$18,RecovMatrix,2,FALSE)*RecovCAM+VLOOKUP($G$18,RecovMatrix,3,FALSE)*RecovTax+VLOOKUP($G$18,RecovMatrix,4,FALSE)*RecovIns)*$B$18/12*INDEX(Cum_OpEx,1,AF$77)*(1+IF(AdminFeeOn="On",AdminFeePct,0))+(VLOOKUP($G$19,RecovMatrix,2,FALSE)*RecovCAM+VLOOKUP($G$19,RecovMatrix,3,FALSE)*RecovTax+VLOOKUP($G$19,RecovMatrix,4,FALSE)*RecovIns)*$B$19/12*INDEX(Cum_OpEx,1,AF$77)*(1+IF(AdminFeeOn="On",AdminFeePct,0))+(VLOOKUP($G$20,RecovMatrix,2,FALSE)*RecovCAM+VLOOKUP($G$20,RecovMatrix,3,FALSE)*RecovTax+VLOOKUP($G$20,RecovMatrix,4,FALSE)*RecovIns)*$B$20/12*INDEX(Cum_OpEx,1,AF$77)*(1+IF(AdminFeeOn="On",AdminFeePct,0))+(VLOOKUP($G$21,RecovMatrix,2,FALSE)*RecovCAM+VLOOKUP($G$21,RecovMatrix,3,FALSE)*RecovTax+VLOOKUP($G$21,RecovMatrix,4,FALSE)*RecovIns)*$B$21/12*INDEX(Cum_OpEx,1,AF$77)*(1+IF(AdminFeeOn="On",AdminFeePct,0))+(VLOOKUP($G$22,RecovMatrix,2,FALSE)*RecovCAM+VLOOKUP($G$22,RecovMatrix,3,FALSE)*RecovTax+VLOOKUP($G$22,RecovMatrix,4,FALSE)*RecovIns)*$B$22/12*INDEX(Cum_OpEx,1,AF$77)*(1+IF(AdminFeeOn="On",AdminFeePct,0)))*Assumptions!AF$74</f>
        <v/>
      </c>
      <c r="AG37" s="50">
        <f>((VLOOKUP($G$17,RecovMatrix,2,FALSE)*RecovCAM+VLOOKUP($G$17,RecovMatrix,3,FALSE)*RecovTax+VLOOKUP($G$17,RecovMatrix,4,FALSE)*RecovIns)*$B$17/12*INDEX(Cum_OpEx,1,AG$77)*(1+IF(AdminFeeOn="On",AdminFeePct,0))+(VLOOKUP($G$18,RecovMatrix,2,FALSE)*RecovCAM+VLOOKUP($G$18,RecovMatrix,3,FALSE)*RecovTax+VLOOKUP($G$18,RecovMatrix,4,FALSE)*RecovIns)*$B$18/12*INDEX(Cum_OpEx,1,AG$77)*(1+IF(AdminFeeOn="On",AdminFeePct,0))+(VLOOKUP($G$19,RecovMatrix,2,FALSE)*RecovCAM+VLOOKUP($G$19,RecovMatrix,3,FALSE)*RecovTax+VLOOKUP($G$19,RecovMatrix,4,FALSE)*RecovIns)*$B$19/12*INDEX(Cum_OpEx,1,AG$77)*(1+IF(AdminFeeOn="On",AdminFeePct,0))+(VLOOKUP($G$20,RecovMatrix,2,FALSE)*RecovCAM+VLOOKUP($G$20,RecovMatrix,3,FALSE)*RecovTax+VLOOKUP($G$20,RecovMatrix,4,FALSE)*RecovIns)*$B$20/12*INDEX(Cum_OpEx,1,AG$77)*(1+IF(AdminFeeOn="On",AdminFeePct,0))+(VLOOKUP($G$21,RecovMatrix,2,FALSE)*RecovCAM+VLOOKUP($G$21,RecovMatrix,3,FALSE)*RecovTax+VLOOKUP($G$21,RecovMatrix,4,FALSE)*RecovIns)*$B$21/12*INDEX(Cum_OpEx,1,AG$77)*(1+IF(AdminFeeOn="On",AdminFeePct,0))+(VLOOKUP($G$22,RecovMatrix,2,FALSE)*RecovCAM+VLOOKUP($G$22,RecovMatrix,3,FALSE)*RecovTax+VLOOKUP($G$22,RecovMatrix,4,FALSE)*RecovIns)*$B$22/12*INDEX(Cum_OpEx,1,AG$77)*(1+IF(AdminFeeOn="On",AdminFeePct,0)))*Assumptions!AG$74</f>
        <v/>
      </c>
      <c r="AH37" s="50">
        <f>((VLOOKUP($G$17,RecovMatrix,2,FALSE)*RecovCAM+VLOOKUP($G$17,RecovMatrix,3,FALSE)*RecovTax+VLOOKUP($G$17,RecovMatrix,4,FALSE)*RecovIns)*$B$17/12*INDEX(Cum_OpEx,1,AH$77)*(1+IF(AdminFeeOn="On",AdminFeePct,0))+(VLOOKUP($G$18,RecovMatrix,2,FALSE)*RecovCAM+VLOOKUP($G$18,RecovMatrix,3,FALSE)*RecovTax+VLOOKUP($G$18,RecovMatrix,4,FALSE)*RecovIns)*$B$18/12*INDEX(Cum_OpEx,1,AH$77)*(1+IF(AdminFeeOn="On",AdminFeePct,0))+(VLOOKUP($G$19,RecovMatrix,2,FALSE)*RecovCAM+VLOOKUP($G$19,RecovMatrix,3,FALSE)*RecovTax+VLOOKUP($G$19,RecovMatrix,4,FALSE)*RecovIns)*$B$19/12*INDEX(Cum_OpEx,1,AH$77)*(1+IF(AdminFeeOn="On",AdminFeePct,0))+(VLOOKUP($G$20,RecovMatrix,2,FALSE)*RecovCAM+VLOOKUP($G$20,RecovMatrix,3,FALSE)*RecovTax+VLOOKUP($G$20,RecovMatrix,4,FALSE)*RecovIns)*$B$20/12*INDEX(Cum_OpEx,1,AH$77)*(1+IF(AdminFeeOn="On",AdminFeePct,0))+(VLOOKUP($G$21,RecovMatrix,2,FALSE)*RecovCAM+VLOOKUP($G$21,RecovMatrix,3,FALSE)*RecovTax+VLOOKUP($G$21,RecovMatrix,4,FALSE)*RecovIns)*$B$21/12*INDEX(Cum_OpEx,1,AH$77)*(1+IF(AdminFeeOn="On",AdminFeePct,0))+(VLOOKUP($G$22,RecovMatrix,2,FALSE)*RecovCAM+VLOOKUP($G$22,RecovMatrix,3,FALSE)*RecovTax+VLOOKUP($G$22,RecovMatrix,4,FALSE)*RecovIns)*$B$22/12*INDEX(Cum_OpEx,1,AH$77)*(1+IF(AdminFeeOn="On",AdminFeePct,0)))*Assumptions!AH$74</f>
        <v/>
      </c>
      <c r="AI37" s="50">
        <f>((VLOOKUP($G$17,RecovMatrix,2,FALSE)*RecovCAM+VLOOKUP($G$17,RecovMatrix,3,FALSE)*RecovTax+VLOOKUP($G$17,RecovMatrix,4,FALSE)*RecovIns)*$B$17/12*INDEX(Cum_OpEx,1,AI$77)*(1+IF(AdminFeeOn="On",AdminFeePct,0))+(VLOOKUP($G$18,RecovMatrix,2,FALSE)*RecovCAM+VLOOKUP($G$18,RecovMatrix,3,FALSE)*RecovTax+VLOOKUP($G$18,RecovMatrix,4,FALSE)*RecovIns)*$B$18/12*INDEX(Cum_OpEx,1,AI$77)*(1+IF(AdminFeeOn="On",AdminFeePct,0))+(VLOOKUP($G$19,RecovMatrix,2,FALSE)*RecovCAM+VLOOKUP($G$19,RecovMatrix,3,FALSE)*RecovTax+VLOOKUP($G$19,RecovMatrix,4,FALSE)*RecovIns)*$B$19/12*INDEX(Cum_OpEx,1,AI$77)*(1+IF(AdminFeeOn="On",AdminFeePct,0))+(VLOOKUP($G$20,RecovMatrix,2,FALSE)*RecovCAM+VLOOKUP($G$20,RecovMatrix,3,FALSE)*RecovTax+VLOOKUP($G$20,RecovMatrix,4,FALSE)*RecovIns)*$B$20/12*INDEX(Cum_OpEx,1,AI$77)*(1+IF(AdminFeeOn="On",AdminFeePct,0))+(VLOOKUP($G$21,RecovMatrix,2,FALSE)*RecovCAM+VLOOKUP($G$21,RecovMatrix,3,FALSE)*RecovTax+VLOOKUP($G$21,RecovMatrix,4,FALSE)*RecovIns)*$B$21/12*INDEX(Cum_OpEx,1,AI$77)*(1+IF(AdminFeeOn="On",AdminFeePct,0))+(VLOOKUP($G$22,RecovMatrix,2,FALSE)*RecovCAM+VLOOKUP($G$22,RecovMatrix,3,FALSE)*RecovTax+VLOOKUP($G$22,RecovMatrix,4,FALSE)*RecovIns)*$B$22/12*INDEX(Cum_OpEx,1,AI$77)*(1+IF(AdminFeeOn="On",AdminFeePct,0)))*Assumptions!AI$74</f>
        <v/>
      </c>
      <c r="AJ37" s="50">
        <f>((VLOOKUP($G$17,RecovMatrix,2,FALSE)*RecovCAM+VLOOKUP($G$17,RecovMatrix,3,FALSE)*RecovTax+VLOOKUP($G$17,RecovMatrix,4,FALSE)*RecovIns)*$B$17/12*INDEX(Cum_OpEx,1,AJ$77)*(1+IF(AdminFeeOn="On",AdminFeePct,0))+(VLOOKUP($G$18,RecovMatrix,2,FALSE)*RecovCAM+VLOOKUP($G$18,RecovMatrix,3,FALSE)*RecovTax+VLOOKUP($G$18,RecovMatrix,4,FALSE)*RecovIns)*$B$18/12*INDEX(Cum_OpEx,1,AJ$77)*(1+IF(AdminFeeOn="On",AdminFeePct,0))+(VLOOKUP($G$19,RecovMatrix,2,FALSE)*RecovCAM+VLOOKUP($G$19,RecovMatrix,3,FALSE)*RecovTax+VLOOKUP($G$19,RecovMatrix,4,FALSE)*RecovIns)*$B$19/12*INDEX(Cum_OpEx,1,AJ$77)*(1+IF(AdminFeeOn="On",AdminFeePct,0))+(VLOOKUP($G$20,RecovMatrix,2,FALSE)*RecovCAM+VLOOKUP($G$20,RecovMatrix,3,FALSE)*RecovTax+VLOOKUP($G$20,RecovMatrix,4,FALSE)*RecovIns)*$B$20/12*INDEX(Cum_OpEx,1,AJ$77)*(1+IF(AdminFeeOn="On",AdminFeePct,0))+(VLOOKUP($G$21,RecovMatrix,2,FALSE)*RecovCAM+VLOOKUP($G$21,RecovMatrix,3,FALSE)*RecovTax+VLOOKUP($G$21,RecovMatrix,4,FALSE)*RecovIns)*$B$21/12*INDEX(Cum_OpEx,1,AJ$77)*(1+IF(AdminFeeOn="On",AdminFeePct,0))+(VLOOKUP($G$22,RecovMatrix,2,FALSE)*RecovCAM+VLOOKUP($G$22,RecovMatrix,3,FALSE)*RecovTax+VLOOKUP($G$22,RecovMatrix,4,FALSE)*RecovIns)*$B$22/12*INDEX(Cum_OpEx,1,AJ$77)*(1+IF(AdminFeeOn="On",AdminFeePct,0)))*Assumptions!AJ$74</f>
        <v/>
      </c>
      <c r="AK37" s="50">
        <f>((VLOOKUP($G$17,RecovMatrix,2,FALSE)*RecovCAM+VLOOKUP($G$17,RecovMatrix,3,FALSE)*RecovTax+VLOOKUP($G$17,RecovMatrix,4,FALSE)*RecovIns)*$B$17/12*INDEX(Cum_OpEx,1,AK$77)*(1+IF(AdminFeeOn="On",AdminFeePct,0))+(VLOOKUP($G$18,RecovMatrix,2,FALSE)*RecovCAM+VLOOKUP($G$18,RecovMatrix,3,FALSE)*RecovTax+VLOOKUP($G$18,RecovMatrix,4,FALSE)*RecovIns)*$B$18/12*INDEX(Cum_OpEx,1,AK$77)*(1+IF(AdminFeeOn="On",AdminFeePct,0))+(VLOOKUP($G$19,RecovMatrix,2,FALSE)*RecovCAM+VLOOKUP($G$19,RecovMatrix,3,FALSE)*RecovTax+VLOOKUP($G$19,RecovMatrix,4,FALSE)*RecovIns)*$B$19/12*INDEX(Cum_OpEx,1,AK$77)*(1+IF(AdminFeeOn="On",AdminFeePct,0))+(VLOOKUP($G$20,RecovMatrix,2,FALSE)*RecovCAM+VLOOKUP($G$20,RecovMatrix,3,FALSE)*RecovTax+VLOOKUP($G$20,RecovMatrix,4,FALSE)*RecovIns)*$B$20/12*INDEX(Cum_OpEx,1,AK$77)*(1+IF(AdminFeeOn="On",AdminFeePct,0))+(VLOOKUP($G$21,RecovMatrix,2,FALSE)*RecovCAM+VLOOKUP($G$21,RecovMatrix,3,FALSE)*RecovTax+VLOOKUP($G$21,RecovMatrix,4,FALSE)*RecovIns)*$B$21/12*INDEX(Cum_OpEx,1,AK$77)*(1+IF(AdminFeeOn="On",AdminFeePct,0))+(VLOOKUP($G$22,RecovMatrix,2,FALSE)*RecovCAM+VLOOKUP($G$22,RecovMatrix,3,FALSE)*RecovTax+VLOOKUP($G$22,RecovMatrix,4,FALSE)*RecovIns)*$B$22/12*INDEX(Cum_OpEx,1,AK$77)*(1+IF(AdminFeeOn="On",AdminFeePct,0)))*Assumptions!AK$74</f>
        <v/>
      </c>
      <c r="AL37" s="50">
        <f>((VLOOKUP($G$17,RecovMatrix,2,FALSE)*RecovCAM+VLOOKUP($G$17,RecovMatrix,3,FALSE)*RecovTax+VLOOKUP($G$17,RecovMatrix,4,FALSE)*RecovIns)*$B$17/12*INDEX(Cum_OpEx,1,AL$77)*(1+IF(AdminFeeOn="On",AdminFeePct,0))+(VLOOKUP($G$18,RecovMatrix,2,FALSE)*RecovCAM+VLOOKUP($G$18,RecovMatrix,3,FALSE)*RecovTax+VLOOKUP($G$18,RecovMatrix,4,FALSE)*RecovIns)*$B$18/12*INDEX(Cum_OpEx,1,AL$77)*(1+IF(AdminFeeOn="On",AdminFeePct,0))+(VLOOKUP($G$19,RecovMatrix,2,FALSE)*RecovCAM+VLOOKUP($G$19,RecovMatrix,3,FALSE)*RecovTax+VLOOKUP($G$19,RecovMatrix,4,FALSE)*RecovIns)*$B$19/12*INDEX(Cum_OpEx,1,AL$77)*(1+IF(AdminFeeOn="On",AdminFeePct,0))+(VLOOKUP($G$20,RecovMatrix,2,FALSE)*RecovCAM+VLOOKUP($G$20,RecovMatrix,3,FALSE)*RecovTax+VLOOKUP($G$20,RecovMatrix,4,FALSE)*RecovIns)*$B$20/12*INDEX(Cum_OpEx,1,AL$77)*(1+IF(AdminFeeOn="On",AdminFeePct,0))+(VLOOKUP($G$21,RecovMatrix,2,FALSE)*RecovCAM+VLOOKUP($G$21,RecovMatrix,3,FALSE)*RecovTax+VLOOKUP($G$21,RecovMatrix,4,FALSE)*RecovIns)*$B$21/12*INDEX(Cum_OpEx,1,AL$77)*(1+IF(AdminFeeOn="On",AdminFeePct,0))+(VLOOKUP($G$22,RecovMatrix,2,FALSE)*RecovCAM+VLOOKUP($G$22,RecovMatrix,3,FALSE)*RecovTax+VLOOKUP($G$22,RecovMatrix,4,FALSE)*RecovIns)*$B$22/12*INDEX(Cum_OpEx,1,AL$77)*(1+IF(AdminFeeOn="On",AdminFeePct,0)))*Assumptions!AL$74</f>
        <v/>
      </c>
      <c r="AM37" s="50">
        <f>((VLOOKUP($G$17,RecovMatrix,2,FALSE)*RecovCAM+VLOOKUP($G$17,RecovMatrix,3,FALSE)*RecovTax+VLOOKUP($G$17,RecovMatrix,4,FALSE)*RecovIns)*$B$17/12*INDEX(Cum_OpEx,1,AM$77)*(1+IF(AdminFeeOn="On",AdminFeePct,0))+(VLOOKUP($G$18,RecovMatrix,2,FALSE)*RecovCAM+VLOOKUP($G$18,RecovMatrix,3,FALSE)*RecovTax+VLOOKUP($G$18,RecovMatrix,4,FALSE)*RecovIns)*$B$18/12*INDEX(Cum_OpEx,1,AM$77)*(1+IF(AdminFeeOn="On",AdminFeePct,0))+(VLOOKUP($G$19,RecovMatrix,2,FALSE)*RecovCAM+VLOOKUP($G$19,RecovMatrix,3,FALSE)*RecovTax+VLOOKUP($G$19,RecovMatrix,4,FALSE)*RecovIns)*$B$19/12*INDEX(Cum_OpEx,1,AM$77)*(1+IF(AdminFeeOn="On",AdminFeePct,0))+(VLOOKUP($G$20,RecovMatrix,2,FALSE)*RecovCAM+VLOOKUP($G$20,RecovMatrix,3,FALSE)*RecovTax+VLOOKUP($G$20,RecovMatrix,4,FALSE)*RecovIns)*$B$20/12*INDEX(Cum_OpEx,1,AM$77)*(1+IF(AdminFeeOn="On",AdminFeePct,0))+(VLOOKUP($G$21,RecovMatrix,2,FALSE)*RecovCAM+VLOOKUP($G$21,RecovMatrix,3,FALSE)*RecovTax+VLOOKUP($G$21,RecovMatrix,4,FALSE)*RecovIns)*$B$21/12*INDEX(Cum_OpEx,1,AM$77)*(1+IF(AdminFeeOn="On",AdminFeePct,0))+(VLOOKUP($G$22,RecovMatrix,2,FALSE)*RecovCAM+VLOOKUP($G$22,RecovMatrix,3,FALSE)*RecovTax+VLOOKUP($G$22,RecovMatrix,4,FALSE)*RecovIns)*$B$22/12*INDEX(Cum_OpEx,1,AM$77)*(1+IF(AdminFeeOn="On",AdminFeePct,0)))*Assumptions!AM$74</f>
        <v/>
      </c>
      <c r="AN37" s="50">
        <f>((VLOOKUP($G$17,RecovMatrix,2,FALSE)*RecovCAM+VLOOKUP($G$17,RecovMatrix,3,FALSE)*RecovTax+VLOOKUP($G$17,RecovMatrix,4,FALSE)*RecovIns)*$B$17/12*INDEX(Cum_OpEx,1,AN$77)*(1+IF(AdminFeeOn="On",AdminFeePct,0))+(VLOOKUP($G$18,RecovMatrix,2,FALSE)*RecovCAM+VLOOKUP($G$18,RecovMatrix,3,FALSE)*RecovTax+VLOOKUP($G$18,RecovMatrix,4,FALSE)*RecovIns)*$B$18/12*INDEX(Cum_OpEx,1,AN$77)*(1+IF(AdminFeeOn="On",AdminFeePct,0))+(VLOOKUP($G$19,RecovMatrix,2,FALSE)*RecovCAM+VLOOKUP($G$19,RecovMatrix,3,FALSE)*RecovTax+VLOOKUP($G$19,RecovMatrix,4,FALSE)*RecovIns)*$B$19/12*INDEX(Cum_OpEx,1,AN$77)*(1+IF(AdminFeeOn="On",AdminFeePct,0))+(VLOOKUP($G$20,RecovMatrix,2,FALSE)*RecovCAM+VLOOKUP($G$20,RecovMatrix,3,FALSE)*RecovTax+VLOOKUP($G$20,RecovMatrix,4,FALSE)*RecovIns)*$B$20/12*INDEX(Cum_OpEx,1,AN$77)*(1+IF(AdminFeeOn="On",AdminFeePct,0))+(VLOOKUP($G$21,RecovMatrix,2,FALSE)*RecovCAM+VLOOKUP($G$21,RecovMatrix,3,FALSE)*RecovTax+VLOOKUP($G$21,RecovMatrix,4,FALSE)*RecovIns)*$B$21/12*INDEX(Cum_OpEx,1,AN$77)*(1+IF(AdminFeeOn="On",AdminFeePct,0))+(VLOOKUP($G$22,RecovMatrix,2,FALSE)*RecovCAM+VLOOKUP($G$22,RecovMatrix,3,FALSE)*RecovTax+VLOOKUP($G$22,RecovMatrix,4,FALSE)*RecovIns)*$B$22/12*INDEX(Cum_OpEx,1,AN$77)*(1+IF(AdminFeeOn="On",AdminFeePct,0)))*Assumptions!AN$74</f>
        <v/>
      </c>
      <c r="AO37" s="50">
        <f>((VLOOKUP($G$17,RecovMatrix,2,FALSE)*RecovCAM+VLOOKUP($G$17,RecovMatrix,3,FALSE)*RecovTax+VLOOKUP($G$17,RecovMatrix,4,FALSE)*RecovIns)*$B$17/12*INDEX(Cum_OpEx,1,AO$77)*(1+IF(AdminFeeOn="On",AdminFeePct,0))+(VLOOKUP($G$18,RecovMatrix,2,FALSE)*RecovCAM+VLOOKUP($G$18,RecovMatrix,3,FALSE)*RecovTax+VLOOKUP($G$18,RecovMatrix,4,FALSE)*RecovIns)*$B$18/12*INDEX(Cum_OpEx,1,AO$77)*(1+IF(AdminFeeOn="On",AdminFeePct,0))+(VLOOKUP($G$19,RecovMatrix,2,FALSE)*RecovCAM+VLOOKUP($G$19,RecovMatrix,3,FALSE)*RecovTax+VLOOKUP($G$19,RecovMatrix,4,FALSE)*RecovIns)*$B$19/12*INDEX(Cum_OpEx,1,AO$77)*(1+IF(AdminFeeOn="On",AdminFeePct,0))+(VLOOKUP($G$20,RecovMatrix,2,FALSE)*RecovCAM+VLOOKUP($G$20,RecovMatrix,3,FALSE)*RecovTax+VLOOKUP($G$20,RecovMatrix,4,FALSE)*RecovIns)*$B$20/12*INDEX(Cum_OpEx,1,AO$77)*(1+IF(AdminFeeOn="On",AdminFeePct,0))+(VLOOKUP($G$21,RecovMatrix,2,FALSE)*RecovCAM+VLOOKUP($G$21,RecovMatrix,3,FALSE)*RecovTax+VLOOKUP($G$21,RecovMatrix,4,FALSE)*RecovIns)*$B$21/12*INDEX(Cum_OpEx,1,AO$77)*(1+IF(AdminFeeOn="On",AdminFeePct,0))+(VLOOKUP($G$22,RecovMatrix,2,FALSE)*RecovCAM+VLOOKUP($G$22,RecovMatrix,3,FALSE)*RecovTax+VLOOKUP($G$22,RecovMatrix,4,FALSE)*RecovIns)*$B$22/12*INDEX(Cum_OpEx,1,AO$77)*(1+IF(AdminFeeOn="On",AdminFeePct,0)))*Assumptions!AO$74</f>
        <v/>
      </c>
      <c r="AP37" s="50">
        <f>((VLOOKUP($G$17,RecovMatrix,2,FALSE)*RecovCAM+VLOOKUP($G$17,RecovMatrix,3,FALSE)*RecovTax+VLOOKUP($G$17,RecovMatrix,4,FALSE)*RecovIns)*$B$17/12*INDEX(Cum_OpEx,1,AP$77)*(1+IF(AdminFeeOn="On",AdminFeePct,0))+(VLOOKUP($G$18,RecovMatrix,2,FALSE)*RecovCAM+VLOOKUP($G$18,RecovMatrix,3,FALSE)*RecovTax+VLOOKUP($G$18,RecovMatrix,4,FALSE)*RecovIns)*$B$18/12*INDEX(Cum_OpEx,1,AP$77)*(1+IF(AdminFeeOn="On",AdminFeePct,0))+(VLOOKUP($G$19,RecovMatrix,2,FALSE)*RecovCAM+VLOOKUP($G$19,RecovMatrix,3,FALSE)*RecovTax+VLOOKUP($G$19,RecovMatrix,4,FALSE)*RecovIns)*$B$19/12*INDEX(Cum_OpEx,1,AP$77)*(1+IF(AdminFeeOn="On",AdminFeePct,0))+(VLOOKUP($G$20,RecovMatrix,2,FALSE)*RecovCAM+VLOOKUP($G$20,RecovMatrix,3,FALSE)*RecovTax+VLOOKUP($G$20,RecovMatrix,4,FALSE)*RecovIns)*$B$20/12*INDEX(Cum_OpEx,1,AP$77)*(1+IF(AdminFeeOn="On",AdminFeePct,0))+(VLOOKUP($G$21,RecovMatrix,2,FALSE)*RecovCAM+VLOOKUP($G$21,RecovMatrix,3,FALSE)*RecovTax+VLOOKUP($G$21,RecovMatrix,4,FALSE)*RecovIns)*$B$21/12*INDEX(Cum_OpEx,1,AP$77)*(1+IF(AdminFeeOn="On",AdminFeePct,0))+(VLOOKUP($G$22,RecovMatrix,2,FALSE)*RecovCAM+VLOOKUP($G$22,RecovMatrix,3,FALSE)*RecovTax+VLOOKUP($G$22,RecovMatrix,4,FALSE)*RecovIns)*$B$22/12*INDEX(Cum_OpEx,1,AP$77)*(1+IF(AdminFeeOn="On",AdminFeePct,0)))*Assumptions!AP$74</f>
        <v/>
      </c>
      <c r="AQ37" s="50">
        <f>((VLOOKUP($G$17,RecovMatrix,2,FALSE)*RecovCAM+VLOOKUP($G$17,RecovMatrix,3,FALSE)*RecovTax+VLOOKUP($G$17,RecovMatrix,4,FALSE)*RecovIns)*$B$17/12*INDEX(Cum_OpEx,1,AQ$77)*(1+IF(AdminFeeOn="On",AdminFeePct,0))+(VLOOKUP($G$18,RecovMatrix,2,FALSE)*RecovCAM+VLOOKUP($G$18,RecovMatrix,3,FALSE)*RecovTax+VLOOKUP($G$18,RecovMatrix,4,FALSE)*RecovIns)*$B$18/12*INDEX(Cum_OpEx,1,AQ$77)*(1+IF(AdminFeeOn="On",AdminFeePct,0))+(VLOOKUP($G$19,RecovMatrix,2,FALSE)*RecovCAM+VLOOKUP($G$19,RecovMatrix,3,FALSE)*RecovTax+VLOOKUP($G$19,RecovMatrix,4,FALSE)*RecovIns)*$B$19/12*INDEX(Cum_OpEx,1,AQ$77)*(1+IF(AdminFeeOn="On",AdminFeePct,0))+(VLOOKUP($G$20,RecovMatrix,2,FALSE)*RecovCAM+VLOOKUP($G$20,RecovMatrix,3,FALSE)*RecovTax+VLOOKUP($G$20,RecovMatrix,4,FALSE)*RecovIns)*$B$20/12*INDEX(Cum_OpEx,1,AQ$77)*(1+IF(AdminFeeOn="On",AdminFeePct,0))+(VLOOKUP($G$21,RecovMatrix,2,FALSE)*RecovCAM+VLOOKUP($G$21,RecovMatrix,3,FALSE)*RecovTax+VLOOKUP($G$21,RecovMatrix,4,FALSE)*RecovIns)*$B$21/12*INDEX(Cum_OpEx,1,AQ$77)*(1+IF(AdminFeeOn="On",AdminFeePct,0))+(VLOOKUP($G$22,RecovMatrix,2,FALSE)*RecovCAM+VLOOKUP($G$22,RecovMatrix,3,FALSE)*RecovTax+VLOOKUP($G$22,RecovMatrix,4,FALSE)*RecovIns)*$B$22/12*INDEX(Cum_OpEx,1,AQ$77)*(1+IF(AdminFeeOn="On",AdminFeePct,0)))*Assumptions!AQ$74</f>
        <v/>
      </c>
      <c r="AR37" s="50">
        <f>((VLOOKUP($G$17,RecovMatrix,2,FALSE)*RecovCAM+VLOOKUP($G$17,RecovMatrix,3,FALSE)*RecovTax+VLOOKUP($G$17,RecovMatrix,4,FALSE)*RecovIns)*$B$17/12*INDEX(Cum_OpEx,1,AR$77)*(1+IF(AdminFeeOn="On",AdminFeePct,0))+(VLOOKUP($G$18,RecovMatrix,2,FALSE)*RecovCAM+VLOOKUP($G$18,RecovMatrix,3,FALSE)*RecovTax+VLOOKUP($G$18,RecovMatrix,4,FALSE)*RecovIns)*$B$18/12*INDEX(Cum_OpEx,1,AR$77)*(1+IF(AdminFeeOn="On",AdminFeePct,0))+(VLOOKUP($G$19,RecovMatrix,2,FALSE)*RecovCAM+VLOOKUP($G$19,RecovMatrix,3,FALSE)*RecovTax+VLOOKUP($G$19,RecovMatrix,4,FALSE)*RecovIns)*$B$19/12*INDEX(Cum_OpEx,1,AR$77)*(1+IF(AdminFeeOn="On",AdminFeePct,0))+(VLOOKUP($G$20,RecovMatrix,2,FALSE)*RecovCAM+VLOOKUP($G$20,RecovMatrix,3,FALSE)*RecovTax+VLOOKUP($G$20,RecovMatrix,4,FALSE)*RecovIns)*$B$20/12*INDEX(Cum_OpEx,1,AR$77)*(1+IF(AdminFeeOn="On",AdminFeePct,0))+(VLOOKUP($G$21,RecovMatrix,2,FALSE)*RecovCAM+VLOOKUP($G$21,RecovMatrix,3,FALSE)*RecovTax+VLOOKUP($G$21,RecovMatrix,4,FALSE)*RecovIns)*$B$21/12*INDEX(Cum_OpEx,1,AR$77)*(1+IF(AdminFeeOn="On",AdminFeePct,0))+(VLOOKUP($G$22,RecovMatrix,2,FALSE)*RecovCAM+VLOOKUP($G$22,RecovMatrix,3,FALSE)*RecovTax+VLOOKUP($G$22,RecovMatrix,4,FALSE)*RecovIns)*$B$22/12*INDEX(Cum_OpEx,1,AR$77)*(1+IF(AdminFeeOn="On",AdminFeePct,0)))*Assumptions!AR$74</f>
        <v/>
      </c>
      <c r="AS37" s="50">
        <f>((VLOOKUP($G$17,RecovMatrix,2,FALSE)*RecovCAM+VLOOKUP($G$17,RecovMatrix,3,FALSE)*RecovTax+VLOOKUP($G$17,RecovMatrix,4,FALSE)*RecovIns)*$B$17/12*INDEX(Cum_OpEx,1,AS$77)*(1+IF(AdminFeeOn="On",AdminFeePct,0))+(VLOOKUP($G$18,RecovMatrix,2,FALSE)*RecovCAM+VLOOKUP($G$18,RecovMatrix,3,FALSE)*RecovTax+VLOOKUP($G$18,RecovMatrix,4,FALSE)*RecovIns)*$B$18/12*INDEX(Cum_OpEx,1,AS$77)*(1+IF(AdminFeeOn="On",AdminFeePct,0))+(VLOOKUP($G$19,RecovMatrix,2,FALSE)*RecovCAM+VLOOKUP($G$19,RecovMatrix,3,FALSE)*RecovTax+VLOOKUP($G$19,RecovMatrix,4,FALSE)*RecovIns)*$B$19/12*INDEX(Cum_OpEx,1,AS$77)*(1+IF(AdminFeeOn="On",AdminFeePct,0))+(VLOOKUP($G$20,RecovMatrix,2,FALSE)*RecovCAM+VLOOKUP($G$20,RecovMatrix,3,FALSE)*RecovTax+VLOOKUP($G$20,RecovMatrix,4,FALSE)*RecovIns)*$B$20/12*INDEX(Cum_OpEx,1,AS$77)*(1+IF(AdminFeeOn="On",AdminFeePct,0))+(VLOOKUP($G$21,RecovMatrix,2,FALSE)*RecovCAM+VLOOKUP($G$21,RecovMatrix,3,FALSE)*RecovTax+VLOOKUP($G$21,RecovMatrix,4,FALSE)*RecovIns)*$B$21/12*INDEX(Cum_OpEx,1,AS$77)*(1+IF(AdminFeeOn="On",AdminFeePct,0))+(VLOOKUP($G$22,RecovMatrix,2,FALSE)*RecovCAM+VLOOKUP($G$22,RecovMatrix,3,FALSE)*RecovTax+VLOOKUP($G$22,RecovMatrix,4,FALSE)*RecovIns)*$B$22/12*INDEX(Cum_OpEx,1,AS$77)*(1+IF(AdminFeeOn="On",AdminFeePct,0)))*Assumptions!AS$74</f>
        <v/>
      </c>
      <c r="AT37" s="50">
        <f>((VLOOKUP($G$17,RecovMatrix,2,FALSE)*RecovCAM+VLOOKUP($G$17,RecovMatrix,3,FALSE)*RecovTax+VLOOKUP($G$17,RecovMatrix,4,FALSE)*RecovIns)*$B$17/12*INDEX(Cum_OpEx,1,AT$77)*(1+IF(AdminFeeOn="On",AdminFeePct,0))+(VLOOKUP($G$18,RecovMatrix,2,FALSE)*RecovCAM+VLOOKUP($G$18,RecovMatrix,3,FALSE)*RecovTax+VLOOKUP($G$18,RecovMatrix,4,FALSE)*RecovIns)*$B$18/12*INDEX(Cum_OpEx,1,AT$77)*(1+IF(AdminFeeOn="On",AdminFeePct,0))+(VLOOKUP($G$19,RecovMatrix,2,FALSE)*RecovCAM+VLOOKUP($G$19,RecovMatrix,3,FALSE)*RecovTax+VLOOKUP($G$19,RecovMatrix,4,FALSE)*RecovIns)*$B$19/12*INDEX(Cum_OpEx,1,AT$77)*(1+IF(AdminFeeOn="On",AdminFeePct,0))+(VLOOKUP($G$20,RecovMatrix,2,FALSE)*RecovCAM+VLOOKUP($G$20,RecovMatrix,3,FALSE)*RecovTax+VLOOKUP($G$20,RecovMatrix,4,FALSE)*RecovIns)*$B$20/12*INDEX(Cum_OpEx,1,AT$77)*(1+IF(AdminFeeOn="On",AdminFeePct,0))+(VLOOKUP($G$21,RecovMatrix,2,FALSE)*RecovCAM+VLOOKUP($G$21,RecovMatrix,3,FALSE)*RecovTax+VLOOKUP($G$21,RecovMatrix,4,FALSE)*RecovIns)*$B$21/12*INDEX(Cum_OpEx,1,AT$77)*(1+IF(AdminFeeOn="On",AdminFeePct,0))+(VLOOKUP($G$22,RecovMatrix,2,FALSE)*RecovCAM+VLOOKUP($G$22,RecovMatrix,3,FALSE)*RecovTax+VLOOKUP($G$22,RecovMatrix,4,FALSE)*RecovIns)*$B$22/12*INDEX(Cum_OpEx,1,AT$77)*(1+IF(AdminFeeOn="On",AdminFeePct,0)))*Assumptions!AT$74</f>
        <v/>
      </c>
      <c r="AU37" s="50">
        <f>((VLOOKUP($G$17,RecovMatrix,2,FALSE)*RecovCAM+VLOOKUP($G$17,RecovMatrix,3,FALSE)*RecovTax+VLOOKUP($G$17,RecovMatrix,4,FALSE)*RecovIns)*$B$17/12*INDEX(Cum_OpEx,1,AU$77)*(1+IF(AdminFeeOn="On",AdminFeePct,0))+(VLOOKUP($G$18,RecovMatrix,2,FALSE)*RecovCAM+VLOOKUP($G$18,RecovMatrix,3,FALSE)*RecovTax+VLOOKUP($G$18,RecovMatrix,4,FALSE)*RecovIns)*$B$18/12*INDEX(Cum_OpEx,1,AU$77)*(1+IF(AdminFeeOn="On",AdminFeePct,0))+(VLOOKUP($G$19,RecovMatrix,2,FALSE)*RecovCAM+VLOOKUP($G$19,RecovMatrix,3,FALSE)*RecovTax+VLOOKUP($G$19,RecovMatrix,4,FALSE)*RecovIns)*$B$19/12*INDEX(Cum_OpEx,1,AU$77)*(1+IF(AdminFeeOn="On",AdminFeePct,0))+(VLOOKUP($G$20,RecovMatrix,2,FALSE)*RecovCAM+VLOOKUP($G$20,RecovMatrix,3,FALSE)*RecovTax+VLOOKUP($G$20,RecovMatrix,4,FALSE)*RecovIns)*$B$20/12*INDEX(Cum_OpEx,1,AU$77)*(1+IF(AdminFeeOn="On",AdminFeePct,0))+(VLOOKUP($G$21,RecovMatrix,2,FALSE)*RecovCAM+VLOOKUP($G$21,RecovMatrix,3,FALSE)*RecovTax+VLOOKUP($G$21,RecovMatrix,4,FALSE)*RecovIns)*$B$21/12*INDEX(Cum_OpEx,1,AU$77)*(1+IF(AdminFeeOn="On",AdminFeePct,0))+(VLOOKUP($G$22,RecovMatrix,2,FALSE)*RecovCAM+VLOOKUP($G$22,RecovMatrix,3,FALSE)*RecovTax+VLOOKUP($G$22,RecovMatrix,4,FALSE)*RecovIns)*$B$22/12*INDEX(Cum_OpEx,1,AU$77)*(1+IF(AdminFeeOn="On",AdminFeePct,0)))*Assumptions!AU$74</f>
        <v/>
      </c>
      <c r="AV37" s="50">
        <f>((VLOOKUP($G$17,RecovMatrix,2,FALSE)*RecovCAM+VLOOKUP($G$17,RecovMatrix,3,FALSE)*RecovTax+VLOOKUP($G$17,RecovMatrix,4,FALSE)*RecovIns)*$B$17/12*INDEX(Cum_OpEx,1,AV$77)*(1+IF(AdminFeeOn="On",AdminFeePct,0))+(VLOOKUP($G$18,RecovMatrix,2,FALSE)*RecovCAM+VLOOKUP($G$18,RecovMatrix,3,FALSE)*RecovTax+VLOOKUP($G$18,RecovMatrix,4,FALSE)*RecovIns)*$B$18/12*INDEX(Cum_OpEx,1,AV$77)*(1+IF(AdminFeeOn="On",AdminFeePct,0))+(VLOOKUP($G$19,RecovMatrix,2,FALSE)*RecovCAM+VLOOKUP($G$19,RecovMatrix,3,FALSE)*RecovTax+VLOOKUP($G$19,RecovMatrix,4,FALSE)*RecovIns)*$B$19/12*INDEX(Cum_OpEx,1,AV$77)*(1+IF(AdminFeeOn="On",AdminFeePct,0))+(VLOOKUP($G$20,RecovMatrix,2,FALSE)*RecovCAM+VLOOKUP($G$20,RecovMatrix,3,FALSE)*RecovTax+VLOOKUP($G$20,RecovMatrix,4,FALSE)*RecovIns)*$B$20/12*INDEX(Cum_OpEx,1,AV$77)*(1+IF(AdminFeeOn="On",AdminFeePct,0))+(VLOOKUP($G$21,RecovMatrix,2,FALSE)*RecovCAM+VLOOKUP($G$21,RecovMatrix,3,FALSE)*RecovTax+VLOOKUP($G$21,RecovMatrix,4,FALSE)*RecovIns)*$B$21/12*INDEX(Cum_OpEx,1,AV$77)*(1+IF(AdminFeeOn="On",AdminFeePct,0))+(VLOOKUP($G$22,RecovMatrix,2,FALSE)*RecovCAM+VLOOKUP($G$22,RecovMatrix,3,FALSE)*RecovTax+VLOOKUP($G$22,RecovMatrix,4,FALSE)*RecovIns)*$B$22/12*INDEX(Cum_OpEx,1,AV$77)*(1+IF(AdminFeeOn="On",AdminFeePct,0)))*Assumptions!AV$74</f>
        <v/>
      </c>
      <c r="AW37" s="50">
        <f>((VLOOKUP($G$17,RecovMatrix,2,FALSE)*RecovCAM+VLOOKUP($G$17,RecovMatrix,3,FALSE)*RecovTax+VLOOKUP($G$17,RecovMatrix,4,FALSE)*RecovIns)*$B$17/12*INDEX(Cum_OpEx,1,AW$77)*(1+IF(AdminFeeOn="On",AdminFeePct,0))+(VLOOKUP($G$18,RecovMatrix,2,FALSE)*RecovCAM+VLOOKUP($G$18,RecovMatrix,3,FALSE)*RecovTax+VLOOKUP($G$18,RecovMatrix,4,FALSE)*RecovIns)*$B$18/12*INDEX(Cum_OpEx,1,AW$77)*(1+IF(AdminFeeOn="On",AdminFeePct,0))+(VLOOKUP($G$19,RecovMatrix,2,FALSE)*RecovCAM+VLOOKUP($G$19,RecovMatrix,3,FALSE)*RecovTax+VLOOKUP($G$19,RecovMatrix,4,FALSE)*RecovIns)*$B$19/12*INDEX(Cum_OpEx,1,AW$77)*(1+IF(AdminFeeOn="On",AdminFeePct,0))+(VLOOKUP($G$20,RecovMatrix,2,FALSE)*RecovCAM+VLOOKUP($G$20,RecovMatrix,3,FALSE)*RecovTax+VLOOKUP($G$20,RecovMatrix,4,FALSE)*RecovIns)*$B$20/12*INDEX(Cum_OpEx,1,AW$77)*(1+IF(AdminFeeOn="On",AdminFeePct,0))+(VLOOKUP($G$21,RecovMatrix,2,FALSE)*RecovCAM+VLOOKUP($G$21,RecovMatrix,3,FALSE)*RecovTax+VLOOKUP($G$21,RecovMatrix,4,FALSE)*RecovIns)*$B$21/12*INDEX(Cum_OpEx,1,AW$77)*(1+IF(AdminFeeOn="On",AdminFeePct,0))+(VLOOKUP($G$22,RecovMatrix,2,FALSE)*RecovCAM+VLOOKUP($G$22,RecovMatrix,3,FALSE)*RecovTax+VLOOKUP($G$22,RecovMatrix,4,FALSE)*RecovIns)*$B$22/12*INDEX(Cum_OpEx,1,AW$77)*(1+IF(AdminFeeOn="On",AdminFeePct,0)))*Assumptions!AW$74</f>
        <v/>
      </c>
      <c r="AX37" s="50">
        <f>((VLOOKUP($G$17,RecovMatrix,2,FALSE)*RecovCAM+VLOOKUP($G$17,RecovMatrix,3,FALSE)*RecovTax+VLOOKUP($G$17,RecovMatrix,4,FALSE)*RecovIns)*$B$17/12*INDEX(Cum_OpEx,1,AX$77)*(1+IF(AdminFeeOn="On",AdminFeePct,0))+(VLOOKUP($G$18,RecovMatrix,2,FALSE)*RecovCAM+VLOOKUP($G$18,RecovMatrix,3,FALSE)*RecovTax+VLOOKUP($G$18,RecovMatrix,4,FALSE)*RecovIns)*$B$18/12*INDEX(Cum_OpEx,1,AX$77)*(1+IF(AdminFeeOn="On",AdminFeePct,0))+(VLOOKUP($G$19,RecovMatrix,2,FALSE)*RecovCAM+VLOOKUP($G$19,RecovMatrix,3,FALSE)*RecovTax+VLOOKUP($G$19,RecovMatrix,4,FALSE)*RecovIns)*$B$19/12*INDEX(Cum_OpEx,1,AX$77)*(1+IF(AdminFeeOn="On",AdminFeePct,0))+(VLOOKUP($G$20,RecovMatrix,2,FALSE)*RecovCAM+VLOOKUP($G$20,RecovMatrix,3,FALSE)*RecovTax+VLOOKUP($G$20,RecovMatrix,4,FALSE)*RecovIns)*$B$20/12*INDEX(Cum_OpEx,1,AX$77)*(1+IF(AdminFeeOn="On",AdminFeePct,0))+(VLOOKUP($G$21,RecovMatrix,2,FALSE)*RecovCAM+VLOOKUP($G$21,RecovMatrix,3,FALSE)*RecovTax+VLOOKUP($G$21,RecovMatrix,4,FALSE)*RecovIns)*$B$21/12*INDEX(Cum_OpEx,1,AX$77)*(1+IF(AdminFeeOn="On",AdminFeePct,0))+(VLOOKUP($G$22,RecovMatrix,2,FALSE)*RecovCAM+VLOOKUP($G$22,RecovMatrix,3,FALSE)*RecovTax+VLOOKUP($G$22,RecovMatrix,4,FALSE)*RecovIns)*$B$22/12*INDEX(Cum_OpEx,1,AX$77)*(1+IF(AdminFeeOn="On",AdminFeePct,0)))*Assumptions!AX$74</f>
        <v/>
      </c>
      <c r="AY37" s="50">
        <f>((VLOOKUP($G$17,RecovMatrix,2,FALSE)*RecovCAM+VLOOKUP($G$17,RecovMatrix,3,FALSE)*RecovTax+VLOOKUP($G$17,RecovMatrix,4,FALSE)*RecovIns)*$B$17/12*INDEX(Cum_OpEx,1,AY$77)*(1+IF(AdminFeeOn="On",AdminFeePct,0))+(VLOOKUP($G$18,RecovMatrix,2,FALSE)*RecovCAM+VLOOKUP($G$18,RecovMatrix,3,FALSE)*RecovTax+VLOOKUP($G$18,RecovMatrix,4,FALSE)*RecovIns)*$B$18/12*INDEX(Cum_OpEx,1,AY$77)*(1+IF(AdminFeeOn="On",AdminFeePct,0))+(VLOOKUP($G$19,RecovMatrix,2,FALSE)*RecovCAM+VLOOKUP($G$19,RecovMatrix,3,FALSE)*RecovTax+VLOOKUP($G$19,RecovMatrix,4,FALSE)*RecovIns)*$B$19/12*INDEX(Cum_OpEx,1,AY$77)*(1+IF(AdminFeeOn="On",AdminFeePct,0))+(VLOOKUP($G$20,RecovMatrix,2,FALSE)*RecovCAM+VLOOKUP($G$20,RecovMatrix,3,FALSE)*RecovTax+VLOOKUP($G$20,RecovMatrix,4,FALSE)*RecovIns)*$B$20/12*INDEX(Cum_OpEx,1,AY$77)*(1+IF(AdminFeeOn="On",AdminFeePct,0))+(VLOOKUP($G$21,RecovMatrix,2,FALSE)*RecovCAM+VLOOKUP($G$21,RecovMatrix,3,FALSE)*RecovTax+VLOOKUP($G$21,RecovMatrix,4,FALSE)*RecovIns)*$B$21/12*INDEX(Cum_OpEx,1,AY$77)*(1+IF(AdminFeeOn="On",AdminFeePct,0))+(VLOOKUP($G$22,RecovMatrix,2,FALSE)*RecovCAM+VLOOKUP($G$22,RecovMatrix,3,FALSE)*RecovTax+VLOOKUP($G$22,RecovMatrix,4,FALSE)*RecovIns)*$B$22/12*INDEX(Cum_OpEx,1,AY$77)*(1+IF(AdminFeeOn="On",AdminFeePct,0)))*Assumptions!AY$74</f>
        <v/>
      </c>
      <c r="AZ37" s="50">
        <f>((VLOOKUP($G$17,RecovMatrix,2,FALSE)*RecovCAM+VLOOKUP($G$17,RecovMatrix,3,FALSE)*RecovTax+VLOOKUP($G$17,RecovMatrix,4,FALSE)*RecovIns)*$B$17/12*INDEX(Cum_OpEx,1,AZ$77)*(1+IF(AdminFeeOn="On",AdminFeePct,0))+(VLOOKUP($G$18,RecovMatrix,2,FALSE)*RecovCAM+VLOOKUP($G$18,RecovMatrix,3,FALSE)*RecovTax+VLOOKUP($G$18,RecovMatrix,4,FALSE)*RecovIns)*$B$18/12*INDEX(Cum_OpEx,1,AZ$77)*(1+IF(AdminFeeOn="On",AdminFeePct,0))+(VLOOKUP($G$19,RecovMatrix,2,FALSE)*RecovCAM+VLOOKUP($G$19,RecovMatrix,3,FALSE)*RecovTax+VLOOKUP($G$19,RecovMatrix,4,FALSE)*RecovIns)*$B$19/12*INDEX(Cum_OpEx,1,AZ$77)*(1+IF(AdminFeeOn="On",AdminFeePct,0))+(VLOOKUP($G$20,RecovMatrix,2,FALSE)*RecovCAM+VLOOKUP($G$20,RecovMatrix,3,FALSE)*RecovTax+VLOOKUP($G$20,RecovMatrix,4,FALSE)*RecovIns)*$B$20/12*INDEX(Cum_OpEx,1,AZ$77)*(1+IF(AdminFeeOn="On",AdminFeePct,0))+(VLOOKUP($G$21,RecovMatrix,2,FALSE)*RecovCAM+VLOOKUP($G$21,RecovMatrix,3,FALSE)*RecovTax+VLOOKUP($G$21,RecovMatrix,4,FALSE)*RecovIns)*$B$21/12*INDEX(Cum_OpEx,1,AZ$77)*(1+IF(AdminFeeOn="On",AdminFeePct,0))+(VLOOKUP($G$22,RecovMatrix,2,FALSE)*RecovCAM+VLOOKUP($G$22,RecovMatrix,3,FALSE)*RecovTax+VLOOKUP($G$22,RecovMatrix,4,FALSE)*RecovIns)*$B$22/12*INDEX(Cum_OpEx,1,AZ$77)*(1+IF(AdminFeeOn="On",AdminFeePct,0)))*Assumptions!AZ$74</f>
        <v/>
      </c>
      <c r="BA37" s="50">
        <f>((VLOOKUP($G$17,RecovMatrix,2,FALSE)*RecovCAM+VLOOKUP($G$17,RecovMatrix,3,FALSE)*RecovTax+VLOOKUP($G$17,RecovMatrix,4,FALSE)*RecovIns)*$B$17/12*INDEX(Cum_OpEx,1,BA$77)*(1+IF(AdminFeeOn="On",AdminFeePct,0))+(VLOOKUP($G$18,RecovMatrix,2,FALSE)*RecovCAM+VLOOKUP($G$18,RecovMatrix,3,FALSE)*RecovTax+VLOOKUP($G$18,RecovMatrix,4,FALSE)*RecovIns)*$B$18/12*INDEX(Cum_OpEx,1,BA$77)*(1+IF(AdminFeeOn="On",AdminFeePct,0))+(VLOOKUP($G$19,RecovMatrix,2,FALSE)*RecovCAM+VLOOKUP($G$19,RecovMatrix,3,FALSE)*RecovTax+VLOOKUP($G$19,RecovMatrix,4,FALSE)*RecovIns)*$B$19/12*INDEX(Cum_OpEx,1,BA$77)*(1+IF(AdminFeeOn="On",AdminFeePct,0))+(VLOOKUP($G$20,RecovMatrix,2,FALSE)*RecovCAM+VLOOKUP($G$20,RecovMatrix,3,FALSE)*RecovTax+VLOOKUP($G$20,RecovMatrix,4,FALSE)*RecovIns)*$B$20/12*INDEX(Cum_OpEx,1,BA$77)*(1+IF(AdminFeeOn="On",AdminFeePct,0))+(VLOOKUP($G$21,RecovMatrix,2,FALSE)*RecovCAM+VLOOKUP($G$21,RecovMatrix,3,FALSE)*RecovTax+VLOOKUP($G$21,RecovMatrix,4,FALSE)*RecovIns)*$B$21/12*INDEX(Cum_OpEx,1,BA$77)*(1+IF(AdminFeeOn="On",AdminFeePct,0))+(VLOOKUP($G$22,RecovMatrix,2,FALSE)*RecovCAM+VLOOKUP($G$22,RecovMatrix,3,FALSE)*RecovTax+VLOOKUP($G$22,RecovMatrix,4,FALSE)*RecovIns)*$B$22/12*INDEX(Cum_OpEx,1,BA$77)*(1+IF(AdminFeeOn="On",AdminFeePct,0)))*Assumptions!BA$74</f>
        <v/>
      </c>
      <c r="BB37" s="50">
        <f>((VLOOKUP($G$17,RecovMatrix,2,FALSE)*RecovCAM+VLOOKUP($G$17,RecovMatrix,3,FALSE)*RecovTax+VLOOKUP($G$17,RecovMatrix,4,FALSE)*RecovIns)*$B$17/12*INDEX(Cum_OpEx,1,BB$77)*(1+IF(AdminFeeOn="On",AdminFeePct,0))+(VLOOKUP($G$18,RecovMatrix,2,FALSE)*RecovCAM+VLOOKUP($G$18,RecovMatrix,3,FALSE)*RecovTax+VLOOKUP($G$18,RecovMatrix,4,FALSE)*RecovIns)*$B$18/12*INDEX(Cum_OpEx,1,BB$77)*(1+IF(AdminFeeOn="On",AdminFeePct,0))+(VLOOKUP($G$19,RecovMatrix,2,FALSE)*RecovCAM+VLOOKUP($G$19,RecovMatrix,3,FALSE)*RecovTax+VLOOKUP($G$19,RecovMatrix,4,FALSE)*RecovIns)*$B$19/12*INDEX(Cum_OpEx,1,BB$77)*(1+IF(AdminFeeOn="On",AdminFeePct,0))+(VLOOKUP($G$20,RecovMatrix,2,FALSE)*RecovCAM+VLOOKUP($G$20,RecovMatrix,3,FALSE)*RecovTax+VLOOKUP($G$20,RecovMatrix,4,FALSE)*RecovIns)*$B$20/12*INDEX(Cum_OpEx,1,BB$77)*(1+IF(AdminFeeOn="On",AdminFeePct,0))+(VLOOKUP($G$21,RecovMatrix,2,FALSE)*RecovCAM+VLOOKUP($G$21,RecovMatrix,3,FALSE)*RecovTax+VLOOKUP($G$21,RecovMatrix,4,FALSE)*RecovIns)*$B$21/12*INDEX(Cum_OpEx,1,BB$77)*(1+IF(AdminFeeOn="On",AdminFeePct,0))+(VLOOKUP($G$22,RecovMatrix,2,FALSE)*RecovCAM+VLOOKUP($G$22,RecovMatrix,3,FALSE)*RecovTax+VLOOKUP($G$22,RecovMatrix,4,FALSE)*RecovIns)*$B$22/12*INDEX(Cum_OpEx,1,BB$77)*(1+IF(AdminFeeOn="On",AdminFeePct,0)))*Assumptions!BB$74</f>
        <v/>
      </c>
      <c r="BC37" s="50">
        <f>((VLOOKUP($G$17,RecovMatrix,2,FALSE)*RecovCAM+VLOOKUP($G$17,RecovMatrix,3,FALSE)*RecovTax+VLOOKUP($G$17,RecovMatrix,4,FALSE)*RecovIns)*$B$17/12*INDEX(Cum_OpEx,1,BC$77)*(1+IF(AdminFeeOn="On",AdminFeePct,0))+(VLOOKUP($G$18,RecovMatrix,2,FALSE)*RecovCAM+VLOOKUP($G$18,RecovMatrix,3,FALSE)*RecovTax+VLOOKUP($G$18,RecovMatrix,4,FALSE)*RecovIns)*$B$18/12*INDEX(Cum_OpEx,1,BC$77)*(1+IF(AdminFeeOn="On",AdminFeePct,0))+(VLOOKUP($G$19,RecovMatrix,2,FALSE)*RecovCAM+VLOOKUP($G$19,RecovMatrix,3,FALSE)*RecovTax+VLOOKUP($G$19,RecovMatrix,4,FALSE)*RecovIns)*$B$19/12*INDEX(Cum_OpEx,1,BC$77)*(1+IF(AdminFeeOn="On",AdminFeePct,0))+(VLOOKUP($G$20,RecovMatrix,2,FALSE)*RecovCAM+VLOOKUP($G$20,RecovMatrix,3,FALSE)*RecovTax+VLOOKUP($G$20,RecovMatrix,4,FALSE)*RecovIns)*$B$20/12*INDEX(Cum_OpEx,1,BC$77)*(1+IF(AdminFeeOn="On",AdminFeePct,0))+(VLOOKUP($G$21,RecovMatrix,2,FALSE)*RecovCAM+VLOOKUP($G$21,RecovMatrix,3,FALSE)*RecovTax+VLOOKUP($G$21,RecovMatrix,4,FALSE)*RecovIns)*$B$21/12*INDEX(Cum_OpEx,1,BC$77)*(1+IF(AdminFeeOn="On",AdminFeePct,0))+(VLOOKUP($G$22,RecovMatrix,2,FALSE)*RecovCAM+VLOOKUP($G$22,RecovMatrix,3,FALSE)*RecovTax+VLOOKUP($G$22,RecovMatrix,4,FALSE)*RecovIns)*$B$22/12*INDEX(Cum_OpEx,1,BC$77)*(1+IF(AdminFeeOn="On",AdminFeePct,0)))*Assumptions!BC$74</f>
        <v/>
      </c>
      <c r="BD37" s="50">
        <f>((VLOOKUP($G$17,RecovMatrix,2,FALSE)*RecovCAM+VLOOKUP($G$17,RecovMatrix,3,FALSE)*RecovTax+VLOOKUP($G$17,RecovMatrix,4,FALSE)*RecovIns)*$B$17/12*INDEX(Cum_OpEx,1,BD$77)*(1+IF(AdminFeeOn="On",AdminFeePct,0))+(VLOOKUP($G$18,RecovMatrix,2,FALSE)*RecovCAM+VLOOKUP($G$18,RecovMatrix,3,FALSE)*RecovTax+VLOOKUP($G$18,RecovMatrix,4,FALSE)*RecovIns)*$B$18/12*INDEX(Cum_OpEx,1,BD$77)*(1+IF(AdminFeeOn="On",AdminFeePct,0))+(VLOOKUP($G$19,RecovMatrix,2,FALSE)*RecovCAM+VLOOKUP($G$19,RecovMatrix,3,FALSE)*RecovTax+VLOOKUP($G$19,RecovMatrix,4,FALSE)*RecovIns)*$B$19/12*INDEX(Cum_OpEx,1,BD$77)*(1+IF(AdminFeeOn="On",AdminFeePct,0))+(VLOOKUP($G$20,RecovMatrix,2,FALSE)*RecovCAM+VLOOKUP($G$20,RecovMatrix,3,FALSE)*RecovTax+VLOOKUP($G$20,RecovMatrix,4,FALSE)*RecovIns)*$B$20/12*INDEX(Cum_OpEx,1,BD$77)*(1+IF(AdminFeeOn="On",AdminFeePct,0))+(VLOOKUP($G$21,RecovMatrix,2,FALSE)*RecovCAM+VLOOKUP($G$21,RecovMatrix,3,FALSE)*RecovTax+VLOOKUP($G$21,RecovMatrix,4,FALSE)*RecovIns)*$B$21/12*INDEX(Cum_OpEx,1,BD$77)*(1+IF(AdminFeeOn="On",AdminFeePct,0))+(VLOOKUP($G$22,RecovMatrix,2,FALSE)*RecovCAM+VLOOKUP($G$22,RecovMatrix,3,FALSE)*RecovTax+VLOOKUP($G$22,RecovMatrix,4,FALSE)*RecovIns)*$B$22/12*INDEX(Cum_OpEx,1,BD$77)*(1+IF(AdminFeeOn="On",AdminFeePct,0)))*Assumptions!BD$74</f>
        <v/>
      </c>
      <c r="BE37" s="50">
        <f>((VLOOKUP($G$17,RecovMatrix,2,FALSE)*RecovCAM+VLOOKUP($G$17,RecovMatrix,3,FALSE)*RecovTax+VLOOKUP($G$17,RecovMatrix,4,FALSE)*RecovIns)*$B$17/12*INDEX(Cum_OpEx,1,BE$77)*(1+IF(AdminFeeOn="On",AdminFeePct,0))+(VLOOKUP($G$18,RecovMatrix,2,FALSE)*RecovCAM+VLOOKUP($G$18,RecovMatrix,3,FALSE)*RecovTax+VLOOKUP($G$18,RecovMatrix,4,FALSE)*RecovIns)*$B$18/12*INDEX(Cum_OpEx,1,BE$77)*(1+IF(AdminFeeOn="On",AdminFeePct,0))+(VLOOKUP($G$19,RecovMatrix,2,FALSE)*RecovCAM+VLOOKUP($G$19,RecovMatrix,3,FALSE)*RecovTax+VLOOKUP($G$19,RecovMatrix,4,FALSE)*RecovIns)*$B$19/12*INDEX(Cum_OpEx,1,BE$77)*(1+IF(AdminFeeOn="On",AdminFeePct,0))+(VLOOKUP($G$20,RecovMatrix,2,FALSE)*RecovCAM+VLOOKUP($G$20,RecovMatrix,3,FALSE)*RecovTax+VLOOKUP($G$20,RecovMatrix,4,FALSE)*RecovIns)*$B$20/12*INDEX(Cum_OpEx,1,BE$77)*(1+IF(AdminFeeOn="On",AdminFeePct,0))+(VLOOKUP($G$21,RecovMatrix,2,FALSE)*RecovCAM+VLOOKUP($G$21,RecovMatrix,3,FALSE)*RecovTax+VLOOKUP($G$21,RecovMatrix,4,FALSE)*RecovIns)*$B$21/12*INDEX(Cum_OpEx,1,BE$77)*(1+IF(AdminFeeOn="On",AdminFeePct,0))+(VLOOKUP($G$22,RecovMatrix,2,FALSE)*RecovCAM+VLOOKUP($G$22,RecovMatrix,3,FALSE)*RecovTax+VLOOKUP($G$22,RecovMatrix,4,FALSE)*RecovIns)*$B$22/12*INDEX(Cum_OpEx,1,BE$77)*(1+IF(AdminFeeOn="On",AdminFeePct,0)))*Assumptions!BE$74</f>
        <v/>
      </c>
      <c r="BF37" s="50">
        <f>((VLOOKUP($G$17,RecovMatrix,2,FALSE)*RecovCAM+VLOOKUP($G$17,RecovMatrix,3,FALSE)*RecovTax+VLOOKUP($G$17,RecovMatrix,4,FALSE)*RecovIns)*$B$17/12*INDEX(Cum_OpEx,1,BF$77)*(1+IF(AdminFeeOn="On",AdminFeePct,0))+(VLOOKUP($G$18,RecovMatrix,2,FALSE)*RecovCAM+VLOOKUP($G$18,RecovMatrix,3,FALSE)*RecovTax+VLOOKUP($G$18,RecovMatrix,4,FALSE)*RecovIns)*$B$18/12*INDEX(Cum_OpEx,1,BF$77)*(1+IF(AdminFeeOn="On",AdminFeePct,0))+(VLOOKUP($G$19,RecovMatrix,2,FALSE)*RecovCAM+VLOOKUP($G$19,RecovMatrix,3,FALSE)*RecovTax+VLOOKUP($G$19,RecovMatrix,4,FALSE)*RecovIns)*$B$19/12*INDEX(Cum_OpEx,1,BF$77)*(1+IF(AdminFeeOn="On",AdminFeePct,0))+(VLOOKUP($G$20,RecovMatrix,2,FALSE)*RecovCAM+VLOOKUP($G$20,RecovMatrix,3,FALSE)*RecovTax+VLOOKUP($G$20,RecovMatrix,4,FALSE)*RecovIns)*$B$20/12*INDEX(Cum_OpEx,1,BF$77)*(1+IF(AdminFeeOn="On",AdminFeePct,0))+(VLOOKUP($G$21,RecovMatrix,2,FALSE)*RecovCAM+VLOOKUP($G$21,RecovMatrix,3,FALSE)*RecovTax+VLOOKUP($G$21,RecovMatrix,4,FALSE)*RecovIns)*$B$21/12*INDEX(Cum_OpEx,1,BF$77)*(1+IF(AdminFeeOn="On",AdminFeePct,0))+(VLOOKUP($G$22,RecovMatrix,2,FALSE)*RecovCAM+VLOOKUP($G$22,RecovMatrix,3,FALSE)*RecovTax+VLOOKUP($G$22,RecovMatrix,4,FALSE)*RecovIns)*$B$22/12*INDEX(Cum_OpEx,1,BF$77)*(1+IF(AdminFeeOn="On",AdminFeePct,0)))*Assumptions!BF$74</f>
        <v/>
      </c>
      <c r="BG37" s="50">
        <f>((VLOOKUP($G$17,RecovMatrix,2,FALSE)*RecovCAM+VLOOKUP($G$17,RecovMatrix,3,FALSE)*RecovTax+VLOOKUP($G$17,RecovMatrix,4,FALSE)*RecovIns)*$B$17/12*INDEX(Cum_OpEx,1,BG$77)*(1+IF(AdminFeeOn="On",AdminFeePct,0))+(VLOOKUP($G$18,RecovMatrix,2,FALSE)*RecovCAM+VLOOKUP($G$18,RecovMatrix,3,FALSE)*RecovTax+VLOOKUP($G$18,RecovMatrix,4,FALSE)*RecovIns)*$B$18/12*INDEX(Cum_OpEx,1,BG$77)*(1+IF(AdminFeeOn="On",AdminFeePct,0))+(VLOOKUP($G$19,RecovMatrix,2,FALSE)*RecovCAM+VLOOKUP($G$19,RecovMatrix,3,FALSE)*RecovTax+VLOOKUP($G$19,RecovMatrix,4,FALSE)*RecovIns)*$B$19/12*INDEX(Cum_OpEx,1,BG$77)*(1+IF(AdminFeeOn="On",AdminFeePct,0))+(VLOOKUP($G$20,RecovMatrix,2,FALSE)*RecovCAM+VLOOKUP($G$20,RecovMatrix,3,FALSE)*RecovTax+VLOOKUP($G$20,RecovMatrix,4,FALSE)*RecovIns)*$B$20/12*INDEX(Cum_OpEx,1,BG$77)*(1+IF(AdminFeeOn="On",AdminFeePct,0))+(VLOOKUP($G$21,RecovMatrix,2,FALSE)*RecovCAM+VLOOKUP($G$21,RecovMatrix,3,FALSE)*RecovTax+VLOOKUP($G$21,RecovMatrix,4,FALSE)*RecovIns)*$B$21/12*INDEX(Cum_OpEx,1,BG$77)*(1+IF(AdminFeeOn="On",AdminFeePct,0))+(VLOOKUP($G$22,RecovMatrix,2,FALSE)*RecovCAM+VLOOKUP($G$22,RecovMatrix,3,FALSE)*RecovTax+VLOOKUP($G$22,RecovMatrix,4,FALSE)*RecovIns)*$B$22/12*INDEX(Cum_OpEx,1,BG$77)*(1+IF(AdminFeeOn="On",AdminFeePct,0)))*Assumptions!BG$74</f>
        <v/>
      </c>
      <c r="BH37" s="50">
        <f>((VLOOKUP($G$17,RecovMatrix,2,FALSE)*RecovCAM+VLOOKUP($G$17,RecovMatrix,3,FALSE)*RecovTax+VLOOKUP($G$17,RecovMatrix,4,FALSE)*RecovIns)*$B$17/12*INDEX(Cum_OpEx,1,BH$77)*(1+IF(AdminFeeOn="On",AdminFeePct,0))+(VLOOKUP($G$18,RecovMatrix,2,FALSE)*RecovCAM+VLOOKUP($G$18,RecovMatrix,3,FALSE)*RecovTax+VLOOKUP($G$18,RecovMatrix,4,FALSE)*RecovIns)*$B$18/12*INDEX(Cum_OpEx,1,BH$77)*(1+IF(AdminFeeOn="On",AdminFeePct,0))+(VLOOKUP($G$19,RecovMatrix,2,FALSE)*RecovCAM+VLOOKUP($G$19,RecovMatrix,3,FALSE)*RecovTax+VLOOKUP($G$19,RecovMatrix,4,FALSE)*RecovIns)*$B$19/12*INDEX(Cum_OpEx,1,BH$77)*(1+IF(AdminFeeOn="On",AdminFeePct,0))+(VLOOKUP($G$20,RecovMatrix,2,FALSE)*RecovCAM+VLOOKUP($G$20,RecovMatrix,3,FALSE)*RecovTax+VLOOKUP($G$20,RecovMatrix,4,FALSE)*RecovIns)*$B$20/12*INDEX(Cum_OpEx,1,BH$77)*(1+IF(AdminFeeOn="On",AdminFeePct,0))+(VLOOKUP($G$21,RecovMatrix,2,FALSE)*RecovCAM+VLOOKUP($G$21,RecovMatrix,3,FALSE)*RecovTax+VLOOKUP($G$21,RecovMatrix,4,FALSE)*RecovIns)*$B$21/12*INDEX(Cum_OpEx,1,BH$77)*(1+IF(AdminFeeOn="On",AdminFeePct,0))+(VLOOKUP($G$22,RecovMatrix,2,FALSE)*RecovCAM+VLOOKUP($G$22,RecovMatrix,3,FALSE)*RecovTax+VLOOKUP($G$22,RecovMatrix,4,FALSE)*RecovIns)*$B$22/12*INDEX(Cum_OpEx,1,BH$77)*(1+IF(AdminFeeOn="On",AdminFeePct,0)))*Assumptions!BH$74</f>
        <v/>
      </c>
      <c r="BI37" s="50">
        <f>((VLOOKUP($G$17,RecovMatrix,2,FALSE)*RecovCAM+VLOOKUP($G$17,RecovMatrix,3,FALSE)*RecovTax+VLOOKUP($G$17,RecovMatrix,4,FALSE)*RecovIns)*$B$17/12*INDEX(Cum_OpEx,1,BI$77)*(1+IF(AdminFeeOn="On",AdminFeePct,0))+(VLOOKUP($G$18,RecovMatrix,2,FALSE)*RecovCAM+VLOOKUP($G$18,RecovMatrix,3,FALSE)*RecovTax+VLOOKUP($G$18,RecovMatrix,4,FALSE)*RecovIns)*$B$18/12*INDEX(Cum_OpEx,1,BI$77)*(1+IF(AdminFeeOn="On",AdminFeePct,0))+(VLOOKUP($G$19,RecovMatrix,2,FALSE)*RecovCAM+VLOOKUP($G$19,RecovMatrix,3,FALSE)*RecovTax+VLOOKUP($G$19,RecovMatrix,4,FALSE)*RecovIns)*$B$19/12*INDEX(Cum_OpEx,1,BI$77)*(1+IF(AdminFeeOn="On",AdminFeePct,0))+(VLOOKUP($G$20,RecovMatrix,2,FALSE)*RecovCAM+VLOOKUP($G$20,RecovMatrix,3,FALSE)*RecovTax+VLOOKUP($G$20,RecovMatrix,4,FALSE)*RecovIns)*$B$20/12*INDEX(Cum_OpEx,1,BI$77)*(1+IF(AdminFeeOn="On",AdminFeePct,0))+(VLOOKUP($G$21,RecovMatrix,2,FALSE)*RecovCAM+VLOOKUP($G$21,RecovMatrix,3,FALSE)*RecovTax+VLOOKUP($G$21,RecovMatrix,4,FALSE)*RecovIns)*$B$21/12*INDEX(Cum_OpEx,1,BI$77)*(1+IF(AdminFeeOn="On",AdminFeePct,0))+(VLOOKUP($G$22,RecovMatrix,2,FALSE)*RecovCAM+VLOOKUP($G$22,RecovMatrix,3,FALSE)*RecovTax+VLOOKUP($G$22,RecovMatrix,4,FALSE)*RecovIns)*$B$22/12*INDEX(Cum_OpEx,1,BI$77)*(1+IF(AdminFeeOn="On",AdminFeePct,0)))*Assumptions!BI$74</f>
        <v/>
      </c>
      <c r="BJ37" s="50">
        <f>((VLOOKUP($G$17,RecovMatrix,2,FALSE)*RecovCAM+VLOOKUP($G$17,RecovMatrix,3,FALSE)*RecovTax+VLOOKUP($G$17,RecovMatrix,4,FALSE)*RecovIns)*$B$17/12*INDEX(Cum_OpEx,1,BJ$77)*(1+IF(AdminFeeOn="On",AdminFeePct,0))+(VLOOKUP($G$18,RecovMatrix,2,FALSE)*RecovCAM+VLOOKUP($G$18,RecovMatrix,3,FALSE)*RecovTax+VLOOKUP($G$18,RecovMatrix,4,FALSE)*RecovIns)*$B$18/12*INDEX(Cum_OpEx,1,BJ$77)*(1+IF(AdminFeeOn="On",AdminFeePct,0))+(VLOOKUP($G$19,RecovMatrix,2,FALSE)*RecovCAM+VLOOKUP($G$19,RecovMatrix,3,FALSE)*RecovTax+VLOOKUP($G$19,RecovMatrix,4,FALSE)*RecovIns)*$B$19/12*INDEX(Cum_OpEx,1,BJ$77)*(1+IF(AdminFeeOn="On",AdminFeePct,0))+(VLOOKUP($G$20,RecovMatrix,2,FALSE)*RecovCAM+VLOOKUP($G$20,RecovMatrix,3,FALSE)*RecovTax+VLOOKUP($G$20,RecovMatrix,4,FALSE)*RecovIns)*$B$20/12*INDEX(Cum_OpEx,1,BJ$77)*(1+IF(AdminFeeOn="On",AdminFeePct,0))+(VLOOKUP($G$21,RecovMatrix,2,FALSE)*RecovCAM+VLOOKUP($G$21,RecovMatrix,3,FALSE)*RecovTax+VLOOKUP($G$21,RecovMatrix,4,FALSE)*RecovIns)*$B$21/12*INDEX(Cum_OpEx,1,BJ$77)*(1+IF(AdminFeeOn="On",AdminFeePct,0))+(VLOOKUP($G$22,RecovMatrix,2,FALSE)*RecovCAM+VLOOKUP($G$22,RecovMatrix,3,FALSE)*RecovTax+VLOOKUP($G$22,RecovMatrix,4,FALSE)*RecovIns)*$B$22/12*INDEX(Cum_OpEx,1,BJ$77)*(1+IF(AdminFeeOn="On",AdminFeePct,0)))*Assumptions!BJ$74</f>
        <v/>
      </c>
      <c r="BK37" s="50">
        <f>((VLOOKUP($G$17,RecovMatrix,2,FALSE)*RecovCAM+VLOOKUP($G$17,RecovMatrix,3,FALSE)*RecovTax+VLOOKUP($G$17,RecovMatrix,4,FALSE)*RecovIns)*$B$17/12*INDEX(Cum_OpEx,1,BK$77)*(1+IF(AdminFeeOn="On",AdminFeePct,0))+(VLOOKUP($G$18,RecovMatrix,2,FALSE)*RecovCAM+VLOOKUP($G$18,RecovMatrix,3,FALSE)*RecovTax+VLOOKUP($G$18,RecovMatrix,4,FALSE)*RecovIns)*$B$18/12*INDEX(Cum_OpEx,1,BK$77)*(1+IF(AdminFeeOn="On",AdminFeePct,0))+(VLOOKUP($G$19,RecovMatrix,2,FALSE)*RecovCAM+VLOOKUP($G$19,RecovMatrix,3,FALSE)*RecovTax+VLOOKUP($G$19,RecovMatrix,4,FALSE)*RecovIns)*$B$19/12*INDEX(Cum_OpEx,1,BK$77)*(1+IF(AdminFeeOn="On",AdminFeePct,0))+(VLOOKUP($G$20,RecovMatrix,2,FALSE)*RecovCAM+VLOOKUP($G$20,RecovMatrix,3,FALSE)*RecovTax+VLOOKUP($G$20,RecovMatrix,4,FALSE)*RecovIns)*$B$20/12*INDEX(Cum_OpEx,1,BK$77)*(1+IF(AdminFeeOn="On",AdminFeePct,0))+(VLOOKUP($G$21,RecovMatrix,2,FALSE)*RecovCAM+VLOOKUP($G$21,RecovMatrix,3,FALSE)*RecovTax+VLOOKUP($G$21,RecovMatrix,4,FALSE)*RecovIns)*$B$21/12*INDEX(Cum_OpEx,1,BK$77)*(1+IF(AdminFeeOn="On",AdminFeePct,0))+(VLOOKUP($G$22,RecovMatrix,2,FALSE)*RecovCAM+VLOOKUP($G$22,RecovMatrix,3,FALSE)*RecovTax+VLOOKUP($G$22,RecovMatrix,4,FALSE)*RecovIns)*$B$22/12*INDEX(Cum_OpEx,1,BK$77)*(1+IF(AdminFeeOn="On",AdminFeePct,0)))*Assumptions!BK$74</f>
        <v/>
      </c>
      <c r="BL37" s="50">
        <f>((VLOOKUP($G$17,RecovMatrix,2,FALSE)*RecovCAM+VLOOKUP($G$17,RecovMatrix,3,FALSE)*RecovTax+VLOOKUP($G$17,RecovMatrix,4,FALSE)*RecovIns)*$B$17/12*INDEX(Cum_OpEx,1,BL$77)*(1+IF(AdminFeeOn="On",AdminFeePct,0))+(VLOOKUP($G$18,RecovMatrix,2,FALSE)*RecovCAM+VLOOKUP($G$18,RecovMatrix,3,FALSE)*RecovTax+VLOOKUP($G$18,RecovMatrix,4,FALSE)*RecovIns)*$B$18/12*INDEX(Cum_OpEx,1,BL$77)*(1+IF(AdminFeeOn="On",AdminFeePct,0))+(VLOOKUP($G$19,RecovMatrix,2,FALSE)*RecovCAM+VLOOKUP($G$19,RecovMatrix,3,FALSE)*RecovTax+VLOOKUP($G$19,RecovMatrix,4,FALSE)*RecovIns)*$B$19/12*INDEX(Cum_OpEx,1,BL$77)*(1+IF(AdminFeeOn="On",AdminFeePct,0))+(VLOOKUP($G$20,RecovMatrix,2,FALSE)*RecovCAM+VLOOKUP($G$20,RecovMatrix,3,FALSE)*RecovTax+VLOOKUP($G$20,RecovMatrix,4,FALSE)*RecovIns)*$B$20/12*INDEX(Cum_OpEx,1,BL$77)*(1+IF(AdminFeeOn="On",AdminFeePct,0))+(VLOOKUP($G$21,RecovMatrix,2,FALSE)*RecovCAM+VLOOKUP($G$21,RecovMatrix,3,FALSE)*RecovTax+VLOOKUP($G$21,RecovMatrix,4,FALSE)*RecovIns)*$B$21/12*INDEX(Cum_OpEx,1,BL$77)*(1+IF(AdminFeeOn="On",AdminFeePct,0))+(VLOOKUP($G$22,RecovMatrix,2,FALSE)*RecovCAM+VLOOKUP($G$22,RecovMatrix,3,FALSE)*RecovTax+VLOOKUP($G$22,RecovMatrix,4,FALSE)*RecovIns)*$B$22/12*INDEX(Cum_OpEx,1,BL$77)*(1+IF(AdminFeeOn="On",AdminFeePct,0)))*Assumptions!BL$74</f>
        <v/>
      </c>
      <c r="BM37" s="50">
        <f>((VLOOKUP($G$17,RecovMatrix,2,FALSE)*RecovCAM+VLOOKUP($G$17,RecovMatrix,3,FALSE)*RecovTax+VLOOKUP($G$17,RecovMatrix,4,FALSE)*RecovIns)*$B$17/12*INDEX(Cum_OpEx,1,BM$77)*(1+IF(AdminFeeOn="On",AdminFeePct,0))+(VLOOKUP($G$18,RecovMatrix,2,FALSE)*RecovCAM+VLOOKUP($G$18,RecovMatrix,3,FALSE)*RecovTax+VLOOKUP($G$18,RecovMatrix,4,FALSE)*RecovIns)*$B$18/12*INDEX(Cum_OpEx,1,BM$77)*(1+IF(AdminFeeOn="On",AdminFeePct,0))+(VLOOKUP($G$19,RecovMatrix,2,FALSE)*RecovCAM+VLOOKUP($G$19,RecovMatrix,3,FALSE)*RecovTax+VLOOKUP($G$19,RecovMatrix,4,FALSE)*RecovIns)*$B$19/12*INDEX(Cum_OpEx,1,BM$77)*(1+IF(AdminFeeOn="On",AdminFeePct,0))+(VLOOKUP($G$20,RecovMatrix,2,FALSE)*RecovCAM+VLOOKUP($G$20,RecovMatrix,3,FALSE)*RecovTax+VLOOKUP($G$20,RecovMatrix,4,FALSE)*RecovIns)*$B$20/12*INDEX(Cum_OpEx,1,BM$77)*(1+IF(AdminFeeOn="On",AdminFeePct,0))+(VLOOKUP($G$21,RecovMatrix,2,FALSE)*RecovCAM+VLOOKUP($G$21,RecovMatrix,3,FALSE)*RecovTax+VLOOKUP($G$21,RecovMatrix,4,FALSE)*RecovIns)*$B$21/12*INDEX(Cum_OpEx,1,BM$77)*(1+IF(AdminFeeOn="On",AdminFeePct,0))+(VLOOKUP($G$22,RecovMatrix,2,FALSE)*RecovCAM+VLOOKUP($G$22,RecovMatrix,3,FALSE)*RecovTax+VLOOKUP($G$22,RecovMatrix,4,FALSE)*RecovIns)*$B$22/12*INDEX(Cum_OpEx,1,BM$77)*(1+IF(AdminFeeOn="On",AdminFeePct,0)))*Assumptions!BM$74</f>
        <v/>
      </c>
      <c r="BN37" s="50">
        <f>((VLOOKUP($G$17,RecovMatrix,2,FALSE)*RecovCAM+VLOOKUP($G$17,RecovMatrix,3,FALSE)*RecovTax+VLOOKUP($G$17,RecovMatrix,4,FALSE)*RecovIns)*$B$17/12*INDEX(Cum_OpEx,1,BN$77)*(1+IF(AdminFeeOn="On",AdminFeePct,0))+(VLOOKUP($G$18,RecovMatrix,2,FALSE)*RecovCAM+VLOOKUP($G$18,RecovMatrix,3,FALSE)*RecovTax+VLOOKUP($G$18,RecovMatrix,4,FALSE)*RecovIns)*$B$18/12*INDEX(Cum_OpEx,1,BN$77)*(1+IF(AdminFeeOn="On",AdminFeePct,0))+(VLOOKUP($G$19,RecovMatrix,2,FALSE)*RecovCAM+VLOOKUP($G$19,RecovMatrix,3,FALSE)*RecovTax+VLOOKUP($G$19,RecovMatrix,4,FALSE)*RecovIns)*$B$19/12*INDEX(Cum_OpEx,1,BN$77)*(1+IF(AdminFeeOn="On",AdminFeePct,0))+(VLOOKUP($G$20,RecovMatrix,2,FALSE)*RecovCAM+VLOOKUP($G$20,RecovMatrix,3,FALSE)*RecovTax+VLOOKUP($G$20,RecovMatrix,4,FALSE)*RecovIns)*$B$20/12*INDEX(Cum_OpEx,1,BN$77)*(1+IF(AdminFeeOn="On",AdminFeePct,0))+(VLOOKUP($G$21,RecovMatrix,2,FALSE)*RecovCAM+VLOOKUP($G$21,RecovMatrix,3,FALSE)*RecovTax+VLOOKUP($G$21,RecovMatrix,4,FALSE)*RecovIns)*$B$21/12*INDEX(Cum_OpEx,1,BN$77)*(1+IF(AdminFeeOn="On",AdminFeePct,0))+(VLOOKUP($G$22,RecovMatrix,2,FALSE)*RecovCAM+VLOOKUP($G$22,RecovMatrix,3,FALSE)*RecovTax+VLOOKUP($G$22,RecovMatrix,4,FALSE)*RecovIns)*$B$22/12*INDEX(Cum_OpEx,1,BN$77)*(1+IF(AdminFeeOn="On",AdminFeePct,0)))*Assumptions!BN$74</f>
        <v/>
      </c>
      <c r="BO37" s="50">
        <f>((VLOOKUP($G$17,RecovMatrix,2,FALSE)*RecovCAM+VLOOKUP($G$17,RecovMatrix,3,FALSE)*RecovTax+VLOOKUP($G$17,RecovMatrix,4,FALSE)*RecovIns)*$B$17/12*INDEX(Cum_OpEx,1,BO$77)*(1+IF(AdminFeeOn="On",AdminFeePct,0))+(VLOOKUP($G$18,RecovMatrix,2,FALSE)*RecovCAM+VLOOKUP($G$18,RecovMatrix,3,FALSE)*RecovTax+VLOOKUP($G$18,RecovMatrix,4,FALSE)*RecovIns)*$B$18/12*INDEX(Cum_OpEx,1,BO$77)*(1+IF(AdminFeeOn="On",AdminFeePct,0))+(VLOOKUP($G$19,RecovMatrix,2,FALSE)*RecovCAM+VLOOKUP($G$19,RecovMatrix,3,FALSE)*RecovTax+VLOOKUP($G$19,RecovMatrix,4,FALSE)*RecovIns)*$B$19/12*INDEX(Cum_OpEx,1,BO$77)*(1+IF(AdminFeeOn="On",AdminFeePct,0))+(VLOOKUP($G$20,RecovMatrix,2,FALSE)*RecovCAM+VLOOKUP($G$20,RecovMatrix,3,FALSE)*RecovTax+VLOOKUP($G$20,RecovMatrix,4,FALSE)*RecovIns)*$B$20/12*INDEX(Cum_OpEx,1,BO$77)*(1+IF(AdminFeeOn="On",AdminFeePct,0))+(VLOOKUP($G$21,RecovMatrix,2,FALSE)*RecovCAM+VLOOKUP($G$21,RecovMatrix,3,FALSE)*RecovTax+VLOOKUP($G$21,RecovMatrix,4,FALSE)*RecovIns)*$B$21/12*INDEX(Cum_OpEx,1,BO$77)*(1+IF(AdminFeeOn="On",AdminFeePct,0))+(VLOOKUP($G$22,RecovMatrix,2,FALSE)*RecovCAM+VLOOKUP($G$22,RecovMatrix,3,FALSE)*RecovTax+VLOOKUP($G$22,RecovMatrix,4,FALSE)*RecovIns)*$B$22/12*INDEX(Cum_OpEx,1,BO$77)*(1+IF(AdminFeeOn="On",AdminFeePct,0)))*Assumptions!BO$74</f>
        <v/>
      </c>
      <c r="BP37" s="50">
        <f>((VLOOKUP($G$17,RecovMatrix,2,FALSE)*RecovCAM+VLOOKUP($G$17,RecovMatrix,3,FALSE)*RecovTax+VLOOKUP($G$17,RecovMatrix,4,FALSE)*RecovIns)*$B$17/12*INDEX(Cum_OpEx,1,BP$77)*(1+IF(AdminFeeOn="On",AdminFeePct,0))+(VLOOKUP($G$18,RecovMatrix,2,FALSE)*RecovCAM+VLOOKUP($G$18,RecovMatrix,3,FALSE)*RecovTax+VLOOKUP($G$18,RecovMatrix,4,FALSE)*RecovIns)*$B$18/12*INDEX(Cum_OpEx,1,BP$77)*(1+IF(AdminFeeOn="On",AdminFeePct,0))+(VLOOKUP($G$19,RecovMatrix,2,FALSE)*RecovCAM+VLOOKUP($G$19,RecovMatrix,3,FALSE)*RecovTax+VLOOKUP($G$19,RecovMatrix,4,FALSE)*RecovIns)*$B$19/12*INDEX(Cum_OpEx,1,BP$77)*(1+IF(AdminFeeOn="On",AdminFeePct,0))+(VLOOKUP($G$20,RecovMatrix,2,FALSE)*RecovCAM+VLOOKUP($G$20,RecovMatrix,3,FALSE)*RecovTax+VLOOKUP($G$20,RecovMatrix,4,FALSE)*RecovIns)*$B$20/12*INDEX(Cum_OpEx,1,BP$77)*(1+IF(AdminFeeOn="On",AdminFeePct,0))+(VLOOKUP($G$21,RecovMatrix,2,FALSE)*RecovCAM+VLOOKUP($G$21,RecovMatrix,3,FALSE)*RecovTax+VLOOKUP($G$21,RecovMatrix,4,FALSE)*RecovIns)*$B$21/12*INDEX(Cum_OpEx,1,BP$77)*(1+IF(AdminFeeOn="On",AdminFeePct,0))+(VLOOKUP($G$22,RecovMatrix,2,FALSE)*RecovCAM+VLOOKUP($G$22,RecovMatrix,3,FALSE)*RecovTax+VLOOKUP($G$22,RecovMatrix,4,FALSE)*RecovIns)*$B$22/12*INDEX(Cum_OpEx,1,BP$77)*(1+IF(AdminFeeOn="On",AdminFeePct,0)))*Assumptions!BP$74</f>
        <v/>
      </c>
      <c r="BQ37" s="50">
        <f>((VLOOKUP($G$17,RecovMatrix,2,FALSE)*RecovCAM+VLOOKUP($G$17,RecovMatrix,3,FALSE)*RecovTax+VLOOKUP($G$17,RecovMatrix,4,FALSE)*RecovIns)*$B$17/12*INDEX(Cum_OpEx,1,BQ$77)*(1+IF(AdminFeeOn="On",AdminFeePct,0))+(VLOOKUP($G$18,RecovMatrix,2,FALSE)*RecovCAM+VLOOKUP($G$18,RecovMatrix,3,FALSE)*RecovTax+VLOOKUP($G$18,RecovMatrix,4,FALSE)*RecovIns)*$B$18/12*INDEX(Cum_OpEx,1,BQ$77)*(1+IF(AdminFeeOn="On",AdminFeePct,0))+(VLOOKUP($G$19,RecovMatrix,2,FALSE)*RecovCAM+VLOOKUP($G$19,RecovMatrix,3,FALSE)*RecovTax+VLOOKUP($G$19,RecovMatrix,4,FALSE)*RecovIns)*$B$19/12*INDEX(Cum_OpEx,1,BQ$77)*(1+IF(AdminFeeOn="On",AdminFeePct,0))+(VLOOKUP($G$20,RecovMatrix,2,FALSE)*RecovCAM+VLOOKUP($G$20,RecovMatrix,3,FALSE)*RecovTax+VLOOKUP($G$20,RecovMatrix,4,FALSE)*RecovIns)*$B$20/12*INDEX(Cum_OpEx,1,BQ$77)*(1+IF(AdminFeeOn="On",AdminFeePct,0))+(VLOOKUP($G$21,RecovMatrix,2,FALSE)*RecovCAM+VLOOKUP($G$21,RecovMatrix,3,FALSE)*RecovTax+VLOOKUP($G$21,RecovMatrix,4,FALSE)*RecovIns)*$B$21/12*INDEX(Cum_OpEx,1,BQ$77)*(1+IF(AdminFeeOn="On",AdminFeePct,0))+(VLOOKUP($G$22,RecovMatrix,2,FALSE)*RecovCAM+VLOOKUP($G$22,RecovMatrix,3,FALSE)*RecovTax+VLOOKUP($G$22,RecovMatrix,4,FALSE)*RecovIns)*$B$22/12*INDEX(Cum_OpEx,1,BQ$77)*(1+IF(AdminFeeOn="On",AdminFeePct,0)))*Assumptions!BQ$74</f>
        <v/>
      </c>
      <c r="BR37" s="50">
        <f>((VLOOKUP($G$17,RecovMatrix,2,FALSE)*RecovCAM+VLOOKUP($G$17,RecovMatrix,3,FALSE)*RecovTax+VLOOKUP($G$17,RecovMatrix,4,FALSE)*RecovIns)*$B$17/12*INDEX(Cum_OpEx,1,BR$77)*(1+IF(AdminFeeOn="On",AdminFeePct,0))+(VLOOKUP($G$18,RecovMatrix,2,FALSE)*RecovCAM+VLOOKUP($G$18,RecovMatrix,3,FALSE)*RecovTax+VLOOKUP($G$18,RecovMatrix,4,FALSE)*RecovIns)*$B$18/12*INDEX(Cum_OpEx,1,BR$77)*(1+IF(AdminFeeOn="On",AdminFeePct,0))+(VLOOKUP($G$19,RecovMatrix,2,FALSE)*RecovCAM+VLOOKUP($G$19,RecovMatrix,3,FALSE)*RecovTax+VLOOKUP($G$19,RecovMatrix,4,FALSE)*RecovIns)*$B$19/12*INDEX(Cum_OpEx,1,BR$77)*(1+IF(AdminFeeOn="On",AdminFeePct,0))+(VLOOKUP($G$20,RecovMatrix,2,FALSE)*RecovCAM+VLOOKUP($G$20,RecovMatrix,3,FALSE)*RecovTax+VLOOKUP($G$20,RecovMatrix,4,FALSE)*RecovIns)*$B$20/12*INDEX(Cum_OpEx,1,BR$77)*(1+IF(AdminFeeOn="On",AdminFeePct,0))+(VLOOKUP($G$21,RecovMatrix,2,FALSE)*RecovCAM+VLOOKUP($G$21,RecovMatrix,3,FALSE)*RecovTax+VLOOKUP($G$21,RecovMatrix,4,FALSE)*RecovIns)*$B$21/12*INDEX(Cum_OpEx,1,BR$77)*(1+IF(AdminFeeOn="On",AdminFeePct,0))+(VLOOKUP($G$22,RecovMatrix,2,FALSE)*RecovCAM+VLOOKUP($G$22,RecovMatrix,3,FALSE)*RecovTax+VLOOKUP($G$22,RecovMatrix,4,FALSE)*RecovIns)*$B$22/12*INDEX(Cum_OpEx,1,BR$77)*(1+IF(AdminFeeOn="On",AdminFeePct,0)))*Assumptions!BR$74</f>
        <v/>
      </c>
      <c r="BS37" s="50">
        <f>((VLOOKUP($G$17,RecovMatrix,2,FALSE)*RecovCAM+VLOOKUP($G$17,RecovMatrix,3,FALSE)*RecovTax+VLOOKUP($G$17,RecovMatrix,4,FALSE)*RecovIns)*$B$17/12*INDEX(Cum_OpEx,1,BS$77)*(1+IF(AdminFeeOn="On",AdminFeePct,0))+(VLOOKUP($G$18,RecovMatrix,2,FALSE)*RecovCAM+VLOOKUP($G$18,RecovMatrix,3,FALSE)*RecovTax+VLOOKUP($G$18,RecovMatrix,4,FALSE)*RecovIns)*$B$18/12*INDEX(Cum_OpEx,1,BS$77)*(1+IF(AdminFeeOn="On",AdminFeePct,0))+(VLOOKUP($G$19,RecovMatrix,2,FALSE)*RecovCAM+VLOOKUP($G$19,RecovMatrix,3,FALSE)*RecovTax+VLOOKUP($G$19,RecovMatrix,4,FALSE)*RecovIns)*$B$19/12*INDEX(Cum_OpEx,1,BS$77)*(1+IF(AdminFeeOn="On",AdminFeePct,0))+(VLOOKUP($G$20,RecovMatrix,2,FALSE)*RecovCAM+VLOOKUP($G$20,RecovMatrix,3,FALSE)*RecovTax+VLOOKUP($G$20,RecovMatrix,4,FALSE)*RecovIns)*$B$20/12*INDEX(Cum_OpEx,1,BS$77)*(1+IF(AdminFeeOn="On",AdminFeePct,0))+(VLOOKUP($G$21,RecovMatrix,2,FALSE)*RecovCAM+VLOOKUP($G$21,RecovMatrix,3,FALSE)*RecovTax+VLOOKUP($G$21,RecovMatrix,4,FALSE)*RecovIns)*$B$21/12*INDEX(Cum_OpEx,1,BS$77)*(1+IF(AdminFeeOn="On",AdminFeePct,0))+(VLOOKUP($G$22,RecovMatrix,2,FALSE)*RecovCAM+VLOOKUP($G$22,RecovMatrix,3,FALSE)*RecovTax+VLOOKUP($G$22,RecovMatrix,4,FALSE)*RecovIns)*$B$22/12*INDEX(Cum_OpEx,1,BS$77)*(1+IF(AdminFeeOn="On",AdminFeePct,0)))*Assumptions!BS$74</f>
        <v/>
      </c>
      <c r="BT37" s="50">
        <f>((VLOOKUP($G$17,RecovMatrix,2,FALSE)*RecovCAM+VLOOKUP($G$17,RecovMatrix,3,FALSE)*RecovTax+VLOOKUP($G$17,RecovMatrix,4,FALSE)*RecovIns)*$B$17/12*INDEX(Cum_OpEx,1,BT$77)*(1+IF(AdminFeeOn="On",AdminFeePct,0))+(VLOOKUP($G$18,RecovMatrix,2,FALSE)*RecovCAM+VLOOKUP($G$18,RecovMatrix,3,FALSE)*RecovTax+VLOOKUP($G$18,RecovMatrix,4,FALSE)*RecovIns)*$B$18/12*INDEX(Cum_OpEx,1,BT$77)*(1+IF(AdminFeeOn="On",AdminFeePct,0))+(VLOOKUP($G$19,RecovMatrix,2,FALSE)*RecovCAM+VLOOKUP($G$19,RecovMatrix,3,FALSE)*RecovTax+VLOOKUP($G$19,RecovMatrix,4,FALSE)*RecovIns)*$B$19/12*INDEX(Cum_OpEx,1,BT$77)*(1+IF(AdminFeeOn="On",AdminFeePct,0))+(VLOOKUP($G$20,RecovMatrix,2,FALSE)*RecovCAM+VLOOKUP($G$20,RecovMatrix,3,FALSE)*RecovTax+VLOOKUP($G$20,RecovMatrix,4,FALSE)*RecovIns)*$B$20/12*INDEX(Cum_OpEx,1,BT$77)*(1+IF(AdminFeeOn="On",AdminFeePct,0))+(VLOOKUP($G$21,RecovMatrix,2,FALSE)*RecovCAM+VLOOKUP($G$21,RecovMatrix,3,FALSE)*RecovTax+VLOOKUP($G$21,RecovMatrix,4,FALSE)*RecovIns)*$B$21/12*INDEX(Cum_OpEx,1,BT$77)*(1+IF(AdminFeeOn="On",AdminFeePct,0))+(VLOOKUP($G$22,RecovMatrix,2,FALSE)*RecovCAM+VLOOKUP($G$22,RecovMatrix,3,FALSE)*RecovTax+VLOOKUP($G$22,RecovMatrix,4,FALSE)*RecovIns)*$B$22/12*INDEX(Cum_OpEx,1,BT$77)*(1+IF(AdminFeeOn="On",AdminFeePct,0)))*Assumptions!BT$74</f>
        <v/>
      </c>
      <c r="BU37" s="50">
        <f>((VLOOKUP($G$17,RecovMatrix,2,FALSE)*RecovCAM+VLOOKUP($G$17,RecovMatrix,3,FALSE)*RecovTax+VLOOKUP($G$17,RecovMatrix,4,FALSE)*RecovIns)*$B$17/12*INDEX(Cum_OpEx,1,BU$77)*(1+IF(AdminFeeOn="On",AdminFeePct,0))+(VLOOKUP($G$18,RecovMatrix,2,FALSE)*RecovCAM+VLOOKUP($G$18,RecovMatrix,3,FALSE)*RecovTax+VLOOKUP($G$18,RecovMatrix,4,FALSE)*RecovIns)*$B$18/12*INDEX(Cum_OpEx,1,BU$77)*(1+IF(AdminFeeOn="On",AdminFeePct,0))+(VLOOKUP($G$19,RecovMatrix,2,FALSE)*RecovCAM+VLOOKUP($G$19,RecovMatrix,3,FALSE)*RecovTax+VLOOKUP($G$19,RecovMatrix,4,FALSE)*RecovIns)*$B$19/12*INDEX(Cum_OpEx,1,BU$77)*(1+IF(AdminFeeOn="On",AdminFeePct,0))+(VLOOKUP($G$20,RecovMatrix,2,FALSE)*RecovCAM+VLOOKUP($G$20,RecovMatrix,3,FALSE)*RecovTax+VLOOKUP($G$20,RecovMatrix,4,FALSE)*RecovIns)*$B$20/12*INDEX(Cum_OpEx,1,BU$77)*(1+IF(AdminFeeOn="On",AdminFeePct,0))+(VLOOKUP($G$21,RecovMatrix,2,FALSE)*RecovCAM+VLOOKUP($G$21,RecovMatrix,3,FALSE)*RecovTax+VLOOKUP($G$21,RecovMatrix,4,FALSE)*RecovIns)*$B$21/12*INDEX(Cum_OpEx,1,BU$77)*(1+IF(AdminFeeOn="On",AdminFeePct,0))+(VLOOKUP($G$22,RecovMatrix,2,FALSE)*RecovCAM+VLOOKUP($G$22,RecovMatrix,3,FALSE)*RecovTax+VLOOKUP($G$22,RecovMatrix,4,FALSE)*RecovIns)*$B$22/12*INDEX(Cum_OpEx,1,BU$77)*(1+IF(AdminFeeOn="On",AdminFeePct,0)))*Assumptions!BU$74</f>
        <v/>
      </c>
      <c r="BV37" s="50">
        <f>((VLOOKUP($G$17,RecovMatrix,2,FALSE)*RecovCAM+VLOOKUP($G$17,RecovMatrix,3,FALSE)*RecovTax+VLOOKUP($G$17,RecovMatrix,4,FALSE)*RecovIns)*$B$17/12*INDEX(Cum_OpEx,1,BV$77)*(1+IF(AdminFeeOn="On",AdminFeePct,0))+(VLOOKUP($G$18,RecovMatrix,2,FALSE)*RecovCAM+VLOOKUP($G$18,RecovMatrix,3,FALSE)*RecovTax+VLOOKUP($G$18,RecovMatrix,4,FALSE)*RecovIns)*$B$18/12*INDEX(Cum_OpEx,1,BV$77)*(1+IF(AdminFeeOn="On",AdminFeePct,0))+(VLOOKUP($G$19,RecovMatrix,2,FALSE)*RecovCAM+VLOOKUP($G$19,RecovMatrix,3,FALSE)*RecovTax+VLOOKUP($G$19,RecovMatrix,4,FALSE)*RecovIns)*$B$19/12*INDEX(Cum_OpEx,1,BV$77)*(1+IF(AdminFeeOn="On",AdminFeePct,0))+(VLOOKUP($G$20,RecovMatrix,2,FALSE)*RecovCAM+VLOOKUP($G$20,RecovMatrix,3,FALSE)*RecovTax+VLOOKUP($G$20,RecovMatrix,4,FALSE)*RecovIns)*$B$20/12*INDEX(Cum_OpEx,1,BV$77)*(1+IF(AdminFeeOn="On",AdminFeePct,0))+(VLOOKUP($G$21,RecovMatrix,2,FALSE)*RecovCAM+VLOOKUP($G$21,RecovMatrix,3,FALSE)*RecovTax+VLOOKUP($G$21,RecovMatrix,4,FALSE)*RecovIns)*$B$21/12*INDEX(Cum_OpEx,1,BV$77)*(1+IF(AdminFeeOn="On",AdminFeePct,0))+(VLOOKUP($G$22,RecovMatrix,2,FALSE)*RecovCAM+VLOOKUP($G$22,RecovMatrix,3,FALSE)*RecovTax+VLOOKUP($G$22,RecovMatrix,4,FALSE)*RecovIns)*$B$22/12*INDEX(Cum_OpEx,1,BV$77)*(1+IF(AdminFeeOn="On",AdminFeePct,0)))*Assumptions!BV$74</f>
        <v/>
      </c>
      <c r="BW37" s="50">
        <f>((VLOOKUP($G$17,RecovMatrix,2,FALSE)*RecovCAM+VLOOKUP($G$17,RecovMatrix,3,FALSE)*RecovTax+VLOOKUP($G$17,RecovMatrix,4,FALSE)*RecovIns)*$B$17/12*INDEX(Cum_OpEx,1,BW$77)*(1+IF(AdminFeeOn="On",AdminFeePct,0))+(VLOOKUP($G$18,RecovMatrix,2,FALSE)*RecovCAM+VLOOKUP($G$18,RecovMatrix,3,FALSE)*RecovTax+VLOOKUP($G$18,RecovMatrix,4,FALSE)*RecovIns)*$B$18/12*INDEX(Cum_OpEx,1,BW$77)*(1+IF(AdminFeeOn="On",AdminFeePct,0))+(VLOOKUP($G$19,RecovMatrix,2,FALSE)*RecovCAM+VLOOKUP($G$19,RecovMatrix,3,FALSE)*RecovTax+VLOOKUP($G$19,RecovMatrix,4,FALSE)*RecovIns)*$B$19/12*INDEX(Cum_OpEx,1,BW$77)*(1+IF(AdminFeeOn="On",AdminFeePct,0))+(VLOOKUP($G$20,RecovMatrix,2,FALSE)*RecovCAM+VLOOKUP($G$20,RecovMatrix,3,FALSE)*RecovTax+VLOOKUP($G$20,RecovMatrix,4,FALSE)*RecovIns)*$B$20/12*INDEX(Cum_OpEx,1,BW$77)*(1+IF(AdminFeeOn="On",AdminFeePct,0))+(VLOOKUP($G$21,RecovMatrix,2,FALSE)*RecovCAM+VLOOKUP($G$21,RecovMatrix,3,FALSE)*RecovTax+VLOOKUP($G$21,RecovMatrix,4,FALSE)*RecovIns)*$B$21/12*INDEX(Cum_OpEx,1,BW$77)*(1+IF(AdminFeeOn="On",AdminFeePct,0))+(VLOOKUP($G$22,RecovMatrix,2,FALSE)*RecovCAM+VLOOKUP($G$22,RecovMatrix,3,FALSE)*RecovTax+VLOOKUP($G$22,RecovMatrix,4,FALSE)*RecovIns)*$B$22/12*INDEX(Cum_OpEx,1,BW$77)*(1+IF(AdminFeeOn="On",AdminFeePct,0)))*Assumptions!BW$74</f>
        <v/>
      </c>
      <c r="BX37" s="50">
        <f>((VLOOKUP($G$17,RecovMatrix,2,FALSE)*RecovCAM+VLOOKUP($G$17,RecovMatrix,3,FALSE)*RecovTax+VLOOKUP($G$17,RecovMatrix,4,FALSE)*RecovIns)*$B$17/12*INDEX(Cum_OpEx,1,BX$77)*(1+IF(AdminFeeOn="On",AdminFeePct,0))+(VLOOKUP($G$18,RecovMatrix,2,FALSE)*RecovCAM+VLOOKUP($G$18,RecovMatrix,3,FALSE)*RecovTax+VLOOKUP($G$18,RecovMatrix,4,FALSE)*RecovIns)*$B$18/12*INDEX(Cum_OpEx,1,BX$77)*(1+IF(AdminFeeOn="On",AdminFeePct,0))+(VLOOKUP($G$19,RecovMatrix,2,FALSE)*RecovCAM+VLOOKUP($G$19,RecovMatrix,3,FALSE)*RecovTax+VLOOKUP($G$19,RecovMatrix,4,FALSE)*RecovIns)*$B$19/12*INDEX(Cum_OpEx,1,BX$77)*(1+IF(AdminFeeOn="On",AdminFeePct,0))+(VLOOKUP($G$20,RecovMatrix,2,FALSE)*RecovCAM+VLOOKUP($G$20,RecovMatrix,3,FALSE)*RecovTax+VLOOKUP($G$20,RecovMatrix,4,FALSE)*RecovIns)*$B$20/12*INDEX(Cum_OpEx,1,BX$77)*(1+IF(AdminFeeOn="On",AdminFeePct,0))+(VLOOKUP($G$21,RecovMatrix,2,FALSE)*RecovCAM+VLOOKUP($G$21,RecovMatrix,3,FALSE)*RecovTax+VLOOKUP($G$21,RecovMatrix,4,FALSE)*RecovIns)*$B$21/12*INDEX(Cum_OpEx,1,BX$77)*(1+IF(AdminFeeOn="On",AdminFeePct,0))+(VLOOKUP($G$22,RecovMatrix,2,FALSE)*RecovCAM+VLOOKUP($G$22,RecovMatrix,3,FALSE)*RecovTax+VLOOKUP($G$22,RecovMatrix,4,FALSE)*RecovIns)*$B$22/12*INDEX(Cum_OpEx,1,BX$77)*(1+IF(AdminFeeOn="On",AdminFeePct,0)))*Assumptions!BX$74</f>
        <v/>
      </c>
      <c r="BY37" s="50">
        <f>((VLOOKUP($G$17,RecovMatrix,2,FALSE)*RecovCAM+VLOOKUP($G$17,RecovMatrix,3,FALSE)*RecovTax+VLOOKUP($G$17,RecovMatrix,4,FALSE)*RecovIns)*$B$17/12*INDEX(Cum_OpEx,1,BY$77)*(1+IF(AdminFeeOn="On",AdminFeePct,0))+(VLOOKUP($G$18,RecovMatrix,2,FALSE)*RecovCAM+VLOOKUP($G$18,RecovMatrix,3,FALSE)*RecovTax+VLOOKUP($G$18,RecovMatrix,4,FALSE)*RecovIns)*$B$18/12*INDEX(Cum_OpEx,1,BY$77)*(1+IF(AdminFeeOn="On",AdminFeePct,0))+(VLOOKUP($G$19,RecovMatrix,2,FALSE)*RecovCAM+VLOOKUP($G$19,RecovMatrix,3,FALSE)*RecovTax+VLOOKUP($G$19,RecovMatrix,4,FALSE)*RecovIns)*$B$19/12*INDEX(Cum_OpEx,1,BY$77)*(1+IF(AdminFeeOn="On",AdminFeePct,0))+(VLOOKUP($G$20,RecovMatrix,2,FALSE)*RecovCAM+VLOOKUP($G$20,RecovMatrix,3,FALSE)*RecovTax+VLOOKUP($G$20,RecovMatrix,4,FALSE)*RecovIns)*$B$20/12*INDEX(Cum_OpEx,1,BY$77)*(1+IF(AdminFeeOn="On",AdminFeePct,0))+(VLOOKUP($G$21,RecovMatrix,2,FALSE)*RecovCAM+VLOOKUP($G$21,RecovMatrix,3,FALSE)*RecovTax+VLOOKUP($G$21,RecovMatrix,4,FALSE)*RecovIns)*$B$21/12*INDEX(Cum_OpEx,1,BY$77)*(1+IF(AdminFeeOn="On",AdminFeePct,0))+(VLOOKUP($G$22,RecovMatrix,2,FALSE)*RecovCAM+VLOOKUP($G$22,RecovMatrix,3,FALSE)*RecovTax+VLOOKUP($G$22,RecovMatrix,4,FALSE)*RecovIns)*$B$22/12*INDEX(Cum_OpEx,1,BY$77)*(1+IF(AdminFeeOn="On",AdminFeePct,0)))*Assumptions!BY$74</f>
        <v/>
      </c>
      <c r="BZ37" s="50">
        <f>((VLOOKUP($G$17,RecovMatrix,2,FALSE)*RecovCAM+VLOOKUP($G$17,RecovMatrix,3,FALSE)*RecovTax+VLOOKUP($G$17,RecovMatrix,4,FALSE)*RecovIns)*$B$17/12*INDEX(Cum_OpEx,1,BZ$77)*(1+IF(AdminFeeOn="On",AdminFeePct,0))+(VLOOKUP($G$18,RecovMatrix,2,FALSE)*RecovCAM+VLOOKUP($G$18,RecovMatrix,3,FALSE)*RecovTax+VLOOKUP($G$18,RecovMatrix,4,FALSE)*RecovIns)*$B$18/12*INDEX(Cum_OpEx,1,BZ$77)*(1+IF(AdminFeeOn="On",AdminFeePct,0))+(VLOOKUP($G$19,RecovMatrix,2,FALSE)*RecovCAM+VLOOKUP($G$19,RecovMatrix,3,FALSE)*RecovTax+VLOOKUP($G$19,RecovMatrix,4,FALSE)*RecovIns)*$B$19/12*INDEX(Cum_OpEx,1,BZ$77)*(1+IF(AdminFeeOn="On",AdminFeePct,0))+(VLOOKUP($G$20,RecovMatrix,2,FALSE)*RecovCAM+VLOOKUP($G$20,RecovMatrix,3,FALSE)*RecovTax+VLOOKUP($G$20,RecovMatrix,4,FALSE)*RecovIns)*$B$20/12*INDEX(Cum_OpEx,1,BZ$77)*(1+IF(AdminFeeOn="On",AdminFeePct,0))+(VLOOKUP($G$21,RecovMatrix,2,FALSE)*RecovCAM+VLOOKUP($G$21,RecovMatrix,3,FALSE)*RecovTax+VLOOKUP($G$21,RecovMatrix,4,FALSE)*RecovIns)*$B$21/12*INDEX(Cum_OpEx,1,BZ$77)*(1+IF(AdminFeeOn="On",AdminFeePct,0))+(VLOOKUP($G$22,RecovMatrix,2,FALSE)*RecovCAM+VLOOKUP($G$22,RecovMatrix,3,FALSE)*RecovTax+VLOOKUP($G$22,RecovMatrix,4,FALSE)*RecovIns)*$B$22/12*INDEX(Cum_OpEx,1,BZ$77)*(1+IF(AdminFeeOn="On",AdminFeePct,0)))*Assumptions!BZ$74</f>
        <v/>
      </c>
      <c r="CA37" s="50">
        <f>((VLOOKUP($G$17,RecovMatrix,2,FALSE)*RecovCAM+VLOOKUP($G$17,RecovMatrix,3,FALSE)*RecovTax+VLOOKUP($G$17,RecovMatrix,4,FALSE)*RecovIns)*$B$17/12*INDEX(Cum_OpEx,1,CA$77)*(1+IF(AdminFeeOn="On",AdminFeePct,0))+(VLOOKUP($G$18,RecovMatrix,2,FALSE)*RecovCAM+VLOOKUP($G$18,RecovMatrix,3,FALSE)*RecovTax+VLOOKUP($G$18,RecovMatrix,4,FALSE)*RecovIns)*$B$18/12*INDEX(Cum_OpEx,1,CA$77)*(1+IF(AdminFeeOn="On",AdminFeePct,0))+(VLOOKUP($G$19,RecovMatrix,2,FALSE)*RecovCAM+VLOOKUP($G$19,RecovMatrix,3,FALSE)*RecovTax+VLOOKUP($G$19,RecovMatrix,4,FALSE)*RecovIns)*$B$19/12*INDEX(Cum_OpEx,1,CA$77)*(1+IF(AdminFeeOn="On",AdminFeePct,0))+(VLOOKUP($G$20,RecovMatrix,2,FALSE)*RecovCAM+VLOOKUP($G$20,RecovMatrix,3,FALSE)*RecovTax+VLOOKUP($G$20,RecovMatrix,4,FALSE)*RecovIns)*$B$20/12*INDEX(Cum_OpEx,1,CA$77)*(1+IF(AdminFeeOn="On",AdminFeePct,0))+(VLOOKUP($G$21,RecovMatrix,2,FALSE)*RecovCAM+VLOOKUP($G$21,RecovMatrix,3,FALSE)*RecovTax+VLOOKUP($G$21,RecovMatrix,4,FALSE)*RecovIns)*$B$21/12*INDEX(Cum_OpEx,1,CA$77)*(1+IF(AdminFeeOn="On",AdminFeePct,0))+(VLOOKUP($G$22,RecovMatrix,2,FALSE)*RecovCAM+VLOOKUP($G$22,RecovMatrix,3,FALSE)*RecovTax+VLOOKUP($G$22,RecovMatrix,4,FALSE)*RecovIns)*$B$22/12*INDEX(Cum_OpEx,1,CA$77)*(1+IF(AdminFeeOn="On",AdminFeePct,0)))*Assumptions!CA$74</f>
        <v/>
      </c>
      <c r="CB37" s="50">
        <f>((VLOOKUP($G$17,RecovMatrix,2,FALSE)*RecovCAM+VLOOKUP($G$17,RecovMatrix,3,FALSE)*RecovTax+VLOOKUP($G$17,RecovMatrix,4,FALSE)*RecovIns)*$B$17/12*INDEX(Cum_OpEx,1,CB$77)*(1+IF(AdminFeeOn="On",AdminFeePct,0))+(VLOOKUP($G$18,RecovMatrix,2,FALSE)*RecovCAM+VLOOKUP($G$18,RecovMatrix,3,FALSE)*RecovTax+VLOOKUP($G$18,RecovMatrix,4,FALSE)*RecovIns)*$B$18/12*INDEX(Cum_OpEx,1,CB$77)*(1+IF(AdminFeeOn="On",AdminFeePct,0))+(VLOOKUP($G$19,RecovMatrix,2,FALSE)*RecovCAM+VLOOKUP($G$19,RecovMatrix,3,FALSE)*RecovTax+VLOOKUP($G$19,RecovMatrix,4,FALSE)*RecovIns)*$B$19/12*INDEX(Cum_OpEx,1,CB$77)*(1+IF(AdminFeeOn="On",AdminFeePct,0))+(VLOOKUP($G$20,RecovMatrix,2,FALSE)*RecovCAM+VLOOKUP($G$20,RecovMatrix,3,FALSE)*RecovTax+VLOOKUP($G$20,RecovMatrix,4,FALSE)*RecovIns)*$B$20/12*INDEX(Cum_OpEx,1,CB$77)*(1+IF(AdminFeeOn="On",AdminFeePct,0))+(VLOOKUP($G$21,RecovMatrix,2,FALSE)*RecovCAM+VLOOKUP($G$21,RecovMatrix,3,FALSE)*RecovTax+VLOOKUP($G$21,RecovMatrix,4,FALSE)*RecovIns)*$B$21/12*INDEX(Cum_OpEx,1,CB$77)*(1+IF(AdminFeeOn="On",AdminFeePct,0))+(VLOOKUP($G$22,RecovMatrix,2,FALSE)*RecovCAM+VLOOKUP($G$22,RecovMatrix,3,FALSE)*RecovTax+VLOOKUP($G$22,RecovMatrix,4,FALSE)*RecovIns)*$B$22/12*INDEX(Cum_OpEx,1,CB$77)*(1+IF(AdminFeeOn="On",AdminFeePct,0)))*Assumptions!CB$74</f>
        <v/>
      </c>
      <c r="CC37" s="50">
        <f>((VLOOKUP($G$17,RecovMatrix,2,FALSE)*RecovCAM+VLOOKUP($G$17,RecovMatrix,3,FALSE)*RecovTax+VLOOKUP($G$17,RecovMatrix,4,FALSE)*RecovIns)*$B$17/12*INDEX(Cum_OpEx,1,CC$77)*(1+IF(AdminFeeOn="On",AdminFeePct,0))+(VLOOKUP($G$18,RecovMatrix,2,FALSE)*RecovCAM+VLOOKUP($G$18,RecovMatrix,3,FALSE)*RecovTax+VLOOKUP($G$18,RecovMatrix,4,FALSE)*RecovIns)*$B$18/12*INDEX(Cum_OpEx,1,CC$77)*(1+IF(AdminFeeOn="On",AdminFeePct,0))+(VLOOKUP($G$19,RecovMatrix,2,FALSE)*RecovCAM+VLOOKUP($G$19,RecovMatrix,3,FALSE)*RecovTax+VLOOKUP($G$19,RecovMatrix,4,FALSE)*RecovIns)*$B$19/12*INDEX(Cum_OpEx,1,CC$77)*(1+IF(AdminFeeOn="On",AdminFeePct,0))+(VLOOKUP($G$20,RecovMatrix,2,FALSE)*RecovCAM+VLOOKUP($G$20,RecovMatrix,3,FALSE)*RecovTax+VLOOKUP($G$20,RecovMatrix,4,FALSE)*RecovIns)*$B$20/12*INDEX(Cum_OpEx,1,CC$77)*(1+IF(AdminFeeOn="On",AdminFeePct,0))+(VLOOKUP($G$21,RecovMatrix,2,FALSE)*RecovCAM+VLOOKUP($G$21,RecovMatrix,3,FALSE)*RecovTax+VLOOKUP($G$21,RecovMatrix,4,FALSE)*RecovIns)*$B$21/12*INDEX(Cum_OpEx,1,CC$77)*(1+IF(AdminFeeOn="On",AdminFeePct,0))+(VLOOKUP($G$22,RecovMatrix,2,FALSE)*RecovCAM+VLOOKUP($G$22,RecovMatrix,3,FALSE)*RecovTax+VLOOKUP($G$22,RecovMatrix,4,FALSE)*RecovIns)*$B$22/12*INDEX(Cum_OpEx,1,CC$77)*(1+IF(AdminFeeOn="On",AdminFeePct,0)))*Assumptions!CC$74</f>
        <v/>
      </c>
      <c r="CD37" s="50">
        <f>((VLOOKUP($G$17,RecovMatrix,2,FALSE)*RecovCAM+VLOOKUP($G$17,RecovMatrix,3,FALSE)*RecovTax+VLOOKUP($G$17,RecovMatrix,4,FALSE)*RecovIns)*$B$17/12*INDEX(Cum_OpEx,1,CD$77)*(1+IF(AdminFeeOn="On",AdminFeePct,0))+(VLOOKUP($G$18,RecovMatrix,2,FALSE)*RecovCAM+VLOOKUP($G$18,RecovMatrix,3,FALSE)*RecovTax+VLOOKUP($G$18,RecovMatrix,4,FALSE)*RecovIns)*$B$18/12*INDEX(Cum_OpEx,1,CD$77)*(1+IF(AdminFeeOn="On",AdminFeePct,0))+(VLOOKUP($G$19,RecovMatrix,2,FALSE)*RecovCAM+VLOOKUP($G$19,RecovMatrix,3,FALSE)*RecovTax+VLOOKUP($G$19,RecovMatrix,4,FALSE)*RecovIns)*$B$19/12*INDEX(Cum_OpEx,1,CD$77)*(1+IF(AdminFeeOn="On",AdminFeePct,0))+(VLOOKUP($G$20,RecovMatrix,2,FALSE)*RecovCAM+VLOOKUP($G$20,RecovMatrix,3,FALSE)*RecovTax+VLOOKUP($G$20,RecovMatrix,4,FALSE)*RecovIns)*$B$20/12*INDEX(Cum_OpEx,1,CD$77)*(1+IF(AdminFeeOn="On",AdminFeePct,0))+(VLOOKUP($G$21,RecovMatrix,2,FALSE)*RecovCAM+VLOOKUP($G$21,RecovMatrix,3,FALSE)*RecovTax+VLOOKUP($G$21,RecovMatrix,4,FALSE)*RecovIns)*$B$21/12*INDEX(Cum_OpEx,1,CD$77)*(1+IF(AdminFeeOn="On",AdminFeePct,0))+(VLOOKUP($G$22,RecovMatrix,2,FALSE)*RecovCAM+VLOOKUP($G$22,RecovMatrix,3,FALSE)*RecovTax+VLOOKUP($G$22,RecovMatrix,4,FALSE)*RecovIns)*$B$22/12*INDEX(Cum_OpEx,1,CD$77)*(1+IF(AdminFeeOn="On",AdminFeePct,0)))*Assumptions!CD$74</f>
        <v/>
      </c>
      <c r="CE37" s="50">
        <f>((VLOOKUP($G$17,RecovMatrix,2,FALSE)*RecovCAM+VLOOKUP($G$17,RecovMatrix,3,FALSE)*RecovTax+VLOOKUP($G$17,RecovMatrix,4,FALSE)*RecovIns)*$B$17/12*INDEX(Cum_OpEx,1,CE$77)*(1+IF(AdminFeeOn="On",AdminFeePct,0))+(VLOOKUP($G$18,RecovMatrix,2,FALSE)*RecovCAM+VLOOKUP($G$18,RecovMatrix,3,FALSE)*RecovTax+VLOOKUP($G$18,RecovMatrix,4,FALSE)*RecovIns)*$B$18/12*INDEX(Cum_OpEx,1,CE$77)*(1+IF(AdminFeeOn="On",AdminFeePct,0))+(VLOOKUP($G$19,RecovMatrix,2,FALSE)*RecovCAM+VLOOKUP($G$19,RecovMatrix,3,FALSE)*RecovTax+VLOOKUP($G$19,RecovMatrix,4,FALSE)*RecovIns)*$B$19/12*INDEX(Cum_OpEx,1,CE$77)*(1+IF(AdminFeeOn="On",AdminFeePct,0))+(VLOOKUP($G$20,RecovMatrix,2,FALSE)*RecovCAM+VLOOKUP($G$20,RecovMatrix,3,FALSE)*RecovTax+VLOOKUP($G$20,RecovMatrix,4,FALSE)*RecovIns)*$B$20/12*INDEX(Cum_OpEx,1,CE$77)*(1+IF(AdminFeeOn="On",AdminFeePct,0))+(VLOOKUP($G$21,RecovMatrix,2,FALSE)*RecovCAM+VLOOKUP($G$21,RecovMatrix,3,FALSE)*RecovTax+VLOOKUP($G$21,RecovMatrix,4,FALSE)*RecovIns)*$B$21/12*INDEX(Cum_OpEx,1,CE$77)*(1+IF(AdminFeeOn="On",AdminFeePct,0))+(VLOOKUP($G$22,RecovMatrix,2,FALSE)*RecovCAM+VLOOKUP($G$22,RecovMatrix,3,FALSE)*RecovTax+VLOOKUP($G$22,RecovMatrix,4,FALSE)*RecovIns)*$B$22/12*INDEX(Cum_OpEx,1,CE$77)*(1+IF(AdminFeeOn="On",AdminFeePct,0)))*Assumptions!CE$74</f>
        <v/>
      </c>
      <c r="CF37" s="50">
        <f>((VLOOKUP($G$17,RecovMatrix,2,FALSE)*RecovCAM+VLOOKUP($G$17,RecovMatrix,3,FALSE)*RecovTax+VLOOKUP($G$17,RecovMatrix,4,FALSE)*RecovIns)*$B$17/12*INDEX(Cum_OpEx,1,CF$77)*(1+IF(AdminFeeOn="On",AdminFeePct,0))+(VLOOKUP($G$18,RecovMatrix,2,FALSE)*RecovCAM+VLOOKUP($G$18,RecovMatrix,3,FALSE)*RecovTax+VLOOKUP($G$18,RecovMatrix,4,FALSE)*RecovIns)*$B$18/12*INDEX(Cum_OpEx,1,CF$77)*(1+IF(AdminFeeOn="On",AdminFeePct,0))+(VLOOKUP($G$19,RecovMatrix,2,FALSE)*RecovCAM+VLOOKUP($G$19,RecovMatrix,3,FALSE)*RecovTax+VLOOKUP($G$19,RecovMatrix,4,FALSE)*RecovIns)*$B$19/12*INDEX(Cum_OpEx,1,CF$77)*(1+IF(AdminFeeOn="On",AdminFeePct,0))+(VLOOKUP($G$20,RecovMatrix,2,FALSE)*RecovCAM+VLOOKUP($G$20,RecovMatrix,3,FALSE)*RecovTax+VLOOKUP($G$20,RecovMatrix,4,FALSE)*RecovIns)*$B$20/12*INDEX(Cum_OpEx,1,CF$77)*(1+IF(AdminFeeOn="On",AdminFeePct,0))+(VLOOKUP($G$21,RecovMatrix,2,FALSE)*RecovCAM+VLOOKUP($G$21,RecovMatrix,3,FALSE)*RecovTax+VLOOKUP($G$21,RecovMatrix,4,FALSE)*RecovIns)*$B$21/12*INDEX(Cum_OpEx,1,CF$77)*(1+IF(AdminFeeOn="On",AdminFeePct,0))+(VLOOKUP($G$22,RecovMatrix,2,FALSE)*RecovCAM+VLOOKUP($G$22,RecovMatrix,3,FALSE)*RecovTax+VLOOKUP($G$22,RecovMatrix,4,FALSE)*RecovIns)*$B$22/12*INDEX(Cum_OpEx,1,CF$77)*(1+IF(AdminFeeOn="On",AdminFeePct,0)))*Assumptions!CF$74</f>
        <v/>
      </c>
      <c r="CG37" s="50">
        <f>((VLOOKUP($G$17,RecovMatrix,2,FALSE)*RecovCAM+VLOOKUP($G$17,RecovMatrix,3,FALSE)*RecovTax+VLOOKUP($G$17,RecovMatrix,4,FALSE)*RecovIns)*$B$17/12*INDEX(Cum_OpEx,1,CG$77)*(1+IF(AdminFeeOn="On",AdminFeePct,0))+(VLOOKUP($G$18,RecovMatrix,2,FALSE)*RecovCAM+VLOOKUP($G$18,RecovMatrix,3,FALSE)*RecovTax+VLOOKUP($G$18,RecovMatrix,4,FALSE)*RecovIns)*$B$18/12*INDEX(Cum_OpEx,1,CG$77)*(1+IF(AdminFeeOn="On",AdminFeePct,0))+(VLOOKUP($G$19,RecovMatrix,2,FALSE)*RecovCAM+VLOOKUP($G$19,RecovMatrix,3,FALSE)*RecovTax+VLOOKUP($G$19,RecovMatrix,4,FALSE)*RecovIns)*$B$19/12*INDEX(Cum_OpEx,1,CG$77)*(1+IF(AdminFeeOn="On",AdminFeePct,0))+(VLOOKUP($G$20,RecovMatrix,2,FALSE)*RecovCAM+VLOOKUP($G$20,RecovMatrix,3,FALSE)*RecovTax+VLOOKUP($G$20,RecovMatrix,4,FALSE)*RecovIns)*$B$20/12*INDEX(Cum_OpEx,1,CG$77)*(1+IF(AdminFeeOn="On",AdminFeePct,0))+(VLOOKUP($G$21,RecovMatrix,2,FALSE)*RecovCAM+VLOOKUP($G$21,RecovMatrix,3,FALSE)*RecovTax+VLOOKUP($G$21,RecovMatrix,4,FALSE)*RecovIns)*$B$21/12*INDEX(Cum_OpEx,1,CG$77)*(1+IF(AdminFeeOn="On",AdminFeePct,0))+(VLOOKUP($G$22,RecovMatrix,2,FALSE)*RecovCAM+VLOOKUP($G$22,RecovMatrix,3,FALSE)*RecovTax+VLOOKUP($G$22,RecovMatrix,4,FALSE)*RecovIns)*$B$22/12*INDEX(Cum_OpEx,1,CG$77)*(1+IF(AdminFeeOn="On",AdminFeePct,0)))*Assumptions!CG$74</f>
        <v/>
      </c>
      <c r="CH37" s="50">
        <f>((VLOOKUP($G$17,RecovMatrix,2,FALSE)*RecovCAM+VLOOKUP($G$17,RecovMatrix,3,FALSE)*RecovTax+VLOOKUP($G$17,RecovMatrix,4,FALSE)*RecovIns)*$B$17/12*INDEX(Cum_OpEx,1,CH$77)*(1+IF(AdminFeeOn="On",AdminFeePct,0))+(VLOOKUP($G$18,RecovMatrix,2,FALSE)*RecovCAM+VLOOKUP($G$18,RecovMatrix,3,FALSE)*RecovTax+VLOOKUP($G$18,RecovMatrix,4,FALSE)*RecovIns)*$B$18/12*INDEX(Cum_OpEx,1,CH$77)*(1+IF(AdminFeeOn="On",AdminFeePct,0))+(VLOOKUP($G$19,RecovMatrix,2,FALSE)*RecovCAM+VLOOKUP($G$19,RecovMatrix,3,FALSE)*RecovTax+VLOOKUP($G$19,RecovMatrix,4,FALSE)*RecovIns)*$B$19/12*INDEX(Cum_OpEx,1,CH$77)*(1+IF(AdminFeeOn="On",AdminFeePct,0))+(VLOOKUP($G$20,RecovMatrix,2,FALSE)*RecovCAM+VLOOKUP($G$20,RecovMatrix,3,FALSE)*RecovTax+VLOOKUP($G$20,RecovMatrix,4,FALSE)*RecovIns)*$B$20/12*INDEX(Cum_OpEx,1,CH$77)*(1+IF(AdminFeeOn="On",AdminFeePct,0))+(VLOOKUP($G$21,RecovMatrix,2,FALSE)*RecovCAM+VLOOKUP($G$21,RecovMatrix,3,FALSE)*RecovTax+VLOOKUP($G$21,RecovMatrix,4,FALSE)*RecovIns)*$B$21/12*INDEX(Cum_OpEx,1,CH$77)*(1+IF(AdminFeeOn="On",AdminFeePct,0))+(VLOOKUP($G$22,RecovMatrix,2,FALSE)*RecovCAM+VLOOKUP($G$22,RecovMatrix,3,FALSE)*RecovTax+VLOOKUP($G$22,RecovMatrix,4,FALSE)*RecovIns)*$B$22/12*INDEX(Cum_OpEx,1,CH$77)*(1+IF(AdminFeeOn="On",AdminFeePct,0)))*Assumptions!CH$74</f>
        <v/>
      </c>
      <c r="CI37" s="50">
        <f>((VLOOKUP($G$17,RecovMatrix,2,FALSE)*RecovCAM+VLOOKUP($G$17,RecovMatrix,3,FALSE)*RecovTax+VLOOKUP($G$17,RecovMatrix,4,FALSE)*RecovIns)*$B$17/12*INDEX(Cum_OpEx,1,CI$77)*(1+IF(AdminFeeOn="On",AdminFeePct,0))+(VLOOKUP($G$18,RecovMatrix,2,FALSE)*RecovCAM+VLOOKUP($G$18,RecovMatrix,3,FALSE)*RecovTax+VLOOKUP($G$18,RecovMatrix,4,FALSE)*RecovIns)*$B$18/12*INDEX(Cum_OpEx,1,CI$77)*(1+IF(AdminFeeOn="On",AdminFeePct,0))+(VLOOKUP($G$19,RecovMatrix,2,FALSE)*RecovCAM+VLOOKUP($G$19,RecovMatrix,3,FALSE)*RecovTax+VLOOKUP($G$19,RecovMatrix,4,FALSE)*RecovIns)*$B$19/12*INDEX(Cum_OpEx,1,CI$77)*(1+IF(AdminFeeOn="On",AdminFeePct,0))+(VLOOKUP($G$20,RecovMatrix,2,FALSE)*RecovCAM+VLOOKUP($G$20,RecovMatrix,3,FALSE)*RecovTax+VLOOKUP($G$20,RecovMatrix,4,FALSE)*RecovIns)*$B$20/12*INDEX(Cum_OpEx,1,CI$77)*(1+IF(AdminFeeOn="On",AdminFeePct,0))+(VLOOKUP($G$21,RecovMatrix,2,FALSE)*RecovCAM+VLOOKUP($G$21,RecovMatrix,3,FALSE)*RecovTax+VLOOKUP($G$21,RecovMatrix,4,FALSE)*RecovIns)*$B$21/12*INDEX(Cum_OpEx,1,CI$77)*(1+IF(AdminFeeOn="On",AdminFeePct,0))+(VLOOKUP($G$22,RecovMatrix,2,FALSE)*RecovCAM+VLOOKUP($G$22,RecovMatrix,3,FALSE)*RecovTax+VLOOKUP($G$22,RecovMatrix,4,FALSE)*RecovIns)*$B$22/12*INDEX(Cum_OpEx,1,CI$77)*(1+IF(AdminFeeOn="On",AdminFeePct,0)))*Assumptions!CI$74</f>
        <v/>
      </c>
      <c r="CJ37" s="50">
        <f>((VLOOKUP($G$17,RecovMatrix,2,FALSE)*RecovCAM+VLOOKUP($G$17,RecovMatrix,3,FALSE)*RecovTax+VLOOKUP($G$17,RecovMatrix,4,FALSE)*RecovIns)*$B$17/12*INDEX(Cum_OpEx,1,CJ$77)*(1+IF(AdminFeeOn="On",AdminFeePct,0))+(VLOOKUP($G$18,RecovMatrix,2,FALSE)*RecovCAM+VLOOKUP($G$18,RecovMatrix,3,FALSE)*RecovTax+VLOOKUP($G$18,RecovMatrix,4,FALSE)*RecovIns)*$B$18/12*INDEX(Cum_OpEx,1,CJ$77)*(1+IF(AdminFeeOn="On",AdminFeePct,0))+(VLOOKUP($G$19,RecovMatrix,2,FALSE)*RecovCAM+VLOOKUP($G$19,RecovMatrix,3,FALSE)*RecovTax+VLOOKUP($G$19,RecovMatrix,4,FALSE)*RecovIns)*$B$19/12*INDEX(Cum_OpEx,1,CJ$77)*(1+IF(AdminFeeOn="On",AdminFeePct,0))+(VLOOKUP($G$20,RecovMatrix,2,FALSE)*RecovCAM+VLOOKUP($G$20,RecovMatrix,3,FALSE)*RecovTax+VLOOKUP($G$20,RecovMatrix,4,FALSE)*RecovIns)*$B$20/12*INDEX(Cum_OpEx,1,CJ$77)*(1+IF(AdminFeeOn="On",AdminFeePct,0))+(VLOOKUP($G$21,RecovMatrix,2,FALSE)*RecovCAM+VLOOKUP($G$21,RecovMatrix,3,FALSE)*RecovTax+VLOOKUP($G$21,RecovMatrix,4,FALSE)*RecovIns)*$B$21/12*INDEX(Cum_OpEx,1,CJ$77)*(1+IF(AdminFeeOn="On",AdminFeePct,0))+(VLOOKUP($G$22,RecovMatrix,2,FALSE)*RecovCAM+VLOOKUP($G$22,RecovMatrix,3,FALSE)*RecovTax+VLOOKUP($G$22,RecovMatrix,4,FALSE)*RecovIns)*$B$22/12*INDEX(Cum_OpEx,1,CJ$77)*(1+IF(AdminFeeOn="On",AdminFeePct,0)))*Assumptions!CJ$74</f>
        <v/>
      </c>
      <c r="CK37" s="50">
        <f>((VLOOKUP($G$17,RecovMatrix,2,FALSE)*RecovCAM+VLOOKUP($G$17,RecovMatrix,3,FALSE)*RecovTax+VLOOKUP($G$17,RecovMatrix,4,FALSE)*RecovIns)*$B$17/12*INDEX(Cum_OpEx,1,CK$77)*(1+IF(AdminFeeOn="On",AdminFeePct,0))+(VLOOKUP($G$18,RecovMatrix,2,FALSE)*RecovCAM+VLOOKUP($G$18,RecovMatrix,3,FALSE)*RecovTax+VLOOKUP($G$18,RecovMatrix,4,FALSE)*RecovIns)*$B$18/12*INDEX(Cum_OpEx,1,CK$77)*(1+IF(AdminFeeOn="On",AdminFeePct,0))+(VLOOKUP($G$19,RecovMatrix,2,FALSE)*RecovCAM+VLOOKUP($G$19,RecovMatrix,3,FALSE)*RecovTax+VLOOKUP($G$19,RecovMatrix,4,FALSE)*RecovIns)*$B$19/12*INDEX(Cum_OpEx,1,CK$77)*(1+IF(AdminFeeOn="On",AdminFeePct,0))+(VLOOKUP($G$20,RecovMatrix,2,FALSE)*RecovCAM+VLOOKUP($G$20,RecovMatrix,3,FALSE)*RecovTax+VLOOKUP($G$20,RecovMatrix,4,FALSE)*RecovIns)*$B$20/12*INDEX(Cum_OpEx,1,CK$77)*(1+IF(AdminFeeOn="On",AdminFeePct,0))+(VLOOKUP($G$21,RecovMatrix,2,FALSE)*RecovCAM+VLOOKUP($G$21,RecovMatrix,3,FALSE)*RecovTax+VLOOKUP($G$21,RecovMatrix,4,FALSE)*RecovIns)*$B$21/12*INDEX(Cum_OpEx,1,CK$77)*(1+IF(AdminFeeOn="On",AdminFeePct,0))+(VLOOKUP($G$22,RecovMatrix,2,FALSE)*RecovCAM+VLOOKUP($G$22,RecovMatrix,3,FALSE)*RecovTax+VLOOKUP($G$22,RecovMatrix,4,FALSE)*RecovIns)*$B$22/12*INDEX(Cum_OpEx,1,CK$77)*(1+IF(AdminFeeOn="On",AdminFeePct,0)))*Assumptions!CK$74</f>
        <v/>
      </c>
      <c r="CL37" s="50">
        <f>((VLOOKUP($G$17,RecovMatrix,2,FALSE)*RecovCAM+VLOOKUP($G$17,RecovMatrix,3,FALSE)*RecovTax+VLOOKUP($G$17,RecovMatrix,4,FALSE)*RecovIns)*$B$17/12*INDEX(Cum_OpEx,1,CL$77)*(1+IF(AdminFeeOn="On",AdminFeePct,0))+(VLOOKUP($G$18,RecovMatrix,2,FALSE)*RecovCAM+VLOOKUP($G$18,RecovMatrix,3,FALSE)*RecovTax+VLOOKUP($G$18,RecovMatrix,4,FALSE)*RecovIns)*$B$18/12*INDEX(Cum_OpEx,1,CL$77)*(1+IF(AdminFeeOn="On",AdminFeePct,0))+(VLOOKUP($G$19,RecovMatrix,2,FALSE)*RecovCAM+VLOOKUP($G$19,RecovMatrix,3,FALSE)*RecovTax+VLOOKUP($G$19,RecovMatrix,4,FALSE)*RecovIns)*$B$19/12*INDEX(Cum_OpEx,1,CL$77)*(1+IF(AdminFeeOn="On",AdminFeePct,0))+(VLOOKUP($G$20,RecovMatrix,2,FALSE)*RecovCAM+VLOOKUP($G$20,RecovMatrix,3,FALSE)*RecovTax+VLOOKUP($G$20,RecovMatrix,4,FALSE)*RecovIns)*$B$20/12*INDEX(Cum_OpEx,1,CL$77)*(1+IF(AdminFeeOn="On",AdminFeePct,0))+(VLOOKUP($G$21,RecovMatrix,2,FALSE)*RecovCAM+VLOOKUP($G$21,RecovMatrix,3,FALSE)*RecovTax+VLOOKUP($G$21,RecovMatrix,4,FALSE)*RecovIns)*$B$21/12*INDEX(Cum_OpEx,1,CL$77)*(1+IF(AdminFeeOn="On",AdminFeePct,0))+(VLOOKUP($G$22,RecovMatrix,2,FALSE)*RecovCAM+VLOOKUP($G$22,RecovMatrix,3,FALSE)*RecovTax+VLOOKUP($G$22,RecovMatrix,4,FALSE)*RecovIns)*$B$22/12*INDEX(Cum_OpEx,1,CL$77)*(1+IF(AdminFeeOn="On",AdminFeePct,0)))*Assumptions!CL$74</f>
        <v/>
      </c>
      <c r="CM37" s="50">
        <f>((VLOOKUP($G$17,RecovMatrix,2,FALSE)*RecovCAM+VLOOKUP($G$17,RecovMatrix,3,FALSE)*RecovTax+VLOOKUP($G$17,RecovMatrix,4,FALSE)*RecovIns)*$B$17/12*INDEX(Cum_OpEx,1,CM$77)*(1+IF(AdminFeeOn="On",AdminFeePct,0))+(VLOOKUP($G$18,RecovMatrix,2,FALSE)*RecovCAM+VLOOKUP($G$18,RecovMatrix,3,FALSE)*RecovTax+VLOOKUP($G$18,RecovMatrix,4,FALSE)*RecovIns)*$B$18/12*INDEX(Cum_OpEx,1,CM$77)*(1+IF(AdminFeeOn="On",AdminFeePct,0))+(VLOOKUP($G$19,RecovMatrix,2,FALSE)*RecovCAM+VLOOKUP($G$19,RecovMatrix,3,FALSE)*RecovTax+VLOOKUP($G$19,RecovMatrix,4,FALSE)*RecovIns)*$B$19/12*INDEX(Cum_OpEx,1,CM$77)*(1+IF(AdminFeeOn="On",AdminFeePct,0))+(VLOOKUP($G$20,RecovMatrix,2,FALSE)*RecovCAM+VLOOKUP($G$20,RecovMatrix,3,FALSE)*RecovTax+VLOOKUP($G$20,RecovMatrix,4,FALSE)*RecovIns)*$B$20/12*INDEX(Cum_OpEx,1,CM$77)*(1+IF(AdminFeeOn="On",AdminFeePct,0))+(VLOOKUP($G$21,RecovMatrix,2,FALSE)*RecovCAM+VLOOKUP($G$21,RecovMatrix,3,FALSE)*RecovTax+VLOOKUP($G$21,RecovMatrix,4,FALSE)*RecovIns)*$B$21/12*INDEX(Cum_OpEx,1,CM$77)*(1+IF(AdminFeeOn="On",AdminFeePct,0))+(VLOOKUP($G$22,RecovMatrix,2,FALSE)*RecovCAM+VLOOKUP($G$22,RecovMatrix,3,FALSE)*RecovTax+VLOOKUP($G$22,RecovMatrix,4,FALSE)*RecovIns)*$B$22/12*INDEX(Cum_OpEx,1,CM$77)*(1+IF(AdminFeeOn="On",AdminFeePct,0)))*Assumptions!CM$74</f>
        <v/>
      </c>
      <c r="CN37" s="50">
        <f>((VLOOKUP($G$17,RecovMatrix,2,FALSE)*RecovCAM+VLOOKUP($G$17,RecovMatrix,3,FALSE)*RecovTax+VLOOKUP($G$17,RecovMatrix,4,FALSE)*RecovIns)*$B$17/12*INDEX(Cum_OpEx,1,CN$77)*(1+IF(AdminFeeOn="On",AdminFeePct,0))+(VLOOKUP($G$18,RecovMatrix,2,FALSE)*RecovCAM+VLOOKUP($G$18,RecovMatrix,3,FALSE)*RecovTax+VLOOKUP($G$18,RecovMatrix,4,FALSE)*RecovIns)*$B$18/12*INDEX(Cum_OpEx,1,CN$77)*(1+IF(AdminFeeOn="On",AdminFeePct,0))+(VLOOKUP($G$19,RecovMatrix,2,FALSE)*RecovCAM+VLOOKUP($G$19,RecovMatrix,3,FALSE)*RecovTax+VLOOKUP($G$19,RecovMatrix,4,FALSE)*RecovIns)*$B$19/12*INDEX(Cum_OpEx,1,CN$77)*(1+IF(AdminFeeOn="On",AdminFeePct,0))+(VLOOKUP($G$20,RecovMatrix,2,FALSE)*RecovCAM+VLOOKUP($G$20,RecovMatrix,3,FALSE)*RecovTax+VLOOKUP($G$20,RecovMatrix,4,FALSE)*RecovIns)*$B$20/12*INDEX(Cum_OpEx,1,CN$77)*(1+IF(AdminFeeOn="On",AdminFeePct,0))+(VLOOKUP($G$21,RecovMatrix,2,FALSE)*RecovCAM+VLOOKUP($G$21,RecovMatrix,3,FALSE)*RecovTax+VLOOKUP($G$21,RecovMatrix,4,FALSE)*RecovIns)*$B$21/12*INDEX(Cum_OpEx,1,CN$77)*(1+IF(AdminFeeOn="On",AdminFeePct,0))+(VLOOKUP($G$22,RecovMatrix,2,FALSE)*RecovCAM+VLOOKUP($G$22,RecovMatrix,3,FALSE)*RecovTax+VLOOKUP($G$22,RecovMatrix,4,FALSE)*RecovIns)*$B$22/12*INDEX(Cum_OpEx,1,CN$77)*(1+IF(AdminFeeOn="On",AdminFeePct,0)))*Assumptions!CN$74</f>
        <v/>
      </c>
      <c r="CO37" s="50">
        <f>((VLOOKUP($G$17,RecovMatrix,2,FALSE)*RecovCAM+VLOOKUP($G$17,RecovMatrix,3,FALSE)*RecovTax+VLOOKUP($G$17,RecovMatrix,4,FALSE)*RecovIns)*$B$17/12*INDEX(Cum_OpEx,1,CO$77)*(1+IF(AdminFeeOn="On",AdminFeePct,0))+(VLOOKUP($G$18,RecovMatrix,2,FALSE)*RecovCAM+VLOOKUP($G$18,RecovMatrix,3,FALSE)*RecovTax+VLOOKUP($G$18,RecovMatrix,4,FALSE)*RecovIns)*$B$18/12*INDEX(Cum_OpEx,1,CO$77)*(1+IF(AdminFeeOn="On",AdminFeePct,0))+(VLOOKUP($G$19,RecovMatrix,2,FALSE)*RecovCAM+VLOOKUP($G$19,RecovMatrix,3,FALSE)*RecovTax+VLOOKUP($G$19,RecovMatrix,4,FALSE)*RecovIns)*$B$19/12*INDEX(Cum_OpEx,1,CO$77)*(1+IF(AdminFeeOn="On",AdminFeePct,0))+(VLOOKUP($G$20,RecovMatrix,2,FALSE)*RecovCAM+VLOOKUP($G$20,RecovMatrix,3,FALSE)*RecovTax+VLOOKUP($G$20,RecovMatrix,4,FALSE)*RecovIns)*$B$20/12*INDEX(Cum_OpEx,1,CO$77)*(1+IF(AdminFeeOn="On",AdminFeePct,0))+(VLOOKUP($G$21,RecovMatrix,2,FALSE)*RecovCAM+VLOOKUP($G$21,RecovMatrix,3,FALSE)*RecovTax+VLOOKUP($G$21,RecovMatrix,4,FALSE)*RecovIns)*$B$21/12*INDEX(Cum_OpEx,1,CO$77)*(1+IF(AdminFeeOn="On",AdminFeePct,0))+(VLOOKUP($G$22,RecovMatrix,2,FALSE)*RecovCAM+VLOOKUP($G$22,RecovMatrix,3,FALSE)*RecovTax+VLOOKUP($G$22,RecovMatrix,4,FALSE)*RecovIns)*$B$22/12*INDEX(Cum_OpEx,1,CO$77)*(1+IF(AdminFeeOn="On",AdminFeePct,0)))*Assumptions!CO$74</f>
        <v/>
      </c>
      <c r="CP37" s="50">
        <f>((VLOOKUP($G$17,RecovMatrix,2,FALSE)*RecovCAM+VLOOKUP($G$17,RecovMatrix,3,FALSE)*RecovTax+VLOOKUP($G$17,RecovMatrix,4,FALSE)*RecovIns)*$B$17/12*INDEX(Cum_OpEx,1,CP$77)*(1+IF(AdminFeeOn="On",AdminFeePct,0))+(VLOOKUP($G$18,RecovMatrix,2,FALSE)*RecovCAM+VLOOKUP($G$18,RecovMatrix,3,FALSE)*RecovTax+VLOOKUP($G$18,RecovMatrix,4,FALSE)*RecovIns)*$B$18/12*INDEX(Cum_OpEx,1,CP$77)*(1+IF(AdminFeeOn="On",AdminFeePct,0))+(VLOOKUP($G$19,RecovMatrix,2,FALSE)*RecovCAM+VLOOKUP($G$19,RecovMatrix,3,FALSE)*RecovTax+VLOOKUP($G$19,RecovMatrix,4,FALSE)*RecovIns)*$B$19/12*INDEX(Cum_OpEx,1,CP$77)*(1+IF(AdminFeeOn="On",AdminFeePct,0))+(VLOOKUP($G$20,RecovMatrix,2,FALSE)*RecovCAM+VLOOKUP($G$20,RecovMatrix,3,FALSE)*RecovTax+VLOOKUP($G$20,RecovMatrix,4,FALSE)*RecovIns)*$B$20/12*INDEX(Cum_OpEx,1,CP$77)*(1+IF(AdminFeeOn="On",AdminFeePct,0))+(VLOOKUP($G$21,RecovMatrix,2,FALSE)*RecovCAM+VLOOKUP($G$21,RecovMatrix,3,FALSE)*RecovTax+VLOOKUP($G$21,RecovMatrix,4,FALSE)*RecovIns)*$B$21/12*INDEX(Cum_OpEx,1,CP$77)*(1+IF(AdminFeeOn="On",AdminFeePct,0))+(VLOOKUP($G$22,RecovMatrix,2,FALSE)*RecovCAM+VLOOKUP($G$22,RecovMatrix,3,FALSE)*RecovTax+VLOOKUP($G$22,RecovMatrix,4,FALSE)*RecovIns)*$B$22/12*INDEX(Cum_OpEx,1,CP$77)*(1+IF(AdminFeeOn="On",AdminFeePct,0)))*Assumptions!CP$74</f>
        <v/>
      </c>
      <c r="CQ37" s="50">
        <f>((VLOOKUP($G$17,RecovMatrix,2,FALSE)*RecovCAM+VLOOKUP($G$17,RecovMatrix,3,FALSE)*RecovTax+VLOOKUP($G$17,RecovMatrix,4,FALSE)*RecovIns)*$B$17/12*INDEX(Cum_OpEx,1,CQ$77)*(1+IF(AdminFeeOn="On",AdminFeePct,0))+(VLOOKUP($G$18,RecovMatrix,2,FALSE)*RecovCAM+VLOOKUP($G$18,RecovMatrix,3,FALSE)*RecovTax+VLOOKUP($G$18,RecovMatrix,4,FALSE)*RecovIns)*$B$18/12*INDEX(Cum_OpEx,1,CQ$77)*(1+IF(AdminFeeOn="On",AdminFeePct,0))+(VLOOKUP($G$19,RecovMatrix,2,FALSE)*RecovCAM+VLOOKUP($G$19,RecovMatrix,3,FALSE)*RecovTax+VLOOKUP($G$19,RecovMatrix,4,FALSE)*RecovIns)*$B$19/12*INDEX(Cum_OpEx,1,CQ$77)*(1+IF(AdminFeeOn="On",AdminFeePct,0))+(VLOOKUP($G$20,RecovMatrix,2,FALSE)*RecovCAM+VLOOKUP($G$20,RecovMatrix,3,FALSE)*RecovTax+VLOOKUP($G$20,RecovMatrix,4,FALSE)*RecovIns)*$B$20/12*INDEX(Cum_OpEx,1,CQ$77)*(1+IF(AdminFeeOn="On",AdminFeePct,0))+(VLOOKUP($G$21,RecovMatrix,2,FALSE)*RecovCAM+VLOOKUP($G$21,RecovMatrix,3,FALSE)*RecovTax+VLOOKUP($G$21,RecovMatrix,4,FALSE)*RecovIns)*$B$21/12*INDEX(Cum_OpEx,1,CQ$77)*(1+IF(AdminFeeOn="On",AdminFeePct,0))+(VLOOKUP($G$22,RecovMatrix,2,FALSE)*RecovCAM+VLOOKUP($G$22,RecovMatrix,3,FALSE)*RecovTax+VLOOKUP($G$22,RecovMatrix,4,FALSE)*RecovIns)*$B$22/12*INDEX(Cum_OpEx,1,CQ$77)*(1+IF(AdminFeeOn="On",AdminFeePct,0)))*Assumptions!CQ$74</f>
        <v/>
      </c>
      <c r="CR37" s="50">
        <f>((VLOOKUP($G$17,RecovMatrix,2,FALSE)*RecovCAM+VLOOKUP($G$17,RecovMatrix,3,FALSE)*RecovTax+VLOOKUP($G$17,RecovMatrix,4,FALSE)*RecovIns)*$B$17/12*INDEX(Cum_OpEx,1,CR$77)*(1+IF(AdminFeeOn="On",AdminFeePct,0))+(VLOOKUP($G$18,RecovMatrix,2,FALSE)*RecovCAM+VLOOKUP($G$18,RecovMatrix,3,FALSE)*RecovTax+VLOOKUP($G$18,RecovMatrix,4,FALSE)*RecovIns)*$B$18/12*INDEX(Cum_OpEx,1,CR$77)*(1+IF(AdminFeeOn="On",AdminFeePct,0))+(VLOOKUP($G$19,RecovMatrix,2,FALSE)*RecovCAM+VLOOKUP($G$19,RecovMatrix,3,FALSE)*RecovTax+VLOOKUP($G$19,RecovMatrix,4,FALSE)*RecovIns)*$B$19/12*INDEX(Cum_OpEx,1,CR$77)*(1+IF(AdminFeeOn="On",AdminFeePct,0))+(VLOOKUP($G$20,RecovMatrix,2,FALSE)*RecovCAM+VLOOKUP($G$20,RecovMatrix,3,FALSE)*RecovTax+VLOOKUP($G$20,RecovMatrix,4,FALSE)*RecovIns)*$B$20/12*INDEX(Cum_OpEx,1,CR$77)*(1+IF(AdminFeeOn="On",AdminFeePct,0))+(VLOOKUP($G$21,RecovMatrix,2,FALSE)*RecovCAM+VLOOKUP($G$21,RecovMatrix,3,FALSE)*RecovTax+VLOOKUP($G$21,RecovMatrix,4,FALSE)*RecovIns)*$B$21/12*INDEX(Cum_OpEx,1,CR$77)*(1+IF(AdminFeeOn="On",AdminFeePct,0))+(VLOOKUP($G$22,RecovMatrix,2,FALSE)*RecovCAM+VLOOKUP($G$22,RecovMatrix,3,FALSE)*RecovTax+VLOOKUP($G$22,RecovMatrix,4,FALSE)*RecovIns)*$B$22/12*INDEX(Cum_OpEx,1,CR$77)*(1+IF(AdminFeeOn="On",AdminFeePct,0)))*Assumptions!CR$74</f>
        <v/>
      </c>
      <c r="CS37" s="50">
        <f>((VLOOKUP($G$17,RecovMatrix,2,FALSE)*RecovCAM+VLOOKUP($G$17,RecovMatrix,3,FALSE)*RecovTax+VLOOKUP($G$17,RecovMatrix,4,FALSE)*RecovIns)*$B$17/12*INDEX(Cum_OpEx,1,CS$77)*(1+IF(AdminFeeOn="On",AdminFeePct,0))+(VLOOKUP($G$18,RecovMatrix,2,FALSE)*RecovCAM+VLOOKUP($G$18,RecovMatrix,3,FALSE)*RecovTax+VLOOKUP($G$18,RecovMatrix,4,FALSE)*RecovIns)*$B$18/12*INDEX(Cum_OpEx,1,CS$77)*(1+IF(AdminFeeOn="On",AdminFeePct,0))+(VLOOKUP($G$19,RecovMatrix,2,FALSE)*RecovCAM+VLOOKUP($G$19,RecovMatrix,3,FALSE)*RecovTax+VLOOKUP($G$19,RecovMatrix,4,FALSE)*RecovIns)*$B$19/12*INDEX(Cum_OpEx,1,CS$77)*(1+IF(AdminFeeOn="On",AdminFeePct,0))+(VLOOKUP($G$20,RecovMatrix,2,FALSE)*RecovCAM+VLOOKUP($G$20,RecovMatrix,3,FALSE)*RecovTax+VLOOKUP($G$20,RecovMatrix,4,FALSE)*RecovIns)*$B$20/12*INDEX(Cum_OpEx,1,CS$77)*(1+IF(AdminFeeOn="On",AdminFeePct,0))+(VLOOKUP($G$21,RecovMatrix,2,FALSE)*RecovCAM+VLOOKUP($G$21,RecovMatrix,3,FALSE)*RecovTax+VLOOKUP($G$21,RecovMatrix,4,FALSE)*RecovIns)*$B$21/12*INDEX(Cum_OpEx,1,CS$77)*(1+IF(AdminFeeOn="On",AdminFeePct,0))+(VLOOKUP($G$22,RecovMatrix,2,FALSE)*RecovCAM+VLOOKUP($G$22,RecovMatrix,3,FALSE)*RecovTax+VLOOKUP($G$22,RecovMatrix,4,FALSE)*RecovIns)*$B$22/12*INDEX(Cum_OpEx,1,CS$77)*(1+IF(AdminFeeOn="On",AdminFeePct,0)))*Assumptions!CS$74</f>
        <v/>
      </c>
      <c r="CT37" s="50">
        <f>((VLOOKUP($G$17,RecovMatrix,2,FALSE)*RecovCAM+VLOOKUP($G$17,RecovMatrix,3,FALSE)*RecovTax+VLOOKUP($G$17,RecovMatrix,4,FALSE)*RecovIns)*$B$17/12*INDEX(Cum_OpEx,1,CT$77)*(1+IF(AdminFeeOn="On",AdminFeePct,0))+(VLOOKUP($G$18,RecovMatrix,2,FALSE)*RecovCAM+VLOOKUP($G$18,RecovMatrix,3,FALSE)*RecovTax+VLOOKUP($G$18,RecovMatrix,4,FALSE)*RecovIns)*$B$18/12*INDEX(Cum_OpEx,1,CT$77)*(1+IF(AdminFeeOn="On",AdminFeePct,0))+(VLOOKUP($G$19,RecovMatrix,2,FALSE)*RecovCAM+VLOOKUP($G$19,RecovMatrix,3,FALSE)*RecovTax+VLOOKUP($G$19,RecovMatrix,4,FALSE)*RecovIns)*$B$19/12*INDEX(Cum_OpEx,1,CT$77)*(1+IF(AdminFeeOn="On",AdminFeePct,0))+(VLOOKUP($G$20,RecovMatrix,2,FALSE)*RecovCAM+VLOOKUP($G$20,RecovMatrix,3,FALSE)*RecovTax+VLOOKUP($G$20,RecovMatrix,4,FALSE)*RecovIns)*$B$20/12*INDEX(Cum_OpEx,1,CT$77)*(1+IF(AdminFeeOn="On",AdminFeePct,0))+(VLOOKUP($G$21,RecovMatrix,2,FALSE)*RecovCAM+VLOOKUP($G$21,RecovMatrix,3,FALSE)*RecovTax+VLOOKUP($G$21,RecovMatrix,4,FALSE)*RecovIns)*$B$21/12*INDEX(Cum_OpEx,1,CT$77)*(1+IF(AdminFeeOn="On",AdminFeePct,0))+(VLOOKUP($G$22,RecovMatrix,2,FALSE)*RecovCAM+VLOOKUP($G$22,RecovMatrix,3,FALSE)*RecovTax+VLOOKUP($G$22,RecovMatrix,4,FALSE)*RecovIns)*$B$22/12*INDEX(Cum_OpEx,1,CT$77)*(1+IF(AdminFeeOn="On",AdminFeePct,0)))*Assumptions!CT$74</f>
        <v/>
      </c>
      <c r="CU37" s="50">
        <f>((VLOOKUP($G$17,RecovMatrix,2,FALSE)*RecovCAM+VLOOKUP($G$17,RecovMatrix,3,FALSE)*RecovTax+VLOOKUP($G$17,RecovMatrix,4,FALSE)*RecovIns)*$B$17/12*INDEX(Cum_OpEx,1,CU$77)*(1+IF(AdminFeeOn="On",AdminFeePct,0))+(VLOOKUP($G$18,RecovMatrix,2,FALSE)*RecovCAM+VLOOKUP($G$18,RecovMatrix,3,FALSE)*RecovTax+VLOOKUP($G$18,RecovMatrix,4,FALSE)*RecovIns)*$B$18/12*INDEX(Cum_OpEx,1,CU$77)*(1+IF(AdminFeeOn="On",AdminFeePct,0))+(VLOOKUP($G$19,RecovMatrix,2,FALSE)*RecovCAM+VLOOKUP($G$19,RecovMatrix,3,FALSE)*RecovTax+VLOOKUP($G$19,RecovMatrix,4,FALSE)*RecovIns)*$B$19/12*INDEX(Cum_OpEx,1,CU$77)*(1+IF(AdminFeeOn="On",AdminFeePct,0))+(VLOOKUP($G$20,RecovMatrix,2,FALSE)*RecovCAM+VLOOKUP($G$20,RecovMatrix,3,FALSE)*RecovTax+VLOOKUP($G$20,RecovMatrix,4,FALSE)*RecovIns)*$B$20/12*INDEX(Cum_OpEx,1,CU$77)*(1+IF(AdminFeeOn="On",AdminFeePct,0))+(VLOOKUP($G$21,RecovMatrix,2,FALSE)*RecovCAM+VLOOKUP($G$21,RecovMatrix,3,FALSE)*RecovTax+VLOOKUP($G$21,RecovMatrix,4,FALSE)*RecovIns)*$B$21/12*INDEX(Cum_OpEx,1,CU$77)*(1+IF(AdminFeeOn="On",AdminFeePct,0))+(VLOOKUP($G$22,RecovMatrix,2,FALSE)*RecovCAM+VLOOKUP($G$22,RecovMatrix,3,FALSE)*RecovTax+VLOOKUP($G$22,RecovMatrix,4,FALSE)*RecovIns)*$B$22/12*INDEX(Cum_OpEx,1,CU$77)*(1+IF(AdminFeeOn="On",AdminFeePct,0)))*Assumptions!CU$74</f>
        <v/>
      </c>
      <c r="CV37" s="50">
        <f>((VLOOKUP($G$17,RecovMatrix,2,FALSE)*RecovCAM+VLOOKUP($G$17,RecovMatrix,3,FALSE)*RecovTax+VLOOKUP($G$17,RecovMatrix,4,FALSE)*RecovIns)*$B$17/12*INDEX(Cum_OpEx,1,CV$77)*(1+IF(AdminFeeOn="On",AdminFeePct,0))+(VLOOKUP($G$18,RecovMatrix,2,FALSE)*RecovCAM+VLOOKUP($G$18,RecovMatrix,3,FALSE)*RecovTax+VLOOKUP($G$18,RecovMatrix,4,FALSE)*RecovIns)*$B$18/12*INDEX(Cum_OpEx,1,CV$77)*(1+IF(AdminFeeOn="On",AdminFeePct,0))+(VLOOKUP($G$19,RecovMatrix,2,FALSE)*RecovCAM+VLOOKUP($G$19,RecovMatrix,3,FALSE)*RecovTax+VLOOKUP($G$19,RecovMatrix,4,FALSE)*RecovIns)*$B$19/12*INDEX(Cum_OpEx,1,CV$77)*(1+IF(AdminFeeOn="On",AdminFeePct,0))+(VLOOKUP($G$20,RecovMatrix,2,FALSE)*RecovCAM+VLOOKUP($G$20,RecovMatrix,3,FALSE)*RecovTax+VLOOKUP($G$20,RecovMatrix,4,FALSE)*RecovIns)*$B$20/12*INDEX(Cum_OpEx,1,CV$77)*(1+IF(AdminFeeOn="On",AdminFeePct,0))+(VLOOKUP($G$21,RecovMatrix,2,FALSE)*RecovCAM+VLOOKUP($G$21,RecovMatrix,3,FALSE)*RecovTax+VLOOKUP($G$21,RecovMatrix,4,FALSE)*RecovIns)*$B$21/12*INDEX(Cum_OpEx,1,CV$77)*(1+IF(AdminFeeOn="On",AdminFeePct,0))+(VLOOKUP($G$22,RecovMatrix,2,FALSE)*RecovCAM+VLOOKUP($G$22,RecovMatrix,3,FALSE)*RecovTax+VLOOKUP($G$22,RecovMatrix,4,FALSE)*RecovIns)*$B$22/12*INDEX(Cum_OpEx,1,CV$77)*(1+IF(AdminFeeOn="On",AdminFeePct,0)))*Assumptions!CV$74</f>
        <v/>
      </c>
      <c r="CW37" s="50">
        <f>((VLOOKUP($G$17,RecovMatrix,2,FALSE)*RecovCAM+VLOOKUP($G$17,RecovMatrix,3,FALSE)*RecovTax+VLOOKUP($G$17,RecovMatrix,4,FALSE)*RecovIns)*$B$17/12*INDEX(Cum_OpEx,1,CW$77)*(1+IF(AdminFeeOn="On",AdminFeePct,0))+(VLOOKUP($G$18,RecovMatrix,2,FALSE)*RecovCAM+VLOOKUP($G$18,RecovMatrix,3,FALSE)*RecovTax+VLOOKUP($G$18,RecovMatrix,4,FALSE)*RecovIns)*$B$18/12*INDEX(Cum_OpEx,1,CW$77)*(1+IF(AdminFeeOn="On",AdminFeePct,0))+(VLOOKUP($G$19,RecovMatrix,2,FALSE)*RecovCAM+VLOOKUP($G$19,RecovMatrix,3,FALSE)*RecovTax+VLOOKUP($G$19,RecovMatrix,4,FALSE)*RecovIns)*$B$19/12*INDEX(Cum_OpEx,1,CW$77)*(1+IF(AdminFeeOn="On",AdminFeePct,0))+(VLOOKUP($G$20,RecovMatrix,2,FALSE)*RecovCAM+VLOOKUP($G$20,RecovMatrix,3,FALSE)*RecovTax+VLOOKUP($G$20,RecovMatrix,4,FALSE)*RecovIns)*$B$20/12*INDEX(Cum_OpEx,1,CW$77)*(1+IF(AdminFeeOn="On",AdminFeePct,0))+(VLOOKUP($G$21,RecovMatrix,2,FALSE)*RecovCAM+VLOOKUP($G$21,RecovMatrix,3,FALSE)*RecovTax+VLOOKUP($G$21,RecovMatrix,4,FALSE)*RecovIns)*$B$21/12*INDEX(Cum_OpEx,1,CW$77)*(1+IF(AdminFeeOn="On",AdminFeePct,0))+(VLOOKUP($G$22,RecovMatrix,2,FALSE)*RecovCAM+VLOOKUP($G$22,RecovMatrix,3,FALSE)*RecovTax+VLOOKUP($G$22,RecovMatrix,4,FALSE)*RecovIns)*$B$22/12*INDEX(Cum_OpEx,1,CW$77)*(1+IF(AdminFeeOn="On",AdminFeePct,0)))*Assumptions!CW$74</f>
        <v/>
      </c>
      <c r="CX37" s="50">
        <f>((VLOOKUP($G$17,RecovMatrix,2,FALSE)*RecovCAM+VLOOKUP($G$17,RecovMatrix,3,FALSE)*RecovTax+VLOOKUP($G$17,RecovMatrix,4,FALSE)*RecovIns)*$B$17/12*INDEX(Cum_OpEx,1,CX$77)*(1+IF(AdminFeeOn="On",AdminFeePct,0))+(VLOOKUP($G$18,RecovMatrix,2,FALSE)*RecovCAM+VLOOKUP($G$18,RecovMatrix,3,FALSE)*RecovTax+VLOOKUP($G$18,RecovMatrix,4,FALSE)*RecovIns)*$B$18/12*INDEX(Cum_OpEx,1,CX$77)*(1+IF(AdminFeeOn="On",AdminFeePct,0))+(VLOOKUP($G$19,RecovMatrix,2,FALSE)*RecovCAM+VLOOKUP($G$19,RecovMatrix,3,FALSE)*RecovTax+VLOOKUP($G$19,RecovMatrix,4,FALSE)*RecovIns)*$B$19/12*INDEX(Cum_OpEx,1,CX$77)*(1+IF(AdminFeeOn="On",AdminFeePct,0))+(VLOOKUP($G$20,RecovMatrix,2,FALSE)*RecovCAM+VLOOKUP($G$20,RecovMatrix,3,FALSE)*RecovTax+VLOOKUP($G$20,RecovMatrix,4,FALSE)*RecovIns)*$B$20/12*INDEX(Cum_OpEx,1,CX$77)*(1+IF(AdminFeeOn="On",AdminFeePct,0))+(VLOOKUP($G$21,RecovMatrix,2,FALSE)*RecovCAM+VLOOKUP($G$21,RecovMatrix,3,FALSE)*RecovTax+VLOOKUP($G$21,RecovMatrix,4,FALSE)*RecovIns)*$B$21/12*INDEX(Cum_OpEx,1,CX$77)*(1+IF(AdminFeeOn="On",AdminFeePct,0))+(VLOOKUP($G$22,RecovMatrix,2,FALSE)*RecovCAM+VLOOKUP($G$22,RecovMatrix,3,FALSE)*RecovTax+VLOOKUP($G$22,RecovMatrix,4,FALSE)*RecovIns)*$B$22/12*INDEX(Cum_OpEx,1,CX$77)*(1+IF(AdminFeeOn="On",AdminFeePct,0)))*Assumptions!CX$74</f>
        <v/>
      </c>
      <c r="CY37" s="50">
        <f>((VLOOKUP($G$17,RecovMatrix,2,FALSE)*RecovCAM+VLOOKUP($G$17,RecovMatrix,3,FALSE)*RecovTax+VLOOKUP($G$17,RecovMatrix,4,FALSE)*RecovIns)*$B$17/12*INDEX(Cum_OpEx,1,CY$77)*(1+IF(AdminFeeOn="On",AdminFeePct,0))+(VLOOKUP($G$18,RecovMatrix,2,FALSE)*RecovCAM+VLOOKUP($G$18,RecovMatrix,3,FALSE)*RecovTax+VLOOKUP($G$18,RecovMatrix,4,FALSE)*RecovIns)*$B$18/12*INDEX(Cum_OpEx,1,CY$77)*(1+IF(AdminFeeOn="On",AdminFeePct,0))+(VLOOKUP($G$19,RecovMatrix,2,FALSE)*RecovCAM+VLOOKUP($G$19,RecovMatrix,3,FALSE)*RecovTax+VLOOKUP($G$19,RecovMatrix,4,FALSE)*RecovIns)*$B$19/12*INDEX(Cum_OpEx,1,CY$77)*(1+IF(AdminFeeOn="On",AdminFeePct,0))+(VLOOKUP($G$20,RecovMatrix,2,FALSE)*RecovCAM+VLOOKUP($G$20,RecovMatrix,3,FALSE)*RecovTax+VLOOKUP($G$20,RecovMatrix,4,FALSE)*RecovIns)*$B$20/12*INDEX(Cum_OpEx,1,CY$77)*(1+IF(AdminFeeOn="On",AdminFeePct,0))+(VLOOKUP($G$21,RecovMatrix,2,FALSE)*RecovCAM+VLOOKUP($G$21,RecovMatrix,3,FALSE)*RecovTax+VLOOKUP($G$21,RecovMatrix,4,FALSE)*RecovIns)*$B$21/12*INDEX(Cum_OpEx,1,CY$77)*(1+IF(AdminFeeOn="On",AdminFeePct,0))+(VLOOKUP($G$22,RecovMatrix,2,FALSE)*RecovCAM+VLOOKUP($G$22,RecovMatrix,3,FALSE)*RecovTax+VLOOKUP($G$22,RecovMatrix,4,FALSE)*RecovIns)*$B$22/12*INDEX(Cum_OpEx,1,CY$77)*(1+IF(AdminFeeOn="On",AdminFeePct,0)))*Assumptions!CY$74</f>
        <v/>
      </c>
      <c r="CZ37" s="50">
        <f>((VLOOKUP($G$17,RecovMatrix,2,FALSE)*RecovCAM+VLOOKUP($G$17,RecovMatrix,3,FALSE)*RecovTax+VLOOKUP($G$17,RecovMatrix,4,FALSE)*RecovIns)*$B$17/12*INDEX(Cum_OpEx,1,CZ$77)*(1+IF(AdminFeeOn="On",AdminFeePct,0))+(VLOOKUP($G$18,RecovMatrix,2,FALSE)*RecovCAM+VLOOKUP($G$18,RecovMatrix,3,FALSE)*RecovTax+VLOOKUP($G$18,RecovMatrix,4,FALSE)*RecovIns)*$B$18/12*INDEX(Cum_OpEx,1,CZ$77)*(1+IF(AdminFeeOn="On",AdminFeePct,0))+(VLOOKUP($G$19,RecovMatrix,2,FALSE)*RecovCAM+VLOOKUP($G$19,RecovMatrix,3,FALSE)*RecovTax+VLOOKUP($G$19,RecovMatrix,4,FALSE)*RecovIns)*$B$19/12*INDEX(Cum_OpEx,1,CZ$77)*(1+IF(AdminFeeOn="On",AdminFeePct,0))+(VLOOKUP($G$20,RecovMatrix,2,FALSE)*RecovCAM+VLOOKUP($G$20,RecovMatrix,3,FALSE)*RecovTax+VLOOKUP($G$20,RecovMatrix,4,FALSE)*RecovIns)*$B$20/12*INDEX(Cum_OpEx,1,CZ$77)*(1+IF(AdminFeeOn="On",AdminFeePct,0))+(VLOOKUP($G$21,RecovMatrix,2,FALSE)*RecovCAM+VLOOKUP($G$21,RecovMatrix,3,FALSE)*RecovTax+VLOOKUP($G$21,RecovMatrix,4,FALSE)*RecovIns)*$B$21/12*INDEX(Cum_OpEx,1,CZ$77)*(1+IF(AdminFeeOn="On",AdminFeePct,0))+(VLOOKUP($G$22,RecovMatrix,2,FALSE)*RecovCAM+VLOOKUP($G$22,RecovMatrix,3,FALSE)*RecovTax+VLOOKUP($G$22,RecovMatrix,4,FALSE)*RecovIns)*$B$22/12*INDEX(Cum_OpEx,1,CZ$77)*(1+IF(AdminFeeOn="On",AdminFeePct,0)))*Assumptions!CZ$74</f>
        <v/>
      </c>
      <c r="DA37" s="50">
        <f>((VLOOKUP($G$17,RecovMatrix,2,FALSE)*RecovCAM+VLOOKUP($G$17,RecovMatrix,3,FALSE)*RecovTax+VLOOKUP($G$17,RecovMatrix,4,FALSE)*RecovIns)*$B$17/12*INDEX(Cum_OpEx,1,DA$77)*(1+IF(AdminFeeOn="On",AdminFeePct,0))+(VLOOKUP($G$18,RecovMatrix,2,FALSE)*RecovCAM+VLOOKUP($G$18,RecovMatrix,3,FALSE)*RecovTax+VLOOKUP($G$18,RecovMatrix,4,FALSE)*RecovIns)*$B$18/12*INDEX(Cum_OpEx,1,DA$77)*(1+IF(AdminFeeOn="On",AdminFeePct,0))+(VLOOKUP($G$19,RecovMatrix,2,FALSE)*RecovCAM+VLOOKUP($G$19,RecovMatrix,3,FALSE)*RecovTax+VLOOKUP($G$19,RecovMatrix,4,FALSE)*RecovIns)*$B$19/12*INDEX(Cum_OpEx,1,DA$77)*(1+IF(AdminFeeOn="On",AdminFeePct,0))+(VLOOKUP($G$20,RecovMatrix,2,FALSE)*RecovCAM+VLOOKUP($G$20,RecovMatrix,3,FALSE)*RecovTax+VLOOKUP($G$20,RecovMatrix,4,FALSE)*RecovIns)*$B$20/12*INDEX(Cum_OpEx,1,DA$77)*(1+IF(AdminFeeOn="On",AdminFeePct,0))+(VLOOKUP($G$21,RecovMatrix,2,FALSE)*RecovCAM+VLOOKUP($G$21,RecovMatrix,3,FALSE)*RecovTax+VLOOKUP($G$21,RecovMatrix,4,FALSE)*RecovIns)*$B$21/12*INDEX(Cum_OpEx,1,DA$77)*(1+IF(AdminFeeOn="On",AdminFeePct,0))+(VLOOKUP($G$22,RecovMatrix,2,FALSE)*RecovCAM+VLOOKUP($G$22,RecovMatrix,3,FALSE)*RecovTax+VLOOKUP($G$22,RecovMatrix,4,FALSE)*RecovIns)*$B$22/12*INDEX(Cum_OpEx,1,DA$77)*(1+IF(AdminFeeOn="On",AdminFeePct,0)))*Assumptions!DA$74</f>
        <v/>
      </c>
      <c r="DB37" s="50">
        <f>((VLOOKUP($G$17,RecovMatrix,2,FALSE)*RecovCAM+VLOOKUP($G$17,RecovMatrix,3,FALSE)*RecovTax+VLOOKUP($G$17,RecovMatrix,4,FALSE)*RecovIns)*$B$17/12*INDEX(Cum_OpEx,1,DB$77)*(1+IF(AdminFeeOn="On",AdminFeePct,0))+(VLOOKUP($G$18,RecovMatrix,2,FALSE)*RecovCAM+VLOOKUP($G$18,RecovMatrix,3,FALSE)*RecovTax+VLOOKUP($G$18,RecovMatrix,4,FALSE)*RecovIns)*$B$18/12*INDEX(Cum_OpEx,1,DB$77)*(1+IF(AdminFeeOn="On",AdminFeePct,0))+(VLOOKUP($G$19,RecovMatrix,2,FALSE)*RecovCAM+VLOOKUP($G$19,RecovMatrix,3,FALSE)*RecovTax+VLOOKUP($G$19,RecovMatrix,4,FALSE)*RecovIns)*$B$19/12*INDEX(Cum_OpEx,1,DB$77)*(1+IF(AdminFeeOn="On",AdminFeePct,0))+(VLOOKUP($G$20,RecovMatrix,2,FALSE)*RecovCAM+VLOOKUP($G$20,RecovMatrix,3,FALSE)*RecovTax+VLOOKUP($G$20,RecovMatrix,4,FALSE)*RecovIns)*$B$20/12*INDEX(Cum_OpEx,1,DB$77)*(1+IF(AdminFeeOn="On",AdminFeePct,0))+(VLOOKUP($G$21,RecovMatrix,2,FALSE)*RecovCAM+VLOOKUP($G$21,RecovMatrix,3,FALSE)*RecovTax+VLOOKUP($G$21,RecovMatrix,4,FALSE)*RecovIns)*$B$21/12*INDEX(Cum_OpEx,1,DB$77)*(1+IF(AdminFeeOn="On",AdminFeePct,0))+(VLOOKUP($G$22,RecovMatrix,2,FALSE)*RecovCAM+VLOOKUP($G$22,RecovMatrix,3,FALSE)*RecovTax+VLOOKUP($G$22,RecovMatrix,4,FALSE)*RecovIns)*$B$22/12*INDEX(Cum_OpEx,1,DB$77)*(1+IF(AdminFeeOn="On",AdminFeePct,0)))*Assumptions!DB$74</f>
        <v/>
      </c>
      <c r="DC37" s="50">
        <f>((VLOOKUP($G$17,RecovMatrix,2,FALSE)*RecovCAM+VLOOKUP($G$17,RecovMatrix,3,FALSE)*RecovTax+VLOOKUP($G$17,RecovMatrix,4,FALSE)*RecovIns)*$B$17/12*INDEX(Cum_OpEx,1,DC$77)*(1+IF(AdminFeeOn="On",AdminFeePct,0))+(VLOOKUP($G$18,RecovMatrix,2,FALSE)*RecovCAM+VLOOKUP($G$18,RecovMatrix,3,FALSE)*RecovTax+VLOOKUP($G$18,RecovMatrix,4,FALSE)*RecovIns)*$B$18/12*INDEX(Cum_OpEx,1,DC$77)*(1+IF(AdminFeeOn="On",AdminFeePct,0))+(VLOOKUP($G$19,RecovMatrix,2,FALSE)*RecovCAM+VLOOKUP($G$19,RecovMatrix,3,FALSE)*RecovTax+VLOOKUP($G$19,RecovMatrix,4,FALSE)*RecovIns)*$B$19/12*INDEX(Cum_OpEx,1,DC$77)*(1+IF(AdminFeeOn="On",AdminFeePct,0))+(VLOOKUP($G$20,RecovMatrix,2,FALSE)*RecovCAM+VLOOKUP($G$20,RecovMatrix,3,FALSE)*RecovTax+VLOOKUP($G$20,RecovMatrix,4,FALSE)*RecovIns)*$B$20/12*INDEX(Cum_OpEx,1,DC$77)*(1+IF(AdminFeeOn="On",AdminFeePct,0))+(VLOOKUP($G$21,RecovMatrix,2,FALSE)*RecovCAM+VLOOKUP($G$21,RecovMatrix,3,FALSE)*RecovTax+VLOOKUP($G$21,RecovMatrix,4,FALSE)*RecovIns)*$B$21/12*INDEX(Cum_OpEx,1,DC$77)*(1+IF(AdminFeeOn="On",AdminFeePct,0))+(VLOOKUP($G$22,RecovMatrix,2,FALSE)*RecovCAM+VLOOKUP($G$22,RecovMatrix,3,FALSE)*RecovTax+VLOOKUP($G$22,RecovMatrix,4,FALSE)*RecovIns)*$B$22/12*INDEX(Cum_OpEx,1,DC$77)*(1+IF(AdminFeeOn="On",AdminFeePct,0)))*Assumptions!DC$74</f>
        <v/>
      </c>
      <c r="DD37" s="50">
        <f>((VLOOKUP($G$17,RecovMatrix,2,FALSE)*RecovCAM+VLOOKUP($G$17,RecovMatrix,3,FALSE)*RecovTax+VLOOKUP($G$17,RecovMatrix,4,FALSE)*RecovIns)*$B$17/12*INDEX(Cum_OpEx,1,DD$77)*(1+IF(AdminFeeOn="On",AdminFeePct,0))+(VLOOKUP($G$18,RecovMatrix,2,FALSE)*RecovCAM+VLOOKUP($G$18,RecovMatrix,3,FALSE)*RecovTax+VLOOKUP($G$18,RecovMatrix,4,FALSE)*RecovIns)*$B$18/12*INDEX(Cum_OpEx,1,DD$77)*(1+IF(AdminFeeOn="On",AdminFeePct,0))+(VLOOKUP($G$19,RecovMatrix,2,FALSE)*RecovCAM+VLOOKUP($G$19,RecovMatrix,3,FALSE)*RecovTax+VLOOKUP($G$19,RecovMatrix,4,FALSE)*RecovIns)*$B$19/12*INDEX(Cum_OpEx,1,DD$77)*(1+IF(AdminFeeOn="On",AdminFeePct,0))+(VLOOKUP($G$20,RecovMatrix,2,FALSE)*RecovCAM+VLOOKUP($G$20,RecovMatrix,3,FALSE)*RecovTax+VLOOKUP($G$20,RecovMatrix,4,FALSE)*RecovIns)*$B$20/12*INDEX(Cum_OpEx,1,DD$77)*(1+IF(AdminFeeOn="On",AdminFeePct,0))+(VLOOKUP($G$21,RecovMatrix,2,FALSE)*RecovCAM+VLOOKUP($G$21,RecovMatrix,3,FALSE)*RecovTax+VLOOKUP($G$21,RecovMatrix,4,FALSE)*RecovIns)*$B$21/12*INDEX(Cum_OpEx,1,DD$77)*(1+IF(AdminFeeOn="On",AdminFeePct,0))+(VLOOKUP($G$22,RecovMatrix,2,FALSE)*RecovCAM+VLOOKUP($G$22,RecovMatrix,3,FALSE)*RecovTax+VLOOKUP($G$22,RecovMatrix,4,FALSE)*RecovIns)*$B$22/12*INDEX(Cum_OpEx,1,DD$77)*(1+IF(AdminFeeOn="On",AdminFeePct,0)))*Assumptions!DD$74</f>
        <v/>
      </c>
      <c r="DE37" s="50">
        <f>((VLOOKUP($G$17,RecovMatrix,2,FALSE)*RecovCAM+VLOOKUP($G$17,RecovMatrix,3,FALSE)*RecovTax+VLOOKUP($G$17,RecovMatrix,4,FALSE)*RecovIns)*$B$17/12*INDEX(Cum_OpEx,1,DE$77)*(1+IF(AdminFeeOn="On",AdminFeePct,0))+(VLOOKUP($G$18,RecovMatrix,2,FALSE)*RecovCAM+VLOOKUP($G$18,RecovMatrix,3,FALSE)*RecovTax+VLOOKUP($G$18,RecovMatrix,4,FALSE)*RecovIns)*$B$18/12*INDEX(Cum_OpEx,1,DE$77)*(1+IF(AdminFeeOn="On",AdminFeePct,0))+(VLOOKUP($G$19,RecovMatrix,2,FALSE)*RecovCAM+VLOOKUP($G$19,RecovMatrix,3,FALSE)*RecovTax+VLOOKUP($G$19,RecovMatrix,4,FALSE)*RecovIns)*$B$19/12*INDEX(Cum_OpEx,1,DE$77)*(1+IF(AdminFeeOn="On",AdminFeePct,0))+(VLOOKUP($G$20,RecovMatrix,2,FALSE)*RecovCAM+VLOOKUP($G$20,RecovMatrix,3,FALSE)*RecovTax+VLOOKUP($G$20,RecovMatrix,4,FALSE)*RecovIns)*$B$20/12*INDEX(Cum_OpEx,1,DE$77)*(1+IF(AdminFeeOn="On",AdminFeePct,0))+(VLOOKUP($G$21,RecovMatrix,2,FALSE)*RecovCAM+VLOOKUP($G$21,RecovMatrix,3,FALSE)*RecovTax+VLOOKUP($G$21,RecovMatrix,4,FALSE)*RecovIns)*$B$21/12*INDEX(Cum_OpEx,1,DE$77)*(1+IF(AdminFeeOn="On",AdminFeePct,0))+(VLOOKUP($G$22,RecovMatrix,2,FALSE)*RecovCAM+VLOOKUP($G$22,RecovMatrix,3,FALSE)*RecovTax+VLOOKUP($G$22,RecovMatrix,4,FALSE)*RecovIns)*$B$22/12*INDEX(Cum_OpEx,1,DE$77)*(1+IF(AdminFeeOn="On",AdminFeePct,0)))*Assumptions!DE$74</f>
        <v/>
      </c>
      <c r="DF37" s="50">
        <f>((VLOOKUP($G$17,RecovMatrix,2,FALSE)*RecovCAM+VLOOKUP($G$17,RecovMatrix,3,FALSE)*RecovTax+VLOOKUP($G$17,RecovMatrix,4,FALSE)*RecovIns)*$B$17/12*INDEX(Cum_OpEx,1,DF$77)*(1+IF(AdminFeeOn="On",AdminFeePct,0))+(VLOOKUP($G$18,RecovMatrix,2,FALSE)*RecovCAM+VLOOKUP($G$18,RecovMatrix,3,FALSE)*RecovTax+VLOOKUP($G$18,RecovMatrix,4,FALSE)*RecovIns)*$B$18/12*INDEX(Cum_OpEx,1,DF$77)*(1+IF(AdminFeeOn="On",AdminFeePct,0))+(VLOOKUP($G$19,RecovMatrix,2,FALSE)*RecovCAM+VLOOKUP($G$19,RecovMatrix,3,FALSE)*RecovTax+VLOOKUP($G$19,RecovMatrix,4,FALSE)*RecovIns)*$B$19/12*INDEX(Cum_OpEx,1,DF$77)*(1+IF(AdminFeeOn="On",AdminFeePct,0))+(VLOOKUP($G$20,RecovMatrix,2,FALSE)*RecovCAM+VLOOKUP($G$20,RecovMatrix,3,FALSE)*RecovTax+VLOOKUP($G$20,RecovMatrix,4,FALSE)*RecovIns)*$B$20/12*INDEX(Cum_OpEx,1,DF$77)*(1+IF(AdminFeeOn="On",AdminFeePct,0))+(VLOOKUP($G$21,RecovMatrix,2,FALSE)*RecovCAM+VLOOKUP($G$21,RecovMatrix,3,FALSE)*RecovTax+VLOOKUP($G$21,RecovMatrix,4,FALSE)*RecovIns)*$B$21/12*INDEX(Cum_OpEx,1,DF$77)*(1+IF(AdminFeeOn="On",AdminFeePct,0))+(VLOOKUP($G$22,RecovMatrix,2,FALSE)*RecovCAM+VLOOKUP($G$22,RecovMatrix,3,FALSE)*RecovTax+VLOOKUP($G$22,RecovMatrix,4,FALSE)*RecovIns)*$B$22/12*INDEX(Cum_OpEx,1,DF$77)*(1+IF(AdminFeeOn="On",AdminFeePct,0)))*Assumptions!DF$74</f>
        <v/>
      </c>
      <c r="DG37" s="50">
        <f>((VLOOKUP($G$17,RecovMatrix,2,FALSE)*RecovCAM+VLOOKUP($G$17,RecovMatrix,3,FALSE)*RecovTax+VLOOKUP($G$17,RecovMatrix,4,FALSE)*RecovIns)*$B$17/12*INDEX(Cum_OpEx,1,DG$77)*(1+IF(AdminFeeOn="On",AdminFeePct,0))+(VLOOKUP($G$18,RecovMatrix,2,FALSE)*RecovCAM+VLOOKUP($G$18,RecovMatrix,3,FALSE)*RecovTax+VLOOKUP($G$18,RecovMatrix,4,FALSE)*RecovIns)*$B$18/12*INDEX(Cum_OpEx,1,DG$77)*(1+IF(AdminFeeOn="On",AdminFeePct,0))+(VLOOKUP($G$19,RecovMatrix,2,FALSE)*RecovCAM+VLOOKUP($G$19,RecovMatrix,3,FALSE)*RecovTax+VLOOKUP($G$19,RecovMatrix,4,FALSE)*RecovIns)*$B$19/12*INDEX(Cum_OpEx,1,DG$77)*(1+IF(AdminFeeOn="On",AdminFeePct,0))+(VLOOKUP($G$20,RecovMatrix,2,FALSE)*RecovCAM+VLOOKUP($G$20,RecovMatrix,3,FALSE)*RecovTax+VLOOKUP($G$20,RecovMatrix,4,FALSE)*RecovIns)*$B$20/12*INDEX(Cum_OpEx,1,DG$77)*(1+IF(AdminFeeOn="On",AdminFeePct,0))+(VLOOKUP($G$21,RecovMatrix,2,FALSE)*RecovCAM+VLOOKUP($G$21,RecovMatrix,3,FALSE)*RecovTax+VLOOKUP($G$21,RecovMatrix,4,FALSE)*RecovIns)*$B$21/12*INDEX(Cum_OpEx,1,DG$77)*(1+IF(AdminFeeOn="On",AdminFeePct,0))+(VLOOKUP($G$22,RecovMatrix,2,FALSE)*RecovCAM+VLOOKUP($G$22,RecovMatrix,3,FALSE)*RecovTax+VLOOKUP($G$22,RecovMatrix,4,FALSE)*RecovIns)*$B$22/12*INDEX(Cum_OpEx,1,DG$77)*(1+IF(AdminFeeOn="On",AdminFeePct,0)))*Assumptions!DG$74</f>
        <v/>
      </c>
      <c r="DH37" s="50">
        <f>((VLOOKUP($G$17,RecovMatrix,2,FALSE)*RecovCAM+VLOOKUP($G$17,RecovMatrix,3,FALSE)*RecovTax+VLOOKUP($G$17,RecovMatrix,4,FALSE)*RecovIns)*$B$17/12*INDEX(Cum_OpEx,1,DH$77)*(1+IF(AdminFeeOn="On",AdminFeePct,0))+(VLOOKUP($G$18,RecovMatrix,2,FALSE)*RecovCAM+VLOOKUP($G$18,RecovMatrix,3,FALSE)*RecovTax+VLOOKUP($G$18,RecovMatrix,4,FALSE)*RecovIns)*$B$18/12*INDEX(Cum_OpEx,1,DH$77)*(1+IF(AdminFeeOn="On",AdminFeePct,0))+(VLOOKUP($G$19,RecovMatrix,2,FALSE)*RecovCAM+VLOOKUP($G$19,RecovMatrix,3,FALSE)*RecovTax+VLOOKUP($G$19,RecovMatrix,4,FALSE)*RecovIns)*$B$19/12*INDEX(Cum_OpEx,1,DH$77)*(1+IF(AdminFeeOn="On",AdminFeePct,0))+(VLOOKUP($G$20,RecovMatrix,2,FALSE)*RecovCAM+VLOOKUP($G$20,RecovMatrix,3,FALSE)*RecovTax+VLOOKUP($G$20,RecovMatrix,4,FALSE)*RecovIns)*$B$20/12*INDEX(Cum_OpEx,1,DH$77)*(1+IF(AdminFeeOn="On",AdminFeePct,0))+(VLOOKUP($G$21,RecovMatrix,2,FALSE)*RecovCAM+VLOOKUP($G$21,RecovMatrix,3,FALSE)*RecovTax+VLOOKUP($G$21,RecovMatrix,4,FALSE)*RecovIns)*$B$21/12*INDEX(Cum_OpEx,1,DH$77)*(1+IF(AdminFeeOn="On",AdminFeePct,0))+(VLOOKUP($G$22,RecovMatrix,2,FALSE)*RecovCAM+VLOOKUP($G$22,RecovMatrix,3,FALSE)*RecovTax+VLOOKUP($G$22,RecovMatrix,4,FALSE)*RecovIns)*$B$22/12*INDEX(Cum_OpEx,1,DH$77)*(1+IF(AdminFeeOn="On",AdminFeePct,0)))*Assumptions!DH$74</f>
        <v/>
      </c>
      <c r="DI37" s="50">
        <f>((VLOOKUP($G$17,RecovMatrix,2,FALSE)*RecovCAM+VLOOKUP($G$17,RecovMatrix,3,FALSE)*RecovTax+VLOOKUP($G$17,RecovMatrix,4,FALSE)*RecovIns)*$B$17/12*INDEX(Cum_OpEx,1,DI$77)*(1+IF(AdminFeeOn="On",AdminFeePct,0))+(VLOOKUP($G$18,RecovMatrix,2,FALSE)*RecovCAM+VLOOKUP($G$18,RecovMatrix,3,FALSE)*RecovTax+VLOOKUP($G$18,RecovMatrix,4,FALSE)*RecovIns)*$B$18/12*INDEX(Cum_OpEx,1,DI$77)*(1+IF(AdminFeeOn="On",AdminFeePct,0))+(VLOOKUP($G$19,RecovMatrix,2,FALSE)*RecovCAM+VLOOKUP($G$19,RecovMatrix,3,FALSE)*RecovTax+VLOOKUP($G$19,RecovMatrix,4,FALSE)*RecovIns)*$B$19/12*INDEX(Cum_OpEx,1,DI$77)*(1+IF(AdminFeeOn="On",AdminFeePct,0))+(VLOOKUP($G$20,RecovMatrix,2,FALSE)*RecovCAM+VLOOKUP($G$20,RecovMatrix,3,FALSE)*RecovTax+VLOOKUP($G$20,RecovMatrix,4,FALSE)*RecovIns)*$B$20/12*INDEX(Cum_OpEx,1,DI$77)*(1+IF(AdminFeeOn="On",AdminFeePct,0))+(VLOOKUP($G$21,RecovMatrix,2,FALSE)*RecovCAM+VLOOKUP($G$21,RecovMatrix,3,FALSE)*RecovTax+VLOOKUP($G$21,RecovMatrix,4,FALSE)*RecovIns)*$B$21/12*INDEX(Cum_OpEx,1,DI$77)*(1+IF(AdminFeeOn="On",AdminFeePct,0))+(VLOOKUP($G$22,RecovMatrix,2,FALSE)*RecovCAM+VLOOKUP($G$22,RecovMatrix,3,FALSE)*RecovTax+VLOOKUP($G$22,RecovMatrix,4,FALSE)*RecovIns)*$B$22/12*INDEX(Cum_OpEx,1,DI$77)*(1+IF(AdminFeeOn="On",AdminFeePct,0)))*Assumptions!DI$74</f>
        <v/>
      </c>
      <c r="DJ37" s="50">
        <f>((VLOOKUP($G$17,RecovMatrix,2,FALSE)*RecovCAM+VLOOKUP($G$17,RecovMatrix,3,FALSE)*RecovTax+VLOOKUP($G$17,RecovMatrix,4,FALSE)*RecovIns)*$B$17/12*INDEX(Cum_OpEx,1,DJ$77)*(1+IF(AdminFeeOn="On",AdminFeePct,0))+(VLOOKUP($G$18,RecovMatrix,2,FALSE)*RecovCAM+VLOOKUP($G$18,RecovMatrix,3,FALSE)*RecovTax+VLOOKUP($G$18,RecovMatrix,4,FALSE)*RecovIns)*$B$18/12*INDEX(Cum_OpEx,1,DJ$77)*(1+IF(AdminFeeOn="On",AdminFeePct,0))+(VLOOKUP($G$19,RecovMatrix,2,FALSE)*RecovCAM+VLOOKUP($G$19,RecovMatrix,3,FALSE)*RecovTax+VLOOKUP($G$19,RecovMatrix,4,FALSE)*RecovIns)*$B$19/12*INDEX(Cum_OpEx,1,DJ$77)*(1+IF(AdminFeeOn="On",AdminFeePct,0))+(VLOOKUP($G$20,RecovMatrix,2,FALSE)*RecovCAM+VLOOKUP($G$20,RecovMatrix,3,FALSE)*RecovTax+VLOOKUP($G$20,RecovMatrix,4,FALSE)*RecovIns)*$B$20/12*INDEX(Cum_OpEx,1,DJ$77)*(1+IF(AdminFeeOn="On",AdminFeePct,0))+(VLOOKUP($G$21,RecovMatrix,2,FALSE)*RecovCAM+VLOOKUP($G$21,RecovMatrix,3,FALSE)*RecovTax+VLOOKUP($G$21,RecovMatrix,4,FALSE)*RecovIns)*$B$21/12*INDEX(Cum_OpEx,1,DJ$77)*(1+IF(AdminFeeOn="On",AdminFeePct,0))+(VLOOKUP($G$22,RecovMatrix,2,FALSE)*RecovCAM+VLOOKUP($G$22,RecovMatrix,3,FALSE)*RecovTax+VLOOKUP($G$22,RecovMatrix,4,FALSE)*RecovIns)*$B$22/12*INDEX(Cum_OpEx,1,DJ$77)*(1+IF(AdminFeeOn="On",AdminFeePct,0)))*Assumptions!DJ$74</f>
        <v/>
      </c>
      <c r="DK37" s="50">
        <f>((VLOOKUP($G$17,RecovMatrix,2,FALSE)*RecovCAM+VLOOKUP($G$17,RecovMatrix,3,FALSE)*RecovTax+VLOOKUP($G$17,RecovMatrix,4,FALSE)*RecovIns)*$B$17/12*INDEX(Cum_OpEx,1,DK$77)*(1+IF(AdminFeeOn="On",AdminFeePct,0))+(VLOOKUP($G$18,RecovMatrix,2,FALSE)*RecovCAM+VLOOKUP($G$18,RecovMatrix,3,FALSE)*RecovTax+VLOOKUP($G$18,RecovMatrix,4,FALSE)*RecovIns)*$B$18/12*INDEX(Cum_OpEx,1,DK$77)*(1+IF(AdminFeeOn="On",AdminFeePct,0))+(VLOOKUP($G$19,RecovMatrix,2,FALSE)*RecovCAM+VLOOKUP($G$19,RecovMatrix,3,FALSE)*RecovTax+VLOOKUP($G$19,RecovMatrix,4,FALSE)*RecovIns)*$B$19/12*INDEX(Cum_OpEx,1,DK$77)*(1+IF(AdminFeeOn="On",AdminFeePct,0))+(VLOOKUP($G$20,RecovMatrix,2,FALSE)*RecovCAM+VLOOKUP($G$20,RecovMatrix,3,FALSE)*RecovTax+VLOOKUP($G$20,RecovMatrix,4,FALSE)*RecovIns)*$B$20/12*INDEX(Cum_OpEx,1,DK$77)*(1+IF(AdminFeeOn="On",AdminFeePct,0))+(VLOOKUP($G$21,RecovMatrix,2,FALSE)*RecovCAM+VLOOKUP($G$21,RecovMatrix,3,FALSE)*RecovTax+VLOOKUP($G$21,RecovMatrix,4,FALSE)*RecovIns)*$B$21/12*INDEX(Cum_OpEx,1,DK$77)*(1+IF(AdminFeeOn="On",AdminFeePct,0))+(VLOOKUP($G$22,RecovMatrix,2,FALSE)*RecovCAM+VLOOKUP($G$22,RecovMatrix,3,FALSE)*RecovTax+VLOOKUP($G$22,RecovMatrix,4,FALSE)*RecovIns)*$B$22/12*INDEX(Cum_OpEx,1,DK$77)*(1+IF(AdminFeeOn="On",AdminFeePct,0)))*Assumptions!DK$74</f>
        <v/>
      </c>
      <c r="DL37" s="50">
        <f>((VLOOKUP($G$17,RecovMatrix,2,FALSE)*RecovCAM+VLOOKUP($G$17,RecovMatrix,3,FALSE)*RecovTax+VLOOKUP($G$17,RecovMatrix,4,FALSE)*RecovIns)*$B$17/12*INDEX(Cum_OpEx,1,DL$77)*(1+IF(AdminFeeOn="On",AdminFeePct,0))+(VLOOKUP($G$18,RecovMatrix,2,FALSE)*RecovCAM+VLOOKUP($G$18,RecovMatrix,3,FALSE)*RecovTax+VLOOKUP($G$18,RecovMatrix,4,FALSE)*RecovIns)*$B$18/12*INDEX(Cum_OpEx,1,DL$77)*(1+IF(AdminFeeOn="On",AdminFeePct,0))+(VLOOKUP($G$19,RecovMatrix,2,FALSE)*RecovCAM+VLOOKUP($G$19,RecovMatrix,3,FALSE)*RecovTax+VLOOKUP($G$19,RecovMatrix,4,FALSE)*RecovIns)*$B$19/12*INDEX(Cum_OpEx,1,DL$77)*(1+IF(AdminFeeOn="On",AdminFeePct,0))+(VLOOKUP($G$20,RecovMatrix,2,FALSE)*RecovCAM+VLOOKUP($G$20,RecovMatrix,3,FALSE)*RecovTax+VLOOKUP($G$20,RecovMatrix,4,FALSE)*RecovIns)*$B$20/12*INDEX(Cum_OpEx,1,DL$77)*(1+IF(AdminFeeOn="On",AdminFeePct,0))+(VLOOKUP($G$21,RecovMatrix,2,FALSE)*RecovCAM+VLOOKUP($G$21,RecovMatrix,3,FALSE)*RecovTax+VLOOKUP($G$21,RecovMatrix,4,FALSE)*RecovIns)*$B$21/12*INDEX(Cum_OpEx,1,DL$77)*(1+IF(AdminFeeOn="On",AdminFeePct,0))+(VLOOKUP($G$22,RecovMatrix,2,FALSE)*RecovCAM+VLOOKUP($G$22,RecovMatrix,3,FALSE)*RecovTax+VLOOKUP($G$22,RecovMatrix,4,FALSE)*RecovIns)*$B$22/12*INDEX(Cum_OpEx,1,DL$77)*(1+IF(AdminFeeOn="On",AdminFeePct,0)))*Assumptions!DL$74</f>
        <v/>
      </c>
      <c r="DM37" s="50">
        <f>((VLOOKUP($G$17,RecovMatrix,2,FALSE)*RecovCAM+VLOOKUP($G$17,RecovMatrix,3,FALSE)*RecovTax+VLOOKUP($G$17,RecovMatrix,4,FALSE)*RecovIns)*$B$17/12*INDEX(Cum_OpEx,1,DM$77)*(1+IF(AdminFeeOn="On",AdminFeePct,0))+(VLOOKUP($G$18,RecovMatrix,2,FALSE)*RecovCAM+VLOOKUP($G$18,RecovMatrix,3,FALSE)*RecovTax+VLOOKUP($G$18,RecovMatrix,4,FALSE)*RecovIns)*$B$18/12*INDEX(Cum_OpEx,1,DM$77)*(1+IF(AdminFeeOn="On",AdminFeePct,0))+(VLOOKUP($G$19,RecovMatrix,2,FALSE)*RecovCAM+VLOOKUP($G$19,RecovMatrix,3,FALSE)*RecovTax+VLOOKUP($G$19,RecovMatrix,4,FALSE)*RecovIns)*$B$19/12*INDEX(Cum_OpEx,1,DM$77)*(1+IF(AdminFeeOn="On",AdminFeePct,0))+(VLOOKUP($G$20,RecovMatrix,2,FALSE)*RecovCAM+VLOOKUP($G$20,RecovMatrix,3,FALSE)*RecovTax+VLOOKUP($G$20,RecovMatrix,4,FALSE)*RecovIns)*$B$20/12*INDEX(Cum_OpEx,1,DM$77)*(1+IF(AdminFeeOn="On",AdminFeePct,0))+(VLOOKUP($G$21,RecovMatrix,2,FALSE)*RecovCAM+VLOOKUP($G$21,RecovMatrix,3,FALSE)*RecovTax+VLOOKUP($G$21,RecovMatrix,4,FALSE)*RecovIns)*$B$21/12*INDEX(Cum_OpEx,1,DM$77)*(1+IF(AdminFeeOn="On",AdminFeePct,0))+(VLOOKUP($G$22,RecovMatrix,2,FALSE)*RecovCAM+VLOOKUP($G$22,RecovMatrix,3,FALSE)*RecovTax+VLOOKUP($G$22,RecovMatrix,4,FALSE)*RecovIns)*$B$22/12*INDEX(Cum_OpEx,1,DM$77)*(1+IF(AdminFeeOn="On",AdminFeePct,0)))*Assumptions!DM$74</f>
        <v/>
      </c>
      <c r="DN37" s="50">
        <f>((VLOOKUP($G$17,RecovMatrix,2,FALSE)*RecovCAM+VLOOKUP($G$17,RecovMatrix,3,FALSE)*RecovTax+VLOOKUP($G$17,RecovMatrix,4,FALSE)*RecovIns)*$B$17/12*INDEX(Cum_OpEx,1,DN$77)*(1+IF(AdminFeeOn="On",AdminFeePct,0))+(VLOOKUP($G$18,RecovMatrix,2,FALSE)*RecovCAM+VLOOKUP($G$18,RecovMatrix,3,FALSE)*RecovTax+VLOOKUP($G$18,RecovMatrix,4,FALSE)*RecovIns)*$B$18/12*INDEX(Cum_OpEx,1,DN$77)*(1+IF(AdminFeeOn="On",AdminFeePct,0))+(VLOOKUP($G$19,RecovMatrix,2,FALSE)*RecovCAM+VLOOKUP($G$19,RecovMatrix,3,FALSE)*RecovTax+VLOOKUP($G$19,RecovMatrix,4,FALSE)*RecovIns)*$B$19/12*INDEX(Cum_OpEx,1,DN$77)*(1+IF(AdminFeeOn="On",AdminFeePct,0))+(VLOOKUP($G$20,RecovMatrix,2,FALSE)*RecovCAM+VLOOKUP($G$20,RecovMatrix,3,FALSE)*RecovTax+VLOOKUP($G$20,RecovMatrix,4,FALSE)*RecovIns)*$B$20/12*INDEX(Cum_OpEx,1,DN$77)*(1+IF(AdminFeeOn="On",AdminFeePct,0))+(VLOOKUP($G$21,RecovMatrix,2,FALSE)*RecovCAM+VLOOKUP($G$21,RecovMatrix,3,FALSE)*RecovTax+VLOOKUP($G$21,RecovMatrix,4,FALSE)*RecovIns)*$B$21/12*INDEX(Cum_OpEx,1,DN$77)*(1+IF(AdminFeeOn="On",AdminFeePct,0))+(VLOOKUP($G$22,RecovMatrix,2,FALSE)*RecovCAM+VLOOKUP($G$22,RecovMatrix,3,FALSE)*RecovTax+VLOOKUP($G$22,RecovMatrix,4,FALSE)*RecovIns)*$B$22/12*INDEX(Cum_OpEx,1,DN$77)*(1+IF(AdminFeeOn="On",AdminFeePct,0)))*Assumptions!DN$74</f>
        <v/>
      </c>
      <c r="DO37" s="50">
        <f>((VLOOKUP($G$17,RecovMatrix,2,FALSE)*RecovCAM+VLOOKUP($G$17,RecovMatrix,3,FALSE)*RecovTax+VLOOKUP($G$17,RecovMatrix,4,FALSE)*RecovIns)*$B$17/12*INDEX(Cum_OpEx,1,DO$77)*(1+IF(AdminFeeOn="On",AdminFeePct,0))+(VLOOKUP($G$18,RecovMatrix,2,FALSE)*RecovCAM+VLOOKUP($G$18,RecovMatrix,3,FALSE)*RecovTax+VLOOKUP($G$18,RecovMatrix,4,FALSE)*RecovIns)*$B$18/12*INDEX(Cum_OpEx,1,DO$77)*(1+IF(AdminFeeOn="On",AdminFeePct,0))+(VLOOKUP($G$19,RecovMatrix,2,FALSE)*RecovCAM+VLOOKUP($G$19,RecovMatrix,3,FALSE)*RecovTax+VLOOKUP($G$19,RecovMatrix,4,FALSE)*RecovIns)*$B$19/12*INDEX(Cum_OpEx,1,DO$77)*(1+IF(AdminFeeOn="On",AdminFeePct,0))+(VLOOKUP($G$20,RecovMatrix,2,FALSE)*RecovCAM+VLOOKUP($G$20,RecovMatrix,3,FALSE)*RecovTax+VLOOKUP($G$20,RecovMatrix,4,FALSE)*RecovIns)*$B$20/12*INDEX(Cum_OpEx,1,DO$77)*(1+IF(AdminFeeOn="On",AdminFeePct,0))+(VLOOKUP($G$21,RecovMatrix,2,FALSE)*RecovCAM+VLOOKUP($G$21,RecovMatrix,3,FALSE)*RecovTax+VLOOKUP($G$21,RecovMatrix,4,FALSE)*RecovIns)*$B$21/12*INDEX(Cum_OpEx,1,DO$77)*(1+IF(AdminFeeOn="On",AdminFeePct,0))+(VLOOKUP($G$22,RecovMatrix,2,FALSE)*RecovCAM+VLOOKUP($G$22,RecovMatrix,3,FALSE)*RecovTax+VLOOKUP($G$22,RecovMatrix,4,FALSE)*RecovIns)*$B$22/12*INDEX(Cum_OpEx,1,DO$77)*(1+IF(AdminFeeOn="On",AdminFeePct,0)))*Assumptions!DO$74</f>
        <v/>
      </c>
      <c r="DP37" s="50">
        <f>((VLOOKUP($G$17,RecovMatrix,2,FALSE)*RecovCAM+VLOOKUP($G$17,RecovMatrix,3,FALSE)*RecovTax+VLOOKUP($G$17,RecovMatrix,4,FALSE)*RecovIns)*$B$17/12*INDEX(Cum_OpEx,1,DP$77)*(1+IF(AdminFeeOn="On",AdminFeePct,0))+(VLOOKUP($G$18,RecovMatrix,2,FALSE)*RecovCAM+VLOOKUP($G$18,RecovMatrix,3,FALSE)*RecovTax+VLOOKUP($G$18,RecovMatrix,4,FALSE)*RecovIns)*$B$18/12*INDEX(Cum_OpEx,1,DP$77)*(1+IF(AdminFeeOn="On",AdminFeePct,0))+(VLOOKUP($G$19,RecovMatrix,2,FALSE)*RecovCAM+VLOOKUP($G$19,RecovMatrix,3,FALSE)*RecovTax+VLOOKUP($G$19,RecovMatrix,4,FALSE)*RecovIns)*$B$19/12*INDEX(Cum_OpEx,1,DP$77)*(1+IF(AdminFeeOn="On",AdminFeePct,0))+(VLOOKUP($G$20,RecovMatrix,2,FALSE)*RecovCAM+VLOOKUP($G$20,RecovMatrix,3,FALSE)*RecovTax+VLOOKUP($G$20,RecovMatrix,4,FALSE)*RecovIns)*$B$20/12*INDEX(Cum_OpEx,1,DP$77)*(1+IF(AdminFeeOn="On",AdminFeePct,0))+(VLOOKUP($G$21,RecovMatrix,2,FALSE)*RecovCAM+VLOOKUP($G$21,RecovMatrix,3,FALSE)*RecovTax+VLOOKUP($G$21,RecovMatrix,4,FALSE)*RecovIns)*$B$21/12*INDEX(Cum_OpEx,1,DP$77)*(1+IF(AdminFeeOn="On",AdminFeePct,0))+(VLOOKUP($G$22,RecovMatrix,2,FALSE)*RecovCAM+VLOOKUP($G$22,RecovMatrix,3,FALSE)*RecovTax+VLOOKUP($G$22,RecovMatrix,4,FALSE)*RecovIns)*$B$22/12*INDEX(Cum_OpEx,1,DP$77)*(1+IF(AdminFeeOn="On",AdminFeePct,0)))*Assumptions!DP$74</f>
        <v/>
      </c>
      <c r="DQ37" s="50">
        <f>((VLOOKUP($G$17,RecovMatrix,2,FALSE)*RecovCAM+VLOOKUP($G$17,RecovMatrix,3,FALSE)*RecovTax+VLOOKUP($G$17,RecovMatrix,4,FALSE)*RecovIns)*$B$17/12*INDEX(Cum_OpEx,1,DQ$77)*(1+IF(AdminFeeOn="On",AdminFeePct,0))+(VLOOKUP($G$18,RecovMatrix,2,FALSE)*RecovCAM+VLOOKUP($G$18,RecovMatrix,3,FALSE)*RecovTax+VLOOKUP($G$18,RecovMatrix,4,FALSE)*RecovIns)*$B$18/12*INDEX(Cum_OpEx,1,DQ$77)*(1+IF(AdminFeeOn="On",AdminFeePct,0))+(VLOOKUP($G$19,RecovMatrix,2,FALSE)*RecovCAM+VLOOKUP($G$19,RecovMatrix,3,FALSE)*RecovTax+VLOOKUP($G$19,RecovMatrix,4,FALSE)*RecovIns)*$B$19/12*INDEX(Cum_OpEx,1,DQ$77)*(1+IF(AdminFeeOn="On",AdminFeePct,0))+(VLOOKUP($G$20,RecovMatrix,2,FALSE)*RecovCAM+VLOOKUP($G$20,RecovMatrix,3,FALSE)*RecovTax+VLOOKUP($G$20,RecovMatrix,4,FALSE)*RecovIns)*$B$20/12*INDEX(Cum_OpEx,1,DQ$77)*(1+IF(AdminFeeOn="On",AdminFeePct,0))+(VLOOKUP($G$21,RecovMatrix,2,FALSE)*RecovCAM+VLOOKUP($G$21,RecovMatrix,3,FALSE)*RecovTax+VLOOKUP($G$21,RecovMatrix,4,FALSE)*RecovIns)*$B$21/12*INDEX(Cum_OpEx,1,DQ$77)*(1+IF(AdminFeeOn="On",AdminFeePct,0))+(VLOOKUP($G$22,RecovMatrix,2,FALSE)*RecovCAM+VLOOKUP($G$22,RecovMatrix,3,FALSE)*RecovTax+VLOOKUP($G$22,RecovMatrix,4,FALSE)*RecovIns)*$B$22/12*INDEX(Cum_OpEx,1,DQ$77)*(1+IF(AdminFeeOn="On",AdminFeePct,0)))*Assumptions!DQ$74</f>
        <v/>
      </c>
      <c r="DR37" s="50">
        <f>((VLOOKUP($G$17,RecovMatrix,2,FALSE)*RecovCAM+VLOOKUP($G$17,RecovMatrix,3,FALSE)*RecovTax+VLOOKUP($G$17,RecovMatrix,4,FALSE)*RecovIns)*$B$17/12*INDEX(Cum_OpEx,1,DR$77)*(1+IF(AdminFeeOn="On",AdminFeePct,0))+(VLOOKUP($G$18,RecovMatrix,2,FALSE)*RecovCAM+VLOOKUP($G$18,RecovMatrix,3,FALSE)*RecovTax+VLOOKUP($G$18,RecovMatrix,4,FALSE)*RecovIns)*$B$18/12*INDEX(Cum_OpEx,1,DR$77)*(1+IF(AdminFeeOn="On",AdminFeePct,0))+(VLOOKUP($G$19,RecovMatrix,2,FALSE)*RecovCAM+VLOOKUP($G$19,RecovMatrix,3,FALSE)*RecovTax+VLOOKUP($G$19,RecovMatrix,4,FALSE)*RecovIns)*$B$19/12*INDEX(Cum_OpEx,1,DR$77)*(1+IF(AdminFeeOn="On",AdminFeePct,0))+(VLOOKUP($G$20,RecovMatrix,2,FALSE)*RecovCAM+VLOOKUP($G$20,RecovMatrix,3,FALSE)*RecovTax+VLOOKUP($G$20,RecovMatrix,4,FALSE)*RecovIns)*$B$20/12*INDEX(Cum_OpEx,1,DR$77)*(1+IF(AdminFeeOn="On",AdminFeePct,0))+(VLOOKUP($G$21,RecovMatrix,2,FALSE)*RecovCAM+VLOOKUP($G$21,RecovMatrix,3,FALSE)*RecovTax+VLOOKUP($G$21,RecovMatrix,4,FALSE)*RecovIns)*$B$21/12*INDEX(Cum_OpEx,1,DR$77)*(1+IF(AdminFeeOn="On",AdminFeePct,0))+(VLOOKUP($G$22,RecovMatrix,2,FALSE)*RecovCAM+VLOOKUP($G$22,RecovMatrix,3,FALSE)*RecovTax+VLOOKUP($G$22,RecovMatrix,4,FALSE)*RecovIns)*$B$22/12*INDEX(Cum_OpEx,1,DR$77)*(1+IF(AdminFeeOn="On",AdminFeePct,0)))*Assumptions!DR$74</f>
        <v/>
      </c>
      <c r="DS37" s="50">
        <f>((VLOOKUP($G$17,RecovMatrix,2,FALSE)*RecovCAM+VLOOKUP($G$17,RecovMatrix,3,FALSE)*RecovTax+VLOOKUP($G$17,RecovMatrix,4,FALSE)*RecovIns)*$B$17/12*INDEX(Cum_OpEx,1,DS$77)*(1+IF(AdminFeeOn="On",AdminFeePct,0))+(VLOOKUP($G$18,RecovMatrix,2,FALSE)*RecovCAM+VLOOKUP($G$18,RecovMatrix,3,FALSE)*RecovTax+VLOOKUP($G$18,RecovMatrix,4,FALSE)*RecovIns)*$B$18/12*INDEX(Cum_OpEx,1,DS$77)*(1+IF(AdminFeeOn="On",AdminFeePct,0))+(VLOOKUP($G$19,RecovMatrix,2,FALSE)*RecovCAM+VLOOKUP($G$19,RecovMatrix,3,FALSE)*RecovTax+VLOOKUP($G$19,RecovMatrix,4,FALSE)*RecovIns)*$B$19/12*INDEX(Cum_OpEx,1,DS$77)*(1+IF(AdminFeeOn="On",AdminFeePct,0))+(VLOOKUP($G$20,RecovMatrix,2,FALSE)*RecovCAM+VLOOKUP($G$20,RecovMatrix,3,FALSE)*RecovTax+VLOOKUP($G$20,RecovMatrix,4,FALSE)*RecovIns)*$B$20/12*INDEX(Cum_OpEx,1,DS$77)*(1+IF(AdminFeeOn="On",AdminFeePct,0))+(VLOOKUP($G$21,RecovMatrix,2,FALSE)*RecovCAM+VLOOKUP($G$21,RecovMatrix,3,FALSE)*RecovTax+VLOOKUP($G$21,RecovMatrix,4,FALSE)*RecovIns)*$B$21/12*INDEX(Cum_OpEx,1,DS$77)*(1+IF(AdminFeeOn="On",AdminFeePct,0))+(VLOOKUP($G$22,RecovMatrix,2,FALSE)*RecovCAM+VLOOKUP($G$22,RecovMatrix,3,FALSE)*RecovTax+VLOOKUP($G$22,RecovMatrix,4,FALSE)*RecovIns)*$B$22/12*INDEX(Cum_OpEx,1,DS$77)*(1+IF(AdminFeeOn="On",AdminFeePct,0)))*Assumptions!DS$74</f>
        <v/>
      </c>
      <c r="DT37" s="50">
        <f>((VLOOKUP($G$17,RecovMatrix,2,FALSE)*RecovCAM+VLOOKUP($G$17,RecovMatrix,3,FALSE)*RecovTax+VLOOKUP($G$17,RecovMatrix,4,FALSE)*RecovIns)*$B$17/12*INDEX(Cum_OpEx,1,DT$77)*(1+IF(AdminFeeOn="On",AdminFeePct,0))+(VLOOKUP($G$18,RecovMatrix,2,FALSE)*RecovCAM+VLOOKUP($G$18,RecovMatrix,3,FALSE)*RecovTax+VLOOKUP($G$18,RecovMatrix,4,FALSE)*RecovIns)*$B$18/12*INDEX(Cum_OpEx,1,DT$77)*(1+IF(AdminFeeOn="On",AdminFeePct,0))+(VLOOKUP($G$19,RecovMatrix,2,FALSE)*RecovCAM+VLOOKUP($G$19,RecovMatrix,3,FALSE)*RecovTax+VLOOKUP($G$19,RecovMatrix,4,FALSE)*RecovIns)*$B$19/12*INDEX(Cum_OpEx,1,DT$77)*(1+IF(AdminFeeOn="On",AdminFeePct,0))+(VLOOKUP($G$20,RecovMatrix,2,FALSE)*RecovCAM+VLOOKUP($G$20,RecovMatrix,3,FALSE)*RecovTax+VLOOKUP($G$20,RecovMatrix,4,FALSE)*RecovIns)*$B$20/12*INDEX(Cum_OpEx,1,DT$77)*(1+IF(AdminFeeOn="On",AdminFeePct,0))+(VLOOKUP($G$21,RecovMatrix,2,FALSE)*RecovCAM+VLOOKUP($G$21,RecovMatrix,3,FALSE)*RecovTax+VLOOKUP($G$21,RecovMatrix,4,FALSE)*RecovIns)*$B$21/12*INDEX(Cum_OpEx,1,DT$77)*(1+IF(AdminFeeOn="On",AdminFeePct,0))+(VLOOKUP($G$22,RecovMatrix,2,FALSE)*RecovCAM+VLOOKUP($G$22,RecovMatrix,3,FALSE)*RecovTax+VLOOKUP($G$22,RecovMatrix,4,FALSE)*RecovIns)*$B$22/12*INDEX(Cum_OpEx,1,DT$77)*(1+IF(AdminFeeOn="On",AdminFeePct,0)))*Assumptions!DT$74</f>
        <v/>
      </c>
    </row>
    <row r="38">
      <c r="A38" s="10" t="inlineStr">
        <is>
          <t>General vacancy ($/mo, neg)</t>
        </is>
      </c>
      <c r="E38" s="50">
        <f>-(E$35+E$36+E$37)*RetailGenVacancy</f>
        <v/>
      </c>
      <c r="F38" s="50">
        <f>-(F$35+F$36+F$37)*RetailGenVacancy</f>
        <v/>
      </c>
      <c r="G38" s="50">
        <f>-(G$35+G$36+G$37)*RetailGenVacancy</f>
        <v/>
      </c>
      <c r="H38" s="50">
        <f>-(H$35+H$36+H$37)*RetailGenVacancy</f>
        <v/>
      </c>
      <c r="I38" s="50">
        <f>-(I$35+I$36+I$37)*RetailGenVacancy</f>
        <v/>
      </c>
      <c r="J38" s="50">
        <f>-(J$35+J$36+J$37)*RetailGenVacancy</f>
        <v/>
      </c>
      <c r="K38" s="50">
        <f>-(K$35+K$36+K$37)*RetailGenVacancy</f>
        <v/>
      </c>
      <c r="L38" s="50">
        <f>-(L$35+L$36+L$37)*RetailGenVacancy</f>
        <v/>
      </c>
      <c r="M38" s="50">
        <f>-(M$35+M$36+M$37)*RetailGenVacancy</f>
        <v/>
      </c>
      <c r="N38" s="50">
        <f>-(N$35+N$36+N$37)*RetailGenVacancy</f>
        <v/>
      </c>
      <c r="O38" s="50">
        <f>-(O$35+O$36+O$37)*RetailGenVacancy</f>
        <v/>
      </c>
      <c r="P38" s="50">
        <f>-(P$35+P$36+P$37)*RetailGenVacancy</f>
        <v/>
      </c>
      <c r="Q38" s="50">
        <f>-(Q$35+Q$36+Q$37)*RetailGenVacancy</f>
        <v/>
      </c>
      <c r="R38" s="50">
        <f>-(R$35+R$36+R$37)*RetailGenVacancy</f>
        <v/>
      </c>
      <c r="S38" s="50">
        <f>-(S$35+S$36+S$37)*RetailGenVacancy</f>
        <v/>
      </c>
      <c r="T38" s="50">
        <f>-(T$35+T$36+T$37)*RetailGenVacancy</f>
        <v/>
      </c>
      <c r="U38" s="50">
        <f>-(U$35+U$36+U$37)*RetailGenVacancy</f>
        <v/>
      </c>
      <c r="V38" s="50">
        <f>-(V$35+V$36+V$37)*RetailGenVacancy</f>
        <v/>
      </c>
      <c r="W38" s="50">
        <f>-(W$35+W$36+W$37)*RetailGenVacancy</f>
        <v/>
      </c>
      <c r="X38" s="50">
        <f>-(X$35+X$36+X$37)*RetailGenVacancy</f>
        <v/>
      </c>
      <c r="Y38" s="50">
        <f>-(Y$35+Y$36+Y$37)*RetailGenVacancy</f>
        <v/>
      </c>
      <c r="Z38" s="50">
        <f>-(Z$35+Z$36+Z$37)*RetailGenVacancy</f>
        <v/>
      </c>
      <c r="AA38" s="50">
        <f>-(AA$35+AA$36+AA$37)*RetailGenVacancy</f>
        <v/>
      </c>
      <c r="AB38" s="50">
        <f>-(AB$35+AB$36+AB$37)*RetailGenVacancy</f>
        <v/>
      </c>
      <c r="AC38" s="50">
        <f>-(AC$35+AC$36+AC$37)*RetailGenVacancy</f>
        <v/>
      </c>
      <c r="AD38" s="50">
        <f>-(AD$35+AD$36+AD$37)*RetailGenVacancy</f>
        <v/>
      </c>
      <c r="AE38" s="50">
        <f>-(AE$35+AE$36+AE$37)*RetailGenVacancy</f>
        <v/>
      </c>
      <c r="AF38" s="50">
        <f>-(AF$35+AF$36+AF$37)*RetailGenVacancy</f>
        <v/>
      </c>
      <c r="AG38" s="50">
        <f>-(AG$35+AG$36+AG$37)*RetailGenVacancy</f>
        <v/>
      </c>
      <c r="AH38" s="50">
        <f>-(AH$35+AH$36+AH$37)*RetailGenVacancy</f>
        <v/>
      </c>
      <c r="AI38" s="50">
        <f>-(AI$35+AI$36+AI$37)*RetailGenVacancy</f>
        <v/>
      </c>
      <c r="AJ38" s="50">
        <f>-(AJ$35+AJ$36+AJ$37)*RetailGenVacancy</f>
        <v/>
      </c>
      <c r="AK38" s="50">
        <f>-(AK$35+AK$36+AK$37)*RetailGenVacancy</f>
        <v/>
      </c>
      <c r="AL38" s="50">
        <f>-(AL$35+AL$36+AL$37)*RetailGenVacancy</f>
        <v/>
      </c>
      <c r="AM38" s="50">
        <f>-(AM$35+AM$36+AM$37)*RetailGenVacancy</f>
        <v/>
      </c>
      <c r="AN38" s="50">
        <f>-(AN$35+AN$36+AN$37)*RetailGenVacancy</f>
        <v/>
      </c>
      <c r="AO38" s="50">
        <f>-(AO$35+AO$36+AO$37)*RetailGenVacancy</f>
        <v/>
      </c>
      <c r="AP38" s="50">
        <f>-(AP$35+AP$36+AP$37)*RetailGenVacancy</f>
        <v/>
      </c>
      <c r="AQ38" s="50">
        <f>-(AQ$35+AQ$36+AQ$37)*RetailGenVacancy</f>
        <v/>
      </c>
      <c r="AR38" s="50">
        <f>-(AR$35+AR$36+AR$37)*RetailGenVacancy</f>
        <v/>
      </c>
      <c r="AS38" s="50">
        <f>-(AS$35+AS$36+AS$37)*RetailGenVacancy</f>
        <v/>
      </c>
      <c r="AT38" s="50">
        <f>-(AT$35+AT$36+AT$37)*RetailGenVacancy</f>
        <v/>
      </c>
      <c r="AU38" s="50">
        <f>-(AU$35+AU$36+AU$37)*RetailGenVacancy</f>
        <v/>
      </c>
      <c r="AV38" s="50">
        <f>-(AV$35+AV$36+AV$37)*RetailGenVacancy</f>
        <v/>
      </c>
      <c r="AW38" s="50">
        <f>-(AW$35+AW$36+AW$37)*RetailGenVacancy</f>
        <v/>
      </c>
      <c r="AX38" s="50">
        <f>-(AX$35+AX$36+AX$37)*RetailGenVacancy</f>
        <v/>
      </c>
      <c r="AY38" s="50">
        <f>-(AY$35+AY$36+AY$37)*RetailGenVacancy</f>
        <v/>
      </c>
      <c r="AZ38" s="50">
        <f>-(AZ$35+AZ$36+AZ$37)*RetailGenVacancy</f>
        <v/>
      </c>
      <c r="BA38" s="50">
        <f>-(BA$35+BA$36+BA$37)*RetailGenVacancy</f>
        <v/>
      </c>
      <c r="BB38" s="50">
        <f>-(BB$35+BB$36+BB$37)*RetailGenVacancy</f>
        <v/>
      </c>
      <c r="BC38" s="50">
        <f>-(BC$35+BC$36+BC$37)*RetailGenVacancy</f>
        <v/>
      </c>
      <c r="BD38" s="50">
        <f>-(BD$35+BD$36+BD$37)*RetailGenVacancy</f>
        <v/>
      </c>
      <c r="BE38" s="50">
        <f>-(BE$35+BE$36+BE$37)*RetailGenVacancy</f>
        <v/>
      </c>
      <c r="BF38" s="50">
        <f>-(BF$35+BF$36+BF$37)*RetailGenVacancy</f>
        <v/>
      </c>
      <c r="BG38" s="50">
        <f>-(BG$35+BG$36+BG$37)*RetailGenVacancy</f>
        <v/>
      </c>
      <c r="BH38" s="50">
        <f>-(BH$35+BH$36+BH$37)*RetailGenVacancy</f>
        <v/>
      </c>
      <c r="BI38" s="50">
        <f>-(BI$35+BI$36+BI$37)*RetailGenVacancy</f>
        <v/>
      </c>
      <c r="BJ38" s="50">
        <f>-(BJ$35+BJ$36+BJ$37)*RetailGenVacancy</f>
        <v/>
      </c>
      <c r="BK38" s="50">
        <f>-(BK$35+BK$36+BK$37)*RetailGenVacancy</f>
        <v/>
      </c>
      <c r="BL38" s="50">
        <f>-(BL$35+BL$36+BL$37)*RetailGenVacancy</f>
        <v/>
      </c>
      <c r="BM38" s="50">
        <f>-(BM$35+BM$36+BM$37)*RetailGenVacancy</f>
        <v/>
      </c>
      <c r="BN38" s="50">
        <f>-(BN$35+BN$36+BN$37)*RetailGenVacancy</f>
        <v/>
      </c>
      <c r="BO38" s="50">
        <f>-(BO$35+BO$36+BO$37)*RetailGenVacancy</f>
        <v/>
      </c>
      <c r="BP38" s="50">
        <f>-(BP$35+BP$36+BP$37)*RetailGenVacancy</f>
        <v/>
      </c>
      <c r="BQ38" s="50">
        <f>-(BQ$35+BQ$36+BQ$37)*RetailGenVacancy</f>
        <v/>
      </c>
      <c r="BR38" s="50">
        <f>-(BR$35+BR$36+BR$37)*RetailGenVacancy</f>
        <v/>
      </c>
      <c r="BS38" s="50">
        <f>-(BS$35+BS$36+BS$37)*RetailGenVacancy</f>
        <v/>
      </c>
      <c r="BT38" s="50">
        <f>-(BT$35+BT$36+BT$37)*RetailGenVacancy</f>
        <v/>
      </c>
      <c r="BU38" s="50">
        <f>-(BU$35+BU$36+BU$37)*RetailGenVacancy</f>
        <v/>
      </c>
      <c r="BV38" s="50">
        <f>-(BV$35+BV$36+BV$37)*RetailGenVacancy</f>
        <v/>
      </c>
      <c r="BW38" s="50">
        <f>-(BW$35+BW$36+BW$37)*RetailGenVacancy</f>
        <v/>
      </c>
      <c r="BX38" s="50">
        <f>-(BX$35+BX$36+BX$37)*RetailGenVacancy</f>
        <v/>
      </c>
      <c r="BY38" s="50">
        <f>-(BY$35+BY$36+BY$37)*RetailGenVacancy</f>
        <v/>
      </c>
      <c r="BZ38" s="50">
        <f>-(BZ$35+BZ$36+BZ$37)*RetailGenVacancy</f>
        <v/>
      </c>
      <c r="CA38" s="50">
        <f>-(CA$35+CA$36+CA$37)*RetailGenVacancy</f>
        <v/>
      </c>
      <c r="CB38" s="50">
        <f>-(CB$35+CB$36+CB$37)*RetailGenVacancy</f>
        <v/>
      </c>
      <c r="CC38" s="50">
        <f>-(CC$35+CC$36+CC$37)*RetailGenVacancy</f>
        <v/>
      </c>
      <c r="CD38" s="50">
        <f>-(CD$35+CD$36+CD$37)*RetailGenVacancy</f>
        <v/>
      </c>
      <c r="CE38" s="50">
        <f>-(CE$35+CE$36+CE$37)*RetailGenVacancy</f>
        <v/>
      </c>
      <c r="CF38" s="50">
        <f>-(CF$35+CF$36+CF$37)*RetailGenVacancy</f>
        <v/>
      </c>
      <c r="CG38" s="50">
        <f>-(CG$35+CG$36+CG$37)*RetailGenVacancy</f>
        <v/>
      </c>
      <c r="CH38" s="50">
        <f>-(CH$35+CH$36+CH$37)*RetailGenVacancy</f>
        <v/>
      </c>
      <c r="CI38" s="50">
        <f>-(CI$35+CI$36+CI$37)*RetailGenVacancy</f>
        <v/>
      </c>
      <c r="CJ38" s="50">
        <f>-(CJ$35+CJ$36+CJ$37)*RetailGenVacancy</f>
        <v/>
      </c>
      <c r="CK38" s="50">
        <f>-(CK$35+CK$36+CK$37)*RetailGenVacancy</f>
        <v/>
      </c>
      <c r="CL38" s="50">
        <f>-(CL$35+CL$36+CL$37)*RetailGenVacancy</f>
        <v/>
      </c>
      <c r="CM38" s="50">
        <f>-(CM$35+CM$36+CM$37)*RetailGenVacancy</f>
        <v/>
      </c>
      <c r="CN38" s="50">
        <f>-(CN$35+CN$36+CN$37)*RetailGenVacancy</f>
        <v/>
      </c>
      <c r="CO38" s="50">
        <f>-(CO$35+CO$36+CO$37)*RetailGenVacancy</f>
        <v/>
      </c>
      <c r="CP38" s="50">
        <f>-(CP$35+CP$36+CP$37)*RetailGenVacancy</f>
        <v/>
      </c>
      <c r="CQ38" s="50">
        <f>-(CQ$35+CQ$36+CQ$37)*RetailGenVacancy</f>
        <v/>
      </c>
      <c r="CR38" s="50">
        <f>-(CR$35+CR$36+CR$37)*RetailGenVacancy</f>
        <v/>
      </c>
      <c r="CS38" s="50">
        <f>-(CS$35+CS$36+CS$37)*RetailGenVacancy</f>
        <v/>
      </c>
      <c r="CT38" s="50">
        <f>-(CT$35+CT$36+CT$37)*RetailGenVacancy</f>
        <v/>
      </c>
      <c r="CU38" s="50">
        <f>-(CU$35+CU$36+CU$37)*RetailGenVacancy</f>
        <v/>
      </c>
      <c r="CV38" s="50">
        <f>-(CV$35+CV$36+CV$37)*RetailGenVacancy</f>
        <v/>
      </c>
      <c r="CW38" s="50">
        <f>-(CW$35+CW$36+CW$37)*RetailGenVacancy</f>
        <v/>
      </c>
      <c r="CX38" s="50">
        <f>-(CX$35+CX$36+CX$37)*RetailGenVacancy</f>
        <v/>
      </c>
      <c r="CY38" s="50">
        <f>-(CY$35+CY$36+CY$37)*RetailGenVacancy</f>
        <v/>
      </c>
      <c r="CZ38" s="50">
        <f>-(CZ$35+CZ$36+CZ$37)*RetailGenVacancy</f>
        <v/>
      </c>
      <c r="DA38" s="50">
        <f>-(DA$35+DA$36+DA$37)*RetailGenVacancy</f>
        <v/>
      </c>
      <c r="DB38" s="50">
        <f>-(DB$35+DB$36+DB$37)*RetailGenVacancy</f>
        <v/>
      </c>
      <c r="DC38" s="50">
        <f>-(DC$35+DC$36+DC$37)*RetailGenVacancy</f>
        <v/>
      </c>
      <c r="DD38" s="50">
        <f>-(DD$35+DD$36+DD$37)*RetailGenVacancy</f>
        <v/>
      </c>
      <c r="DE38" s="50">
        <f>-(DE$35+DE$36+DE$37)*RetailGenVacancy</f>
        <v/>
      </c>
      <c r="DF38" s="50">
        <f>-(DF$35+DF$36+DF$37)*RetailGenVacancy</f>
        <v/>
      </c>
      <c r="DG38" s="50">
        <f>-(DG$35+DG$36+DG$37)*RetailGenVacancy</f>
        <v/>
      </c>
      <c r="DH38" s="50">
        <f>-(DH$35+DH$36+DH$37)*RetailGenVacancy</f>
        <v/>
      </c>
      <c r="DI38" s="50">
        <f>-(DI$35+DI$36+DI$37)*RetailGenVacancy</f>
        <v/>
      </c>
      <c r="DJ38" s="50">
        <f>-(DJ$35+DJ$36+DJ$37)*RetailGenVacancy</f>
        <v/>
      </c>
      <c r="DK38" s="50">
        <f>-(DK$35+DK$36+DK$37)*RetailGenVacancy</f>
        <v/>
      </c>
      <c r="DL38" s="50">
        <f>-(DL$35+DL$36+DL$37)*RetailGenVacancy</f>
        <v/>
      </c>
      <c r="DM38" s="50">
        <f>-(DM$35+DM$36+DM$37)*RetailGenVacancy</f>
        <v/>
      </c>
      <c r="DN38" s="50">
        <f>-(DN$35+DN$36+DN$37)*RetailGenVacancy</f>
        <v/>
      </c>
      <c r="DO38" s="50">
        <f>-(DO$35+DO$36+DO$37)*RetailGenVacancy</f>
        <v/>
      </c>
      <c r="DP38" s="50">
        <f>-(DP$35+DP$36+DP$37)*RetailGenVacancy</f>
        <v/>
      </c>
      <c r="DQ38" s="50">
        <f>-(DQ$35+DQ$36+DQ$37)*RetailGenVacancy</f>
        <v/>
      </c>
      <c r="DR38" s="50">
        <f>-(DR$35+DR$36+DR$37)*RetailGenVacancy</f>
        <v/>
      </c>
      <c r="DS38" s="50">
        <f>-(DS$35+DS$36+DS$37)*RetailGenVacancy</f>
        <v/>
      </c>
      <c r="DT38" s="50">
        <f>-(DT$35+DT$36+DT$37)*RetailGenVacancy</f>
        <v/>
      </c>
    </row>
    <row r="39">
      <c r="A39" s="10" t="inlineStr">
        <is>
          <t>Credit loss / bad debt ($/mo, neg)</t>
        </is>
      </c>
      <c r="E39" s="50">
        <f>-(E$35+E$36+E$37)*(1-RetailGenVacancy)*RetailCreditLoss</f>
        <v/>
      </c>
      <c r="F39" s="50">
        <f>-(F$35+F$36+F$37)*(1-RetailGenVacancy)*RetailCreditLoss</f>
        <v/>
      </c>
      <c r="G39" s="50">
        <f>-(G$35+G$36+G$37)*(1-RetailGenVacancy)*RetailCreditLoss</f>
        <v/>
      </c>
      <c r="H39" s="50">
        <f>-(H$35+H$36+H$37)*(1-RetailGenVacancy)*RetailCreditLoss</f>
        <v/>
      </c>
      <c r="I39" s="50">
        <f>-(I$35+I$36+I$37)*(1-RetailGenVacancy)*RetailCreditLoss</f>
        <v/>
      </c>
      <c r="J39" s="50">
        <f>-(J$35+J$36+J$37)*(1-RetailGenVacancy)*RetailCreditLoss</f>
        <v/>
      </c>
      <c r="K39" s="50">
        <f>-(K$35+K$36+K$37)*(1-RetailGenVacancy)*RetailCreditLoss</f>
        <v/>
      </c>
      <c r="L39" s="50">
        <f>-(L$35+L$36+L$37)*(1-RetailGenVacancy)*RetailCreditLoss</f>
        <v/>
      </c>
      <c r="M39" s="50">
        <f>-(M$35+M$36+M$37)*(1-RetailGenVacancy)*RetailCreditLoss</f>
        <v/>
      </c>
      <c r="N39" s="50">
        <f>-(N$35+N$36+N$37)*(1-RetailGenVacancy)*RetailCreditLoss</f>
        <v/>
      </c>
      <c r="O39" s="50">
        <f>-(O$35+O$36+O$37)*(1-RetailGenVacancy)*RetailCreditLoss</f>
        <v/>
      </c>
      <c r="P39" s="50">
        <f>-(P$35+P$36+P$37)*(1-RetailGenVacancy)*RetailCreditLoss</f>
        <v/>
      </c>
      <c r="Q39" s="50">
        <f>-(Q$35+Q$36+Q$37)*(1-RetailGenVacancy)*RetailCreditLoss</f>
        <v/>
      </c>
      <c r="R39" s="50">
        <f>-(R$35+R$36+R$37)*(1-RetailGenVacancy)*RetailCreditLoss</f>
        <v/>
      </c>
      <c r="S39" s="50">
        <f>-(S$35+S$36+S$37)*(1-RetailGenVacancy)*RetailCreditLoss</f>
        <v/>
      </c>
      <c r="T39" s="50">
        <f>-(T$35+T$36+T$37)*(1-RetailGenVacancy)*RetailCreditLoss</f>
        <v/>
      </c>
      <c r="U39" s="50">
        <f>-(U$35+U$36+U$37)*(1-RetailGenVacancy)*RetailCreditLoss</f>
        <v/>
      </c>
      <c r="V39" s="50">
        <f>-(V$35+V$36+V$37)*(1-RetailGenVacancy)*RetailCreditLoss</f>
        <v/>
      </c>
      <c r="W39" s="50">
        <f>-(W$35+W$36+W$37)*(1-RetailGenVacancy)*RetailCreditLoss</f>
        <v/>
      </c>
      <c r="X39" s="50">
        <f>-(X$35+X$36+X$37)*(1-RetailGenVacancy)*RetailCreditLoss</f>
        <v/>
      </c>
      <c r="Y39" s="50">
        <f>-(Y$35+Y$36+Y$37)*(1-RetailGenVacancy)*RetailCreditLoss</f>
        <v/>
      </c>
      <c r="Z39" s="50">
        <f>-(Z$35+Z$36+Z$37)*(1-RetailGenVacancy)*RetailCreditLoss</f>
        <v/>
      </c>
      <c r="AA39" s="50">
        <f>-(AA$35+AA$36+AA$37)*(1-RetailGenVacancy)*RetailCreditLoss</f>
        <v/>
      </c>
      <c r="AB39" s="50">
        <f>-(AB$35+AB$36+AB$37)*(1-RetailGenVacancy)*RetailCreditLoss</f>
        <v/>
      </c>
      <c r="AC39" s="50">
        <f>-(AC$35+AC$36+AC$37)*(1-RetailGenVacancy)*RetailCreditLoss</f>
        <v/>
      </c>
      <c r="AD39" s="50">
        <f>-(AD$35+AD$36+AD$37)*(1-RetailGenVacancy)*RetailCreditLoss</f>
        <v/>
      </c>
      <c r="AE39" s="50">
        <f>-(AE$35+AE$36+AE$37)*(1-RetailGenVacancy)*RetailCreditLoss</f>
        <v/>
      </c>
      <c r="AF39" s="50">
        <f>-(AF$35+AF$36+AF$37)*(1-RetailGenVacancy)*RetailCreditLoss</f>
        <v/>
      </c>
      <c r="AG39" s="50">
        <f>-(AG$35+AG$36+AG$37)*(1-RetailGenVacancy)*RetailCreditLoss</f>
        <v/>
      </c>
      <c r="AH39" s="50">
        <f>-(AH$35+AH$36+AH$37)*(1-RetailGenVacancy)*RetailCreditLoss</f>
        <v/>
      </c>
      <c r="AI39" s="50">
        <f>-(AI$35+AI$36+AI$37)*(1-RetailGenVacancy)*RetailCreditLoss</f>
        <v/>
      </c>
      <c r="AJ39" s="50">
        <f>-(AJ$35+AJ$36+AJ$37)*(1-RetailGenVacancy)*RetailCreditLoss</f>
        <v/>
      </c>
      <c r="AK39" s="50">
        <f>-(AK$35+AK$36+AK$37)*(1-RetailGenVacancy)*RetailCreditLoss</f>
        <v/>
      </c>
      <c r="AL39" s="50">
        <f>-(AL$35+AL$36+AL$37)*(1-RetailGenVacancy)*RetailCreditLoss</f>
        <v/>
      </c>
      <c r="AM39" s="50">
        <f>-(AM$35+AM$36+AM$37)*(1-RetailGenVacancy)*RetailCreditLoss</f>
        <v/>
      </c>
      <c r="AN39" s="50">
        <f>-(AN$35+AN$36+AN$37)*(1-RetailGenVacancy)*RetailCreditLoss</f>
        <v/>
      </c>
      <c r="AO39" s="50">
        <f>-(AO$35+AO$36+AO$37)*(1-RetailGenVacancy)*RetailCreditLoss</f>
        <v/>
      </c>
      <c r="AP39" s="50">
        <f>-(AP$35+AP$36+AP$37)*(1-RetailGenVacancy)*RetailCreditLoss</f>
        <v/>
      </c>
      <c r="AQ39" s="50">
        <f>-(AQ$35+AQ$36+AQ$37)*(1-RetailGenVacancy)*RetailCreditLoss</f>
        <v/>
      </c>
      <c r="AR39" s="50">
        <f>-(AR$35+AR$36+AR$37)*(1-RetailGenVacancy)*RetailCreditLoss</f>
        <v/>
      </c>
      <c r="AS39" s="50">
        <f>-(AS$35+AS$36+AS$37)*(1-RetailGenVacancy)*RetailCreditLoss</f>
        <v/>
      </c>
      <c r="AT39" s="50">
        <f>-(AT$35+AT$36+AT$37)*(1-RetailGenVacancy)*RetailCreditLoss</f>
        <v/>
      </c>
      <c r="AU39" s="50">
        <f>-(AU$35+AU$36+AU$37)*(1-RetailGenVacancy)*RetailCreditLoss</f>
        <v/>
      </c>
      <c r="AV39" s="50">
        <f>-(AV$35+AV$36+AV$37)*(1-RetailGenVacancy)*RetailCreditLoss</f>
        <v/>
      </c>
      <c r="AW39" s="50">
        <f>-(AW$35+AW$36+AW$37)*(1-RetailGenVacancy)*RetailCreditLoss</f>
        <v/>
      </c>
      <c r="AX39" s="50">
        <f>-(AX$35+AX$36+AX$37)*(1-RetailGenVacancy)*RetailCreditLoss</f>
        <v/>
      </c>
      <c r="AY39" s="50">
        <f>-(AY$35+AY$36+AY$37)*(1-RetailGenVacancy)*RetailCreditLoss</f>
        <v/>
      </c>
      <c r="AZ39" s="50">
        <f>-(AZ$35+AZ$36+AZ$37)*(1-RetailGenVacancy)*RetailCreditLoss</f>
        <v/>
      </c>
      <c r="BA39" s="50">
        <f>-(BA$35+BA$36+BA$37)*(1-RetailGenVacancy)*RetailCreditLoss</f>
        <v/>
      </c>
      <c r="BB39" s="50">
        <f>-(BB$35+BB$36+BB$37)*(1-RetailGenVacancy)*RetailCreditLoss</f>
        <v/>
      </c>
      <c r="BC39" s="50">
        <f>-(BC$35+BC$36+BC$37)*(1-RetailGenVacancy)*RetailCreditLoss</f>
        <v/>
      </c>
      <c r="BD39" s="50">
        <f>-(BD$35+BD$36+BD$37)*(1-RetailGenVacancy)*RetailCreditLoss</f>
        <v/>
      </c>
      <c r="BE39" s="50">
        <f>-(BE$35+BE$36+BE$37)*(1-RetailGenVacancy)*RetailCreditLoss</f>
        <v/>
      </c>
      <c r="BF39" s="50">
        <f>-(BF$35+BF$36+BF$37)*(1-RetailGenVacancy)*RetailCreditLoss</f>
        <v/>
      </c>
      <c r="BG39" s="50">
        <f>-(BG$35+BG$36+BG$37)*(1-RetailGenVacancy)*RetailCreditLoss</f>
        <v/>
      </c>
      <c r="BH39" s="50">
        <f>-(BH$35+BH$36+BH$37)*(1-RetailGenVacancy)*RetailCreditLoss</f>
        <v/>
      </c>
      <c r="BI39" s="50">
        <f>-(BI$35+BI$36+BI$37)*(1-RetailGenVacancy)*RetailCreditLoss</f>
        <v/>
      </c>
      <c r="BJ39" s="50">
        <f>-(BJ$35+BJ$36+BJ$37)*(1-RetailGenVacancy)*RetailCreditLoss</f>
        <v/>
      </c>
      <c r="BK39" s="50">
        <f>-(BK$35+BK$36+BK$37)*(1-RetailGenVacancy)*RetailCreditLoss</f>
        <v/>
      </c>
      <c r="BL39" s="50">
        <f>-(BL$35+BL$36+BL$37)*(1-RetailGenVacancy)*RetailCreditLoss</f>
        <v/>
      </c>
      <c r="BM39" s="50">
        <f>-(BM$35+BM$36+BM$37)*(1-RetailGenVacancy)*RetailCreditLoss</f>
        <v/>
      </c>
      <c r="BN39" s="50">
        <f>-(BN$35+BN$36+BN$37)*(1-RetailGenVacancy)*RetailCreditLoss</f>
        <v/>
      </c>
      <c r="BO39" s="50">
        <f>-(BO$35+BO$36+BO$37)*(1-RetailGenVacancy)*RetailCreditLoss</f>
        <v/>
      </c>
      <c r="BP39" s="50">
        <f>-(BP$35+BP$36+BP$37)*(1-RetailGenVacancy)*RetailCreditLoss</f>
        <v/>
      </c>
      <c r="BQ39" s="50">
        <f>-(BQ$35+BQ$36+BQ$37)*(1-RetailGenVacancy)*RetailCreditLoss</f>
        <v/>
      </c>
      <c r="BR39" s="50">
        <f>-(BR$35+BR$36+BR$37)*(1-RetailGenVacancy)*RetailCreditLoss</f>
        <v/>
      </c>
      <c r="BS39" s="50">
        <f>-(BS$35+BS$36+BS$37)*(1-RetailGenVacancy)*RetailCreditLoss</f>
        <v/>
      </c>
      <c r="BT39" s="50">
        <f>-(BT$35+BT$36+BT$37)*(1-RetailGenVacancy)*RetailCreditLoss</f>
        <v/>
      </c>
      <c r="BU39" s="50">
        <f>-(BU$35+BU$36+BU$37)*(1-RetailGenVacancy)*RetailCreditLoss</f>
        <v/>
      </c>
      <c r="BV39" s="50">
        <f>-(BV$35+BV$36+BV$37)*(1-RetailGenVacancy)*RetailCreditLoss</f>
        <v/>
      </c>
      <c r="BW39" s="50">
        <f>-(BW$35+BW$36+BW$37)*(1-RetailGenVacancy)*RetailCreditLoss</f>
        <v/>
      </c>
      <c r="BX39" s="50">
        <f>-(BX$35+BX$36+BX$37)*(1-RetailGenVacancy)*RetailCreditLoss</f>
        <v/>
      </c>
      <c r="BY39" s="50">
        <f>-(BY$35+BY$36+BY$37)*(1-RetailGenVacancy)*RetailCreditLoss</f>
        <v/>
      </c>
      <c r="BZ39" s="50">
        <f>-(BZ$35+BZ$36+BZ$37)*(1-RetailGenVacancy)*RetailCreditLoss</f>
        <v/>
      </c>
      <c r="CA39" s="50">
        <f>-(CA$35+CA$36+CA$37)*(1-RetailGenVacancy)*RetailCreditLoss</f>
        <v/>
      </c>
      <c r="CB39" s="50">
        <f>-(CB$35+CB$36+CB$37)*(1-RetailGenVacancy)*RetailCreditLoss</f>
        <v/>
      </c>
      <c r="CC39" s="50">
        <f>-(CC$35+CC$36+CC$37)*(1-RetailGenVacancy)*RetailCreditLoss</f>
        <v/>
      </c>
      <c r="CD39" s="50">
        <f>-(CD$35+CD$36+CD$37)*(1-RetailGenVacancy)*RetailCreditLoss</f>
        <v/>
      </c>
      <c r="CE39" s="50">
        <f>-(CE$35+CE$36+CE$37)*(1-RetailGenVacancy)*RetailCreditLoss</f>
        <v/>
      </c>
      <c r="CF39" s="50">
        <f>-(CF$35+CF$36+CF$37)*(1-RetailGenVacancy)*RetailCreditLoss</f>
        <v/>
      </c>
      <c r="CG39" s="50">
        <f>-(CG$35+CG$36+CG$37)*(1-RetailGenVacancy)*RetailCreditLoss</f>
        <v/>
      </c>
      <c r="CH39" s="50">
        <f>-(CH$35+CH$36+CH$37)*(1-RetailGenVacancy)*RetailCreditLoss</f>
        <v/>
      </c>
      <c r="CI39" s="50">
        <f>-(CI$35+CI$36+CI$37)*(1-RetailGenVacancy)*RetailCreditLoss</f>
        <v/>
      </c>
      <c r="CJ39" s="50">
        <f>-(CJ$35+CJ$36+CJ$37)*(1-RetailGenVacancy)*RetailCreditLoss</f>
        <v/>
      </c>
      <c r="CK39" s="50">
        <f>-(CK$35+CK$36+CK$37)*(1-RetailGenVacancy)*RetailCreditLoss</f>
        <v/>
      </c>
      <c r="CL39" s="50">
        <f>-(CL$35+CL$36+CL$37)*(1-RetailGenVacancy)*RetailCreditLoss</f>
        <v/>
      </c>
      <c r="CM39" s="50">
        <f>-(CM$35+CM$36+CM$37)*(1-RetailGenVacancy)*RetailCreditLoss</f>
        <v/>
      </c>
      <c r="CN39" s="50">
        <f>-(CN$35+CN$36+CN$37)*(1-RetailGenVacancy)*RetailCreditLoss</f>
        <v/>
      </c>
      <c r="CO39" s="50">
        <f>-(CO$35+CO$36+CO$37)*(1-RetailGenVacancy)*RetailCreditLoss</f>
        <v/>
      </c>
      <c r="CP39" s="50">
        <f>-(CP$35+CP$36+CP$37)*(1-RetailGenVacancy)*RetailCreditLoss</f>
        <v/>
      </c>
      <c r="CQ39" s="50">
        <f>-(CQ$35+CQ$36+CQ$37)*(1-RetailGenVacancy)*RetailCreditLoss</f>
        <v/>
      </c>
      <c r="CR39" s="50">
        <f>-(CR$35+CR$36+CR$37)*(1-RetailGenVacancy)*RetailCreditLoss</f>
        <v/>
      </c>
      <c r="CS39" s="50">
        <f>-(CS$35+CS$36+CS$37)*(1-RetailGenVacancy)*RetailCreditLoss</f>
        <v/>
      </c>
      <c r="CT39" s="50">
        <f>-(CT$35+CT$36+CT$37)*(1-RetailGenVacancy)*RetailCreditLoss</f>
        <v/>
      </c>
      <c r="CU39" s="50">
        <f>-(CU$35+CU$36+CU$37)*(1-RetailGenVacancy)*RetailCreditLoss</f>
        <v/>
      </c>
      <c r="CV39" s="50">
        <f>-(CV$35+CV$36+CV$37)*(1-RetailGenVacancy)*RetailCreditLoss</f>
        <v/>
      </c>
      <c r="CW39" s="50">
        <f>-(CW$35+CW$36+CW$37)*(1-RetailGenVacancy)*RetailCreditLoss</f>
        <v/>
      </c>
      <c r="CX39" s="50">
        <f>-(CX$35+CX$36+CX$37)*(1-RetailGenVacancy)*RetailCreditLoss</f>
        <v/>
      </c>
      <c r="CY39" s="50">
        <f>-(CY$35+CY$36+CY$37)*(1-RetailGenVacancy)*RetailCreditLoss</f>
        <v/>
      </c>
      <c r="CZ39" s="50">
        <f>-(CZ$35+CZ$36+CZ$37)*(1-RetailGenVacancy)*RetailCreditLoss</f>
        <v/>
      </c>
      <c r="DA39" s="50">
        <f>-(DA$35+DA$36+DA$37)*(1-RetailGenVacancy)*RetailCreditLoss</f>
        <v/>
      </c>
      <c r="DB39" s="50">
        <f>-(DB$35+DB$36+DB$37)*(1-RetailGenVacancy)*RetailCreditLoss</f>
        <v/>
      </c>
      <c r="DC39" s="50">
        <f>-(DC$35+DC$36+DC$37)*(1-RetailGenVacancy)*RetailCreditLoss</f>
        <v/>
      </c>
      <c r="DD39" s="50">
        <f>-(DD$35+DD$36+DD$37)*(1-RetailGenVacancy)*RetailCreditLoss</f>
        <v/>
      </c>
      <c r="DE39" s="50">
        <f>-(DE$35+DE$36+DE$37)*(1-RetailGenVacancy)*RetailCreditLoss</f>
        <v/>
      </c>
      <c r="DF39" s="50">
        <f>-(DF$35+DF$36+DF$37)*(1-RetailGenVacancy)*RetailCreditLoss</f>
        <v/>
      </c>
      <c r="DG39" s="50">
        <f>-(DG$35+DG$36+DG$37)*(1-RetailGenVacancy)*RetailCreditLoss</f>
        <v/>
      </c>
      <c r="DH39" s="50">
        <f>-(DH$35+DH$36+DH$37)*(1-RetailGenVacancy)*RetailCreditLoss</f>
        <v/>
      </c>
      <c r="DI39" s="50">
        <f>-(DI$35+DI$36+DI$37)*(1-RetailGenVacancy)*RetailCreditLoss</f>
        <v/>
      </c>
      <c r="DJ39" s="50">
        <f>-(DJ$35+DJ$36+DJ$37)*(1-RetailGenVacancy)*RetailCreditLoss</f>
        <v/>
      </c>
      <c r="DK39" s="50">
        <f>-(DK$35+DK$36+DK$37)*(1-RetailGenVacancy)*RetailCreditLoss</f>
        <v/>
      </c>
      <c r="DL39" s="50">
        <f>-(DL$35+DL$36+DL$37)*(1-RetailGenVacancy)*RetailCreditLoss</f>
        <v/>
      </c>
      <c r="DM39" s="50">
        <f>-(DM$35+DM$36+DM$37)*(1-RetailGenVacancy)*RetailCreditLoss</f>
        <v/>
      </c>
      <c r="DN39" s="50">
        <f>-(DN$35+DN$36+DN$37)*(1-RetailGenVacancy)*RetailCreditLoss</f>
        <v/>
      </c>
      <c r="DO39" s="50">
        <f>-(DO$35+DO$36+DO$37)*(1-RetailGenVacancy)*RetailCreditLoss</f>
        <v/>
      </c>
      <c r="DP39" s="50">
        <f>-(DP$35+DP$36+DP$37)*(1-RetailGenVacancy)*RetailCreditLoss</f>
        <v/>
      </c>
      <c r="DQ39" s="50">
        <f>-(DQ$35+DQ$36+DQ$37)*(1-RetailGenVacancy)*RetailCreditLoss</f>
        <v/>
      </c>
      <c r="DR39" s="50">
        <f>-(DR$35+DR$36+DR$37)*(1-RetailGenVacancy)*RetailCreditLoss</f>
        <v/>
      </c>
      <c r="DS39" s="50">
        <f>-(DS$35+DS$36+DS$37)*(1-RetailGenVacancy)*RetailCreditLoss</f>
        <v/>
      </c>
      <c r="DT39" s="50">
        <f>-(DT$35+DT$36+DT$37)*(1-RetailGenVacancy)*RetailCreditLoss</f>
        <v/>
      </c>
    </row>
    <row r="40">
      <c r="A40" s="3" t="inlineStr">
        <is>
          <t>Retail EGI ($/mo)</t>
        </is>
      </c>
      <c r="E40" s="60">
        <f>E$35+E$36+E$37+E$38+E$39</f>
        <v/>
      </c>
      <c r="F40" s="60">
        <f>F$35+F$36+F$37+F$38+F$39</f>
        <v/>
      </c>
      <c r="G40" s="60">
        <f>G$35+G$36+G$37+G$38+G$39</f>
        <v/>
      </c>
      <c r="H40" s="60">
        <f>H$35+H$36+H$37+H$38+H$39</f>
        <v/>
      </c>
      <c r="I40" s="60">
        <f>I$35+I$36+I$37+I$38+I$39</f>
        <v/>
      </c>
      <c r="J40" s="60">
        <f>J$35+J$36+J$37+J$38+J$39</f>
        <v/>
      </c>
      <c r="K40" s="60">
        <f>K$35+K$36+K$37+K$38+K$39</f>
        <v/>
      </c>
      <c r="L40" s="60">
        <f>L$35+L$36+L$37+L$38+L$39</f>
        <v/>
      </c>
      <c r="M40" s="60">
        <f>M$35+M$36+M$37+M$38+M$39</f>
        <v/>
      </c>
      <c r="N40" s="60">
        <f>N$35+N$36+N$37+N$38+N$39</f>
        <v/>
      </c>
      <c r="O40" s="60">
        <f>O$35+O$36+O$37+O$38+O$39</f>
        <v/>
      </c>
      <c r="P40" s="60">
        <f>P$35+P$36+P$37+P$38+P$39</f>
        <v/>
      </c>
      <c r="Q40" s="60">
        <f>Q$35+Q$36+Q$37+Q$38+Q$39</f>
        <v/>
      </c>
      <c r="R40" s="60">
        <f>R$35+R$36+R$37+R$38+R$39</f>
        <v/>
      </c>
      <c r="S40" s="60">
        <f>S$35+S$36+S$37+S$38+S$39</f>
        <v/>
      </c>
      <c r="T40" s="60">
        <f>T$35+T$36+T$37+T$38+T$39</f>
        <v/>
      </c>
      <c r="U40" s="60">
        <f>U$35+U$36+U$37+U$38+U$39</f>
        <v/>
      </c>
      <c r="V40" s="60">
        <f>V$35+V$36+V$37+V$38+V$39</f>
        <v/>
      </c>
      <c r="W40" s="60">
        <f>W$35+W$36+W$37+W$38+W$39</f>
        <v/>
      </c>
      <c r="X40" s="60">
        <f>X$35+X$36+X$37+X$38+X$39</f>
        <v/>
      </c>
      <c r="Y40" s="60">
        <f>Y$35+Y$36+Y$37+Y$38+Y$39</f>
        <v/>
      </c>
      <c r="Z40" s="60">
        <f>Z$35+Z$36+Z$37+Z$38+Z$39</f>
        <v/>
      </c>
      <c r="AA40" s="60">
        <f>AA$35+AA$36+AA$37+AA$38+AA$39</f>
        <v/>
      </c>
      <c r="AB40" s="60">
        <f>AB$35+AB$36+AB$37+AB$38+AB$39</f>
        <v/>
      </c>
      <c r="AC40" s="60">
        <f>AC$35+AC$36+AC$37+AC$38+AC$39</f>
        <v/>
      </c>
      <c r="AD40" s="60">
        <f>AD$35+AD$36+AD$37+AD$38+AD$39</f>
        <v/>
      </c>
      <c r="AE40" s="60">
        <f>AE$35+AE$36+AE$37+AE$38+AE$39</f>
        <v/>
      </c>
      <c r="AF40" s="60">
        <f>AF$35+AF$36+AF$37+AF$38+AF$39</f>
        <v/>
      </c>
      <c r="AG40" s="60">
        <f>AG$35+AG$36+AG$37+AG$38+AG$39</f>
        <v/>
      </c>
      <c r="AH40" s="60">
        <f>AH$35+AH$36+AH$37+AH$38+AH$39</f>
        <v/>
      </c>
      <c r="AI40" s="60">
        <f>AI$35+AI$36+AI$37+AI$38+AI$39</f>
        <v/>
      </c>
      <c r="AJ40" s="60">
        <f>AJ$35+AJ$36+AJ$37+AJ$38+AJ$39</f>
        <v/>
      </c>
      <c r="AK40" s="60">
        <f>AK$35+AK$36+AK$37+AK$38+AK$39</f>
        <v/>
      </c>
      <c r="AL40" s="60">
        <f>AL$35+AL$36+AL$37+AL$38+AL$39</f>
        <v/>
      </c>
      <c r="AM40" s="60">
        <f>AM$35+AM$36+AM$37+AM$38+AM$39</f>
        <v/>
      </c>
      <c r="AN40" s="60">
        <f>AN$35+AN$36+AN$37+AN$38+AN$39</f>
        <v/>
      </c>
      <c r="AO40" s="60">
        <f>AO$35+AO$36+AO$37+AO$38+AO$39</f>
        <v/>
      </c>
      <c r="AP40" s="60">
        <f>AP$35+AP$36+AP$37+AP$38+AP$39</f>
        <v/>
      </c>
      <c r="AQ40" s="60">
        <f>AQ$35+AQ$36+AQ$37+AQ$38+AQ$39</f>
        <v/>
      </c>
      <c r="AR40" s="60">
        <f>AR$35+AR$36+AR$37+AR$38+AR$39</f>
        <v/>
      </c>
      <c r="AS40" s="60">
        <f>AS$35+AS$36+AS$37+AS$38+AS$39</f>
        <v/>
      </c>
      <c r="AT40" s="60">
        <f>AT$35+AT$36+AT$37+AT$38+AT$39</f>
        <v/>
      </c>
      <c r="AU40" s="60">
        <f>AU$35+AU$36+AU$37+AU$38+AU$39</f>
        <v/>
      </c>
      <c r="AV40" s="60">
        <f>AV$35+AV$36+AV$37+AV$38+AV$39</f>
        <v/>
      </c>
      <c r="AW40" s="60">
        <f>AW$35+AW$36+AW$37+AW$38+AW$39</f>
        <v/>
      </c>
      <c r="AX40" s="60">
        <f>AX$35+AX$36+AX$37+AX$38+AX$39</f>
        <v/>
      </c>
      <c r="AY40" s="60">
        <f>AY$35+AY$36+AY$37+AY$38+AY$39</f>
        <v/>
      </c>
      <c r="AZ40" s="60">
        <f>AZ$35+AZ$36+AZ$37+AZ$38+AZ$39</f>
        <v/>
      </c>
      <c r="BA40" s="60">
        <f>BA$35+BA$36+BA$37+BA$38+BA$39</f>
        <v/>
      </c>
      <c r="BB40" s="60">
        <f>BB$35+BB$36+BB$37+BB$38+BB$39</f>
        <v/>
      </c>
      <c r="BC40" s="60">
        <f>BC$35+BC$36+BC$37+BC$38+BC$39</f>
        <v/>
      </c>
      <c r="BD40" s="60">
        <f>BD$35+BD$36+BD$37+BD$38+BD$39</f>
        <v/>
      </c>
      <c r="BE40" s="60">
        <f>BE$35+BE$36+BE$37+BE$38+BE$39</f>
        <v/>
      </c>
      <c r="BF40" s="60">
        <f>BF$35+BF$36+BF$37+BF$38+BF$39</f>
        <v/>
      </c>
      <c r="BG40" s="60">
        <f>BG$35+BG$36+BG$37+BG$38+BG$39</f>
        <v/>
      </c>
      <c r="BH40" s="60">
        <f>BH$35+BH$36+BH$37+BH$38+BH$39</f>
        <v/>
      </c>
      <c r="BI40" s="60">
        <f>BI$35+BI$36+BI$37+BI$38+BI$39</f>
        <v/>
      </c>
      <c r="BJ40" s="60">
        <f>BJ$35+BJ$36+BJ$37+BJ$38+BJ$39</f>
        <v/>
      </c>
      <c r="BK40" s="60">
        <f>BK$35+BK$36+BK$37+BK$38+BK$39</f>
        <v/>
      </c>
      <c r="BL40" s="60">
        <f>BL$35+BL$36+BL$37+BL$38+BL$39</f>
        <v/>
      </c>
      <c r="BM40" s="60">
        <f>BM$35+BM$36+BM$37+BM$38+BM$39</f>
        <v/>
      </c>
      <c r="BN40" s="60">
        <f>BN$35+BN$36+BN$37+BN$38+BN$39</f>
        <v/>
      </c>
      <c r="BO40" s="60">
        <f>BO$35+BO$36+BO$37+BO$38+BO$39</f>
        <v/>
      </c>
      <c r="BP40" s="60">
        <f>BP$35+BP$36+BP$37+BP$38+BP$39</f>
        <v/>
      </c>
      <c r="BQ40" s="60">
        <f>BQ$35+BQ$36+BQ$37+BQ$38+BQ$39</f>
        <v/>
      </c>
      <c r="BR40" s="60">
        <f>BR$35+BR$36+BR$37+BR$38+BR$39</f>
        <v/>
      </c>
      <c r="BS40" s="60">
        <f>BS$35+BS$36+BS$37+BS$38+BS$39</f>
        <v/>
      </c>
      <c r="BT40" s="60">
        <f>BT$35+BT$36+BT$37+BT$38+BT$39</f>
        <v/>
      </c>
      <c r="BU40" s="60">
        <f>BU$35+BU$36+BU$37+BU$38+BU$39</f>
        <v/>
      </c>
      <c r="BV40" s="60">
        <f>BV$35+BV$36+BV$37+BV$38+BV$39</f>
        <v/>
      </c>
      <c r="BW40" s="60">
        <f>BW$35+BW$36+BW$37+BW$38+BW$39</f>
        <v/>
      </c>
      <c r="BX40" s="60">
        <f>BX$35+BX$36+BX$37+BX$38+BX$39</f>
        <v/>
      </c>
      <c r="BY40" s="60">
        <f>BY$35+BY$36+BY$37+BY$38+BY$39</f>
        <v/>
      </c>
      <c r="BZ40" s="60">
        <f>BZ$35+BZ$36+BZ$37+BZ$38+BZ$39</f>
        <v/>
      </c>
      <c r="CA40" s="60">
        <f>CA$35+CA$36+CA$37+CA$38+CA$39</f>
        <v/>
      </c>
      <c r="CB40" s="60">
        <f>CB$35+CB$36+CB$37+CB$38+CB$39</f>
        <v/>
      </c>
      <c r="CC40" s="60">
        <f>CC$35+CC$36+CC$37+CC$38+CC$39</f>
        <v/>
      </c>
      <c r="CD40" s="60">
        <f>CD$35+CD$36+CD$37+CD$38+CD$39</f>
        <v/>
      </c>
      <c r="CE40" s="60">
        <f>CE$35+CE$36+CE$37+CE$38+CE$39</f>
        <v/>
      </c>
      <c r="CF40" s="60">
        <f>CF$35+CF$36+CF$37+CF$38+CF$39</f>
        <v/>
      </c>
      <c r="CG40" s="60">
        <f>CG$35+CG$36+CG$37+CG$38+CG$39</f>
        <v/>
      </c>
      <c r="CH40" s="60">
        <f>CH$35+CH$36+CH$37+CH$38+CH$39</f>
        <v/>
      </c>
      <c r="CI40" s="60">
        <f>CI$35+CI$36+CI$37+CI$38+CI$39</f>
        <v/>
      </c>
      <c r="CJ40" s="60">
        <f>CJ$35+CJ$36+CJ$37+CJ$38+CJ$39</f>
        <v/>
      </c>
      <c r="CK40" s="60">
        <f>CK$35+CK$36+CK$37+CK$38+CK$39</f>
        <v/>
      </c>
      <c r="CL40" s="60">
        <f>CL$35+CL$36+CL$37+CL$38+CL$39</f>
        <v/>
      </c>
      <c r="CM40" s="60">
        <f>CM$35+CM$36+CM$37+CM$38+CM$39</f>
        <v/>
      </c>
      <c r="CN40" s="60">
        <f>CN$35+CN$36+CN$37+CN$38+CN$39</f>
        <v/>
      </c>
      <c r="CO40" s="60">
        <f>CO$35+CO$36+CO$37+CO$38+CO$39</f>
        <v/>
      </c>
      <c r="CP40" s="60">
        <f>CP$35+CP$36+CP$37+CP$38+CP$39</f>
        <v/>
      </c>
      <c r="CQ40" s="60">
        <f>CQ$35+CQ$36+CQ$37+CQ$38+CQ$39</f>
        <v/>
      </c>
      <c r="CR40" s="60">
        <f>CR$35+CR$36+CR$37+CR$38+CR$39</f>
        <v/>
      </c>
      <c r="CS40" s="60">
        <f>CS$35+CS$36+CS$37+CS$38+CS$39</f>
        <v/>
      </c>
      <c r="CT40" s="60">
        <f>CT$35+CT$36+CT$37+CT$38+CT$39</f>
        <v/>
      </c>
      <c r="CU40" s="60">
        <f>CU$35+CU$36+CU$37+CU$38+CU$39</f>
        <v/>
      </c>
      <c r="CV40" s="60">
        <f>CV$35+CV$36+CV$37+CV$38+CV$39</f>
        <v/>
      </c>
      <c r="CW40" s="60">
        <f>CW$35+CW$36+CW$37+CW$38+CW$39</f>
        <v/>
      </c>
      <c r="CX40" s="60">
        <f>CX$35+CX$36+CX$37+CX$38+CX$39</f>
        <v/>
      </c>
      <c r="CY40" s="60">
        <f>CY$35+CY$36+CY$37+CY$38+CY$39</f>
        <v/>
      </c>
      <c r="CZ40" s="60">
        <f>CZ$35+CZ$36+CZ$37+CZ$38+CZ$39</f>
        <v/>
      </c>
      <c r="DA40" s="60">
        <f>DA$35+DA$36+DA$37+DA$38+DA$39</f>
        <v/>
      </c>
      <c r="DB40" s="60">
        <f>DB$35+DB$36+DB$37+DB$38+DB$39</f>
        <v/>
      </c>
      <c r="DC40" s="60">
        <f>DC$35+DC$36+DC$37+DC$38+DC$39</f>
        <v/>
      </c>
      <c r="DD40" s="60">
        <f>DD$35+DD$36+DD$37+DD$38+DD$39</f>
        <v/>
      </c>
      <c r="DE40" s="60">
        <f>DE$35+DE$36+DE$37+DE$38+DE$39</f>
        <v/>
      </c>
      <c r="DF40" s="60">
        <f>DF$35+DF$36+DF$37+DF$38+DF$39</f>
        <v/>
      </c>
      <c r="DG40" s="60">
        <f>DG$35+DG$36+DG$37+DG$38+DG$39</f>
        <v/>
      </c>
      <c r="DH40" s="60">
        <f>DH$35+DH$36+DH$37+DH$38+DH$39</f>
        <v/>
      </c>
      <c r="DI40" s="60">
        <f>DI$35+DI$36+DI$37+DI$38+DI$39</f>
        <v/>
      </c>
      <c r="DJ40" s="60">
        <f>DJ$35+DJ$36+DJ$37+DJ$38+DJ$39</f>
        <v/>
      </c>
      <c r="DK40" s="60">
        <f>DK$35+DK$36+DK$37+DK$38+DK$39</f>
        <v/>
      </c>
      <c r="DL40" s="60">
        <f>DL$35+DL$36+DL$37+DL$38+DL$39</f>
        <v/>
      </c>
      <c r="DM40" s="60">
        <f>DM$35+DM$36+DM$37+DM$38+DM$39</f>
        <v/>
      </c>
      <c r="DN40" s="60">
        <f>DN$35+DN$36+DN$37+DN$38+DN$39</f>
        <v/>
      </c>
      <c r="DO40" s="60">
        <f>DO$35+DO$36+DO$37+DO$38+DO$39</f>
        <v/>
      </c>
      <c r="DP40" s="60">
        <f>DP$35+DP$36+DP$37+DP$38+DP$39</f>
        <v/>
      </c>
      <c r="DQ40" s="60">
        <f>DQ$35+DQ$36+DQ$37+DQ$38+DQ$39</f>
        <v/>
      </c>
      <c r="DR40" s="60">
        <f>DR$35+DR$36+DR$37+DR$38+DR$39</f>
        <v/>
      </c>
      <c r="DS40" s="60">
        <f>DS$35+DS$36+DS$37+DS$38+DS$39</f>
        <v/>
      </c>
      <c r="DT40" s="60">
        <f>DT$35+DT$36+DT$37+DT$38+DT$39</f>
        <v/>
      </c>
    </row>
    <row r="41">
      <c r="A41" s="10" t="inlineStr">
        <is>
          <t>Rollover TI/LC ($, at re-let)</t>
        </is>
      </c>
      <c r="E41" s="50">
        <f>(IF(Assumptions!E$72=$D$17+RetailDowntime,((1-RetailRenewalProb)*NewLeaseTI+RetailRenewalProb*RenewalTI)*$B$17*INDEX(Cum_TILC,1,E$77)+LeasingCommissionPct*$E$17*$B$17*INDEX(Cum_TILC,1,E$77),0)+IF(Assumptions!E$72=$D$18+RetailDowntime,((1-RetailRenewalProb)*NewLeaseTI+RetailRenewalProb*RenewalTI)*$B$18*INDEX(Cum_TILC,1,E$77)+LeasingCommissionPct*$E$18*$B$18*INDEX(Cum_TILC,1,E$77),0)+IF(Assumptions!E$72=$D$19+RetailDowntime,((1-RetailRenewalProb)*NewLeaseTI+RetailRenewalProb*RenewalTI)*$B$19*INDEX(Cum_TILC,1,E$77)+LeasingCommissionPct*$E$19*$B$19*INDEX(Cum_TILC,1,E$77),0)+IF(Assumptions!E$72=$D$20+RetailDowntime,((1-RetailRenewalProb)*NewLeaseTI+RetailRenewalProb*RenewalTI)*$B$20*INDEX(Cum_TILC,1,E$77)+LeasingCommissionPct*$E$20*$B$20*INDEX(Cum_TILC,1,E$77),0)+IF(Assumptions!E$72=$D$21+RetailDowntime,((1-RetailRenewalProb)*NewLeaseTI+RetailRenewalProb*RenewalTI)*$B$21*INDEX(Cum_TILC,1,E$77)+LeasingCommissionPct*$E$21*$B$21*INDEX(Cum_TILC,1,E$77),0)+IF(Assumptions!E$72=$D$22+RetailDowntime,((1-RetailRenewalProb)*NewLeaseTI+RetailRenewalProb*RenewalTI)*$B$22*INDEX(Cum_TILC,1,E$77)+LeasingCommissionPct*$E$22*$B$22*INDEX(Cum_TILC,1,E$77),0))*Assumptions!E$74</f>
        <v/>
      </c>
      <c r="F41" s="50">
        <f>(IF(Assumptions!F$72=$D$17+RetailDowntime,((1-RetailRenewalProb)*NewLeaseTI+RetailRenewalProb*RenewalTI)*$B$17*INDEX(Cum_TILC,1,F$77)+LeasingCommissionPct*$E$17*$B$17*INDEX(Cum_TILC,1,F$77),0)+IF(Assumptions!F$72=$D$18+RetailDowntime,((1-RetailRenewalProb)*NewLeaseTI+RetailRenewalProb*RenewalTI)*$B$18*INDEX(Cum_TILC,1,F$77)+LeasingCommissionPct*$E$18*$B$18*INDEX(Cum_TILC,1,F$77),0)+IF(Assumptions!F$72=$D$19+RetailDowntime,((1-RetailRenewalProb)*NewLeaseTI+RetailRenewalProb*RenewalTI)*$B$19*INDEX(Cum_TILC,1,F$77)+LeasingCommissionPct*$E$19*$B$19*INDEX(Cum_TILC,1,F$77),0)+IF(Assumptions!F$72=$D$20+RetailDowntime,((1-RetailRenewalProb)*NewLeaseTI+RetailRenewalProb*RenewalTI)*$B$20*INDEX(Cum_TILC,1,F$77)+LeasingCommissionPct*$E$20*$B$20*INDEX(Cum_TILC,1,F$77),0)+IF(Assumptions!F$72=$D$21+RetailDowntime,((1-RetailRenewalProb)*NewLeaseTI+RetailRenewalProb*RenewalTI)*$B$21*INDEX(Cum_TILC,1,F$77)+LeasingCommissionPct*$E$21*$B$21*INDEX(Cum_TILC,1,F$77),0)+IF(Assumptions!F$72=$D$22+RetailDowntime,((1-RetailRenewalProb)*NewLeaseTI+RetailRenewalProb*RenewalTI)*$B$22*INDEX(Cum_TILC,1,F$77)+LeasingCommissionPct*$E$22*$B$22*INDEX(Cum_TILC,1,F$77),0))*Assumptions!F$74</f>
        <v/>
      </c>
      <c r="G41" s="50">
        <f>(IF(Assumptions!G$72=$D$17+RetailDowntime,((1-RetailRenewalProb)*NewLeaseTI+RetailRenewalProb*RenewalTI)*$B$17*INDEX(Cum_TILC,1,G$77)+LeasingCommissionPct*$E$17*$B$17*INDEX(Cum_TILC,1,G$77),0)+IF(Assumptions!G$72=$D$18+RetailDowntime,((1-RetailRenewalProb)*NewLeaseTI+RetailRenewalProb*RenewalTI)*$B$18*INDEX(Cum_TILC,1,G$77)+LeasingCommissionPct*$E$18*$B$18*INDEX(Cum_TILC,1,G$77),0)+IF(Assumptions!G$72=$D$19+RetailDowntime,((1-RetailRenewalProb)*NewLeaseTI+RetailRenewalProb*RenewalTI)*$B$19*INDEX(Cum_TILC,1,G$77)+LeasingCommissionPct*$E$19*$B$19*INDEX(Cum_TILC,1,G$77),0)+IF(Assumptions!G$72=$D$20+RetailDowntime,((1-RetailRenewalProb)*NewLeaseTI+RetailRenewalProb*RenewalTI)*$B$20*INDEX(Cum_TILC,1,G$77)+LeasingCommissionPct*$E$20*$B$20*INDEX(Cum_TILC,1,G$77),0)+IF(Assumptions!G$72=$D$21+RetailDowntime,((1-RetailRenewalProb)*NewLeaseTI+RetailRenewalProb*RenewalTI)*$B$21*INDEX(Cum_TILC,1,G$77)+LeasingCommissionPct*$E$21*$B$21*INDEX(Cum_TILC,1,G$77),0)+IF(Assumptions!G$72=$D$22+RetailDowntime,((1-RetailRenewalProb)*NewLeaseTI+RetailRenewalProb*RenewalTI)*$B$22*INDEX(Cum_TILC,1,G$77)+LeasingCommissionPct*$E$22*$B$22*INDEX(Cum_TILC,1,G$77),0))*Assumptions!G$74</f>
        <v/>
      </c>
      <c r="H41" s="50">
        <f>(IF(Assumptions!H$72=$D$17+RetailDowntime,((1-RetailRenewalProb)*NewLeaseTI+RetailRenewalProb*RenewalTI)*$B$17*INDEX(Cum_TILC,1,H$77)+LeasingCommissionPct*$E$17*$B$17*INDEX(Cum_TILC,1,H$77),0)+IF(Assumptions!H$72=$D$18+RetailDowntime,((1-RetailRenewalProb)*NewLeaseTI+RetailRenewalProb*RenewalTI)*$B$18*INDEX(Cum_TILC,1,H$77)+LeasingCommissionPct*$E$18*$B$18*INDEX(Cum_TILC,1,H$77),0)+IF(Assumptions!H$72=$D$19+RetailDowntime,((1-RetailRenewalProb)*NewLeaseTI+RetailRenewalProb*RenewalTI)*$B$19*INDEX(Cum_TILC,1,H$77)+LeasingCommissionPct*$E$19*$B$19*INDEX(Cum_TILC,1,H$77),0)+IF(Assumptions!H$72=$D$20+RetailDowntime,((1-RetailRenewalProb)*NewLeaseTI+RetailRenewalProb*RenewalTI)*$B$20*INDEX(Cum_TILC,1,H$77)+LeasingCommissionPct*$E$20*$B$20*INDEX(Cum_TILC,1,H$77),0)+IF(Assumptions!H$72=$D$21+RetailDowntime,((1-RetailRenewalProb)*NewLeaseTI+RetailRenewalProb*RenewalTI)*$B$21*INDEX(Cum_TILC,1,H$77)+LeasingCommissionPct*$E$21*$B$21*INDEX(Cum_TILC,1,H$77),0)+IF(Assumptions!H$72=$D$22+RetailDowntime,((1-RetailRenewalProb)*NewLeaseTI+RetailRenewalProb*RenewalTI)*$B$22*INDEX(Cum_TILC,1,H$77)+LeasingCommissionPct*$E$22*$B$22*INDEX(Cum_TILC,1,H$77),0))*Assumptions!H$74</f>
        <v/>
      </c>
      <c r="I41" s="50">
        <f>(IF(Assumptions!I$72=$D$17+RetailDowntime,((1-RetailRenewalProb)*NewLeaseTI+RetailRenewalProb*RenewalTI)*$B$17*INDEX(Cum_TILC,1,I$77)+LeasingCommissionPct*$E$17*$B$17*INDEX(Cum_TILC,1,I$77),0)+IF(Assumptions!I$72=$D$18+RetailDowntime,((1-RetailRenewalProb)*NewLeaseTI+RetailRenewalProb*RenewalTI)*$B$18*INDEX(Cum_TILC,1,I$77)+LeasingCommissionPct*$E$18*$B$18*INDEX(Cum_TILC,1,I$77),0)+IF(Assumptions!I$72=$D$19+RetailDowntime,((1-RetailRenewalProb)*NewLeaseTI+RetailRenewalProb*RenewalTI)*$B$19*INDEX(Cum_TILC,1,I$77)+LeasingCommissionPct*$E$19*$B$19*INDEX(Cum_TILC,1,I$77),0)+IF(Assumptions!I$72=$D$20+RetailDowntime,((1-RetailRenewalProb)*NewLeaseTI+RetailRenewalProb*RenewalTI)*$B$20*INDEX(Cum_TILC,1,I$77)+LeasingCommissionPct*$E$20*$B$20*INDEX(Cum_TILC,1,I$77),0)+IF(Assumptions!I$72=$D$21+RetailDowntime,((1-RetailRenewalProb)*NewLeaseTI+RetailRenewalProb*RenewalTI)*$B$21*INDEX(Cum_TILC,1,I$77)+LeasingCommissionPct*$E$21*$B$21*INDEX(Cum_TILC,1,I$77),0)+IF(Assumptions!I$72=$D$22+RetailDowntime,((1-RetailRenewalProb)*NewLeaseTI+RetailRenewalProb*RenewalTI)*$B$22*INDEX(Cum_TILC,1,I$77)+LeasingCommissionPct*$E$22*$B$22*INDEX(Cum_TILC,1,I$77),0))*Assumptions!I$74</f>
        <v/>
      </c>
      <c r="J41" s="50">
        <f>(IF(Assumptions!J$72=$D$17+RetailDowntime,((1-RetailRenewalProb)*NewLeaseTI+RetailRenewalProb*RenewalTI)*$B$17*INDEX(Cum_TILC,1,J$77)+LeasingCommissionPct*$E$17*$B$17*INDEX(Cum_TILC,1,J$77),0)+IF(Assumptions!J$72=$D$18+RetailDowntime,((1-RetailRenewalProb)*NewLeaseTI+RetailRenewalProb*RenewalTI)*$B$18*INDEX(Cum_TILC,1,J$77)+LeasingCommissionPct*$E$18*$B$18*INDEX(Cum_TILC,1,J$77),0)+IF(Assumptions!J$72=$D$19+RetailDowntime,((1-RetailRenewalProb)*NewLeaseTI+RetailRenewalProb*RenewalTI)*$B$19*INDEX(Cum_TILC,1,J$77)+LeasingCommissionPct*$E$19*$B$19*INDEX(Cum_TILC,1,J$77),0)+IF(Assumptions!J$72=$D$20+RetailDowntime,((1-RetailRenewalProb)*NewLeaseTI+RetailRenewalProb*RenewalTI)*$B$20*INDEX(Cum_TILC,1,J$77)+LeasingCommissionPct*$E$20*$B$20*INDEX(Cum_TILC,1,J$77),0)+IF(Assumptions!J$72=$D$21+RetailDowntime,((1-RetailRenewalProb)*NewLeaseTI+RetailRenewalProb*RenewalTI)*$B$21*INDEX(Cum_TILC,1,J$77)+LeasingCommissionPct*$E$21*$B$21*INDEX(Cum_TILC,1,J$77),0)+IF(Assumptions!J$72=$D$22+RetailDowntime,((1-RetailRenewalProb)*NewLeaseTI+RetailRenewalProb*RenewalTI)*$B$22*INDEX(Cum_TILC,1,J$77)+LeasingCommissionPct*$E$22*$B$22*INDEX(Cum_TILC,1,J$77),0))*Assumptions!J$74</f>
        <v/>
      </c>
      <c r="K41" s="50">
        <f>(IF(Assumptions!K$72=$D$17+RetailDowntime,((1-RetailRenewalProb)*NewLeaseTI+RetailRenewalProb*RenewalTI)*$B$17*INDEX(Cum_TILC,1,K$77)+LeasingCommissionPct*$E$17*$B$17*INDEX(Cum_TILC,1,K$77),0)+IF(Assumptions!K$72=$D$18+RetailDowntime,((1-RetailRenewalProb)*NewLeaseTI+RetailRenewalProb*RenewalTI)*$B$18*INDEX(Cum_TILC,1,K$77)+LeasingCommissionPct*$E$18*$B$18*INDEX(Cum_TILC,1,K$77),0)+IF(Assumptions!K$72=$D$19+RetailDowntime,((1-RetailRenewalProb)*NewLeaseTI+RetailRenewalProb*RenewalTI)*$B$19*INDEX(Cum_TILC,1,K$77)+LeasingCommissionPct*$E$19*$B$19*INDEX(Cum_TILC,1,K$77),0)+IF(Assumptions!K$72=$D$20+RetailDowntime,((1-RetailRenewalProb)*NewLeaseTI+RetailRenewalProb*RenewalTI)*$B$20*INDEX(Cum_TILC,1,K$77)+LeasingCommissionPct*$E$20*$B$20*INDEX(Cum_TILC,1,K$77),0)+IF(Assumptions!K$72=$D$21+RetailDowntime,((1-RetailRenewalProb)*NewLeaseTI+RetailRenewalProb*RenewalTI)*$B$21*INDEX(Cum_TILC,1,K$77)+LeasingCommissionPct*$E$21*$B$21*INDEX(Cum_TILC,1,K$77),0)+IF(Assumptions!K$72=$D$22+RetailDowntime,((1-RetailRenewalProb)*NewLeaseTI+RetailRenewalProb*RenewalTI)*$B$22*INDEX(Cum_TILC,1,K$77)+LeasingCommissionPct*$E$22*$B$22*INDEX(Cum_TILC,1,K$77),0))*Assumptions!K$74</f>
        <v/>
      </c>
      <c r="L41" s="50">
        <f>(IF(Assumptions!L$72=$D$17+RetailDowntime,((1-RetailRenewalProb)*NewLeaseTI+RetailRenewalProb*RenewalTI)*$B$17*INDEX(Cum_TILC,1,L$77)+LeasingCommissionPct*$E$17*$B$17*INDEX(Cum_TILC,1,L$77),0)+IF(Assumptions!L$72=$D$18+RetailDowntime,((1-RetailRenewalProb)*NewLeaseTI+RetailRenewalProb*RenewalTI)*$B$18*INDEX(Cum_TILC,1,L$77)+LeasingCommissionPct*$E$18*$B$18*INDEX(Cum_TILC,1,L$77),0)+IF(Assumptions!L$72=$D$19+RetailDowntime,((1-RetailRenewalProb)*NewLeaseTI+RetailRenewalProb*RenewalTI)*$B$19*INDEX(Cum_TILC,1,L$77)+LeasingCommissionPct*$E$19*$B$19*INDEX(Cum_TILC,1,L$77),0)+IF(Assumptions!L$72=$D$20+RetailDowntime,((1-RetailRenewalProb)*NewLeaseTI+RetailRenewalProb*RenewalTI)*$B$20*INDEX(Cum_TILC,1,L$77)+LeasingCommissionPct*$E$20*$B$20*INDEX(Cum_TILC,1,L$77),0)+IF(Assumptions!L$72=$D$21+RetailDowntime,((1-RetailRenewalProb)*NewLeaseTI+RetailRenewalProb*RenewalTI)*$B$21*INDEX(Cum_TILC,1,L$77)+LeasingCommissionPct*$E$21*$B$21*INDEX(Cum_TILC,1,L$77),0)+IF(Assumptions!L$72=$D$22+RetailDowntime,((1-RetailRenewalProb)*NewLeaseTI+RetailRenewalProb*RenewalTI)*$B$22*INDEX(Cum_TILC,1,L$77)+LeasingCommissionPct*$E$22*$B$22*INDEX(Cum_TILC,1,L$77),0))*Assumptions!L$74</f>
        <v/>
      </c>
      <c r="M41" s="50">
        <f>(IF(Assumptions!M$72=$D$17+RetailDowntime,((1-RetailRenewalProb)*NewLeaseTI+RetailRenewalProb*RenewalTI)*$B$17*INDEX(Cum_TILC,1,M$77)+LeasingCommissionPct*$E$17*$B$17*INDEX(Cum_TILC,1,M$77),0)+IF(Assumptions!M$72=$D$18+RetailDowntime,((1-RetailRenewalProb)*NewLeaseTI+RetailRenewalProb*RenewalTI)*$B$18*INDEX(Cum_TILC,1,M$77)+LeasingCommissionPct*$E$18*$B$18*INDEX(Cum_TILC,1,M$77),0)+IF(Assumptions!M$72=$D$19+RetailDowntime,((1-RetailRenewalProb)*NewLeaseTI+RetailRenewalProb*RenewalTI)*$B$19*INDEX(Cum_TILC,1,M$77)+LeasingCommissionPct*$E$19*$B$19*INDEX(Cum_TILC,1,M$77),0)+IF(Assumptions!M$72=$D$20+RetailDowntime,((1-RetailRenewalProb)*NewLeaseTI+RetailRenewalProb*RenewalTI)*$B$20*INDEX(Cum_TILC,1,M$77)+LeasingCommissionPct*$E$20*$B$20*INDEX(Cum_TILC,1,M$77),0)+IF(Assumptions!M$72=$D$21+RetailDowntime,((1-RetailRenewalProb)*NewLeaseTI+RetailRenewalProb*RenewalTI)*$B$21*INDEX(Cum_TILC,1,M$77)+LeasingCommissionPct*$E$21*$B$21*INDEX(Cum_TILC,1,M$77),0)+IF(Assumptions!M$72=$D$22+RetailDowntime,((1-RetailRenewalProb)*NewLeaseTI+RetailRenewalProb*RenewalTI)*$B$22*INDEX(Cum_TILC,1,M$77)+LeasingCommissionPct*$E$22*$B$22*INDEX(Cum_TILC,1,M$77),0))*Assumptions!M$74</f>
        <v/>
      </c>
      <c r="N41" s="50">
        <f>(IF(Assumptions!N$72=$D$17+RetailDowntime,((1-RetailRenewalProb)*NewLeaseTI+RetailRenewalProb*RenewalTI)*$B$17*INDEX(Cum_TILC,1,N$77)+LeasingCommissionPct*$E$17*$B$17*INDEX(Cum_TILC,1,N$77),0)+IF(Assumptions!N$72=$D$18+RetailDowntime,((1-RetailRenewalProb)*NewLeaseTI+RetailRenewalProb*RenewalTI)*$B$18*INDEX(Cum_TILC,1,N$77)+LeasingCommissionPct*$E$18*$B$18*INDEX(Cum_TILC,1,N$77),0)+IF(Assumptions!N$72=$D$19+RetailDowntime,((1-RetailRenewalProb)*NewLeaseTI+RetailRenewalProb*RenewalTI)*$B$19*INDEX(Cum_TILC,1,N$77)+LeasingCommissionPct*$E$19*$B$19*INDEX(Cum_TILC,1,N$77),0)+IF(Assumptions!N$72=$D$20+RetailDowntime,((1-RetailRenewalProb)*NewLeaseTI+RetailRenewalProb*RenewalTI)*$B$20*INDEX(Cum_TILC,1,N$77)+LeasingCommissionPct*$E$20*$B$20*INDEX(Cum_TILC,1,N$77),0)+IF(Assumptions!N$72=$D$21+RetailDowntime,((1-RetailRenewalProb)*NewLeaseTI+RetailRenewalProb*RenewalTI)*$B$21*INDEX(Cum_TILC,1,N$77)+LeasingCommissionPct*$E$21*$B$21*INDEX(Cum_TILC,1,N$77),0)+IF(Assumptions!N$72=$D$22+RetailDowntime,((1-RetailRenewalProb)*NewLeaseTI+RetailRenewalProb*RenewalTI)*$B$22*INDEX(Cum_TILC,1,N$77)+LeasingCommissionPct*$E$22*$B$22*INDEX(Cum_TILC,1,N$77),0))*Assumptions!N$74</f>
        <v/>
      </c>
      <c r="O41" s="50">
        <f>(IF(Assumptions!O$72=$D$17+RetailDowntime,((1-RetailRenewalProb)*NewLeaseTI+RetailRenewalProb*RenewalTI)*$B$17*INDEX(Cum_TILC,1,O$77)+LeasingCommissionPct*$E$17*$B$17*INDEX(Cum_TILC,1,O$77),0)+IF(Assumptions!O$72=$D$18+RetailDowntime,((1-RetailRenewalProb)*NewLeaseTI+RetailRenewalProb*RenewalTI)*$B$18*INDEX(Cum_TILC,1,O$77)+LeasingCommissionPct*$E$18*$B$18*INDEX(Cum_TILC,1,O$77),0)+IF(Assumptions!O$72=$D$19+RetailDowntime,((1-RetailRenewalProb)*NewLeaseTI+RetailRenewalProb*RenewalTI)*$B$19*INDEX(Cum_TILC,1,O$77)+LeasingCommissionPct*$E$19*$B$19*INDEX(Cum_TILC,1,O$77),0)+IF(Assumptions!O$72=$D$20+RetailDowntime,((1-RetailRenewalProb)*NewLeaseTI+RetailRenewalProb*RenewalTI)*$B$20*INDEX(Cum_TILC,1,O$77)+LeasingCommissionPct*$E$20*$B$20*INDEX(Cum_TILC,1,O$77),0)+IF(Assumptions!O$72=$D$21+RetailDowntime,((1-RetailRenewalProb)*NewLeaseTI+RetailRenewalProb*RenewalTI)*$B$21*INDEX(Cum_TILC,1,O$77)+LeasingCommissionPct*$E$21*$B$21*INDEX(Cum_TILC,1,O$77),0)+IF(Assumptions!O$72=$D$22+RetailDowntime,((1-RetailRenewalProb)*NewLeaseTI+RetailRenewalProb*RenewalTI)*$B$22*INDEX(Cum_TILC,1,O$77)+LeasingCommissionPct*$E$22*$B$22*INDEX(Cum_TILC,1,O$77),0))*Assumptions!O$74</f>
        <v/>
      </c>
      <c r="P41" s="50">
        <f>(IF(Assumptions!P$72=$D$17+RetailDowntime,((1-RetailRenewalProb)*NewLeaseTI+RetailRenewalProb*RenewalTI)*$B$17*INDEX(Cum_TILC,1,P$77)+LeasingCommissionPct*$E$17*$B$17*INDEX(Cum_TILC,1,P$77),0)+IF(Assumptions!P$72=$D$18+RetailDowntime,((1-RetailRenewalProb)*NewLeaseTI+RetailRenewalProb*RenewalTI)*$B$18*INDEX(Cum_TILC,1,P$77)+LeasingCommissionPct*$E$18*$B$18*INDEX(Cum_TILC,1,P$77),0)+IF(Assumptions!P$72=$D$19+RetailDowntime,((1-RetailRenewalProb)*NewLeaseTI+RetailRenewalProb*RenewalTI)*$B$19*INDEX(Cum_TILC,1,P$77)+LeasingCommissionPct*$E$19*$B$19*INDEX(Cum_TILC,1,P$77),0)+IF(Assumptions!P$72=$D$20+RetailDowntime,((1-RetailRenewalProb)*NewLeaseTI+RetailRenewalProb*RenewalTI)*$B$20*INDEX(Cum_TILC,1,P$77)+LeasingCommissionPct*$E$20*$B$20*INDEX(Cum_TILC,1,P$77),0)+IF(Assumptions!P$72=$D$21+RetailDowntime,((1-RetailRenewalProb)*NewLeaseTI+RetailRenewalProb*RenewalTI)*$B$21*INDEX(Cum_TILC,1,P$77)+LeasingCommissionPct*$E$21*$B$21*INDEX(Cum_TILC,1,P$77),0)+IF(Assumptions!P$72=$D$22+RetailDowntime,((1-RetailRenewalProb)*NewLeaseTI+RetailRenewalProb*RenewalTI)*$B$22*INDEX(Cum_TILC,1,P$77)+LeasingCommissionPct*$E$22*$B$22*INDEX(Cum_TILC,1,P$77),0))*Assumptions!P$74</f>
        <v/>
      </c>
      <c r="Q41" s="50">
        <f>(IF(Assumptions!Q$72=$D$17+RetailDowntime,((1-RetailRenewalProb)*NewLeaseTI+RetailRenewalProb*RenewalTI)*$B$17*INDEX(Cum_TILC,1,Q$77)+LeasingCommissionPct*$E$17*$B$17*INDEX(Cum_TILC,1,Q$77),0)+IF(Assumptions!Q$72=$D$18+RetailDowntime,((1-RetailRenewalProb)*NewLeaseTI+RetailRenewalProb*RenewalTI)*$B$18*INDEX(Cum_TILC,1,Q$77)+LeasingCommissionPct*$E$18*$B$18*INDEX(Cum_TILC,1,Q$77),0)+IF(Assumptions!Q$72=$D$19+RetailDowntime,((1-RetailRenewalProb)*NewLeaseTI+RetailRenewalProb*RenewalTI)*$B$19*INDEX(Cum_TILC,1,Q$77)+LeasingCommissionPct*$E$19*$B$19*INDEX(Cum_TILC,1,Q$77),0)+IF(Assumptions!Q$72=$D$20+RetailDowntime,((1-RetailRenewalProb)*NewLeaseTI+RetailRenewalProb*RenewalTI)*$B$20*INDEX(Cum_TILC,1,Q$77)+LeasingCommissionPct*$E$20*$B$20*INDEX(Cum_TILC,1,Q$77),0)+IF(Assumptions!Q$72=$D$21+RetailDowntime,((1-RetailRenewalProb)*NewLeaseTI+RetailRenewalProb*RenewalTI)*$B$21*INDEX(Cum_TILC,1,Q$77)+LeasingCommissionPct*$E$21*$B$21*INDEX(Cum_TILC,1,Q$77),0)+IF(Assumptions!Q$72=$D$22+RetailDowntime,((1-RetailRenewalProb)*NewLeaseTI+RetailRenewalProb*RenewalTI)*$B$22*INDEX(Cum_TILC,1,Q$77)+LeasingCommissionPct*$E$22*$B$22*INDEX(Cum_TILC,1,Q$77),0))*Assumptions!Q$74</f>
        <v/>
      </c>
      <c r="R41" s="50">
        <f>(IF(Assumptions!R$72=$D$17+RetailDowntime,((1-RetailRenewalProb)*NewLeaseTI+RetailRenewalProb*RenewalTI)*$B$17*INDEX(Cum_TILC,1,R$77)+LeasingCommissionPct*$E$17*$B$17*INDEX(Cum_TILC,1,R$77),0)+IF(Assumptions!R$72=$D$18+RetailDowntime,((1-RetailRenewalProb)*NewLeaseTI+RetailRenewalProb*RenewalTI)*$B$18*INDEX(Cum_TILC,1,R$77)+LeasingCommissionPct*$E$18*$B$18*INDEX(Cum_TILC,1,R$77),0)+IF(Assumptions!R$72=$D$19+RetailDowntime,((1-RetailRenewalProb)*NewLeaseTI+RetailRenewalProb*RenewalTI)*$B$19*INDEX(Cum_TILC,1,R$77)+LeasingCommissionPct*$E$19*$B$19*INDEX(Cum_TILC,1,R$77),0)+IF(Assumptions!R$72=$D$20+RetailDowntime,((1-RetailRenewalProb)*NewLeaseTI+RetailRenewalProb*RenewalTI)*$B$20*INDEX(Cum_TILC,1,R$77)+LeasingCommissionPct*$E$20*$B$20*INDEX(Cum_TILC,1,R$77),0)+IF(Assumptions!R$72=$D$21+RetailDowntime,((1-RetailRenewalProb)*NewLeaseTI+RetailRenewalProb*RenewalTI)*$B$21*INDEX(Cum_TILC,1,R$77)+LeasingCommissionPct*$E$21*$B$21*INDEX(Cum_TILC,1,R$77),0)+IF(Assumptions!R$72=$D$22+RetailDowntime,((1-RetailRenewalProb)*NewLeaseTI+RetailRenewalProb*RenewalTI)*$B$22*INDEX(Cum_TILC,1,R$77)+LeasingCommissionPct*$E$22*$B$22*INDEX(Cum_TILC,1,R$77),0))*Assumptions!R$74</f>
        <v/>
      </c>
      <c r="S41" s="50">
        <f>(IF(Assumptions!S$72=$D$17+RetailDowntime,((1-RetailRenewalProb)*NewLeaseTI+RetailRenewalProb*RenewalTI)*$B$17*INDEX(Cum_TILC,1,S$77)+LeasingCommissionPct*$E$17*$B$17*INDEX(Cum_TILC,1,S$77),0)+IF(Assumptions!S$72=$D$18+RetailDowntime,((1-RetailRenewalProb)*NewLeaseTI+RetailRenewalProb*RenewalTI)*$B$18*INDEX(Cum_TILC,1,S$77)+LeasingCommissionPct*$E$18*$B$18*INDEX(Cum_TILC,1,S$77),0)+IF(Assumptions!S$72=$D$19+RetailDowntime,((1-RetailRenewalProb)*NewLeaseTI+RetailRenewalProb*RenewalTI)*$B$19*INDEX(Cum_TILC,1,S$77)+LeasingCommissionPct*$E$19*$B$19*INDEX(Cum_TILC,1,S$77),0)+IF(Assumptions!S$72=$D$20+RetailDowntime,((1-RetailRenewalProb)*NewLeaseTI+RetailRenewalProb*RenewalTI)*$B$20*INDEX(Cum_TILC,1,S$77)+LeasingCommissionPct*$E$20*$B$20*INDEX(Cum_TILC,1,S$77),0)+IF(Assumptions!S$72=$D$21+RetailDowntime,((1-RetailRenewalProb)*NewLeaseTI+RetailRenewalProb*RenewalTI)*$B$21*INDEX(Cum_TILC,1,S$77)+LeasingCommissionPct*$E$21*$B$21*INDEX(Cum_TILC,1,S$77),0)+IF(Assumptions!S$72=$D$22+RetailDowntime,((1-RetailRenewalProb)*NewLeaseTI+RetailRenewalProb*RenewalTI)*$B$22*INDEX(Cum_TILC,1,S$77)+LeasingCommissionPct*$E$22*$B$22*INDEX(Cum_TILC,1,S$77),0))*Assumptions!S$74</f>
        <v/>
      </c>
      <c r="T41" s="50">
        <f>(IF(Assumptions!T$72=$D$17+RetailDowntime,((1-RetailRenewalProb)*NewLeaseTI+RetailRenewalProb*RenewalTI)*$B$17*INDEX(Cum_TILC,1,T$77)+LeasingCommissionPct*$E$17*$B$17*INDEX(Cum_TILC,1,T$77),0)+IF(Assumptions!T$72=$D$18+RetailDowntime,((1-RetailRenewalProb)*NewLeaseTI+RetailRenewalProb*RenewalTI)*$B$18*INDEX(Cum_TILC,1,T$77)+LeasingCommissionPct*$E$18*$B$18*INDEX(Cum_TILC,1,T$77),0)+IF(Assumptions!T$72=$D$19+RetailDowntime,((1-RetailRenewalProb)*NewLeaseTI+RetailRenewalProb*RenewalTI)*$B$19*INDEX(Cum_TILC,1,T$77)+LeasingCommissionPct*$E$19*$B$19*INDEX(Cum_TILC,1,T$77),0)+IF(Assumptions!T$72=$D$20+RetailDowntime,((1-RetailRenewalProb)*NewLeaseTI+RetailRenewalProb*RenewalTI)*$B$20*INDEX(Cum_TILC,1,T$77)+LeasingCommissionPct*$E$20*$B$20*INDEX(Cum_TILC,1,T$77),0)+IF(Assumptions!T$72=$D$21+RetailDowntime,((1-RetailRenewalProb)*NewLeaseTI+RetailRenewalProb*RenewalTI)*$B$21*INDEX(Cum_TILC,1,T$77)+LeasingCommissionPct*$E$21*$B$21*INDEX(Cum_TILC,1,T$77),0)+IF(Assumptions!T$72=$D$22+RetailDowntime,((1-RetailRenewalProb)*NewLeaseTI+RetailRenewalProb*RenewalTI)*$B$22*INDEX(Cum_TILC,1,T$77)+LeasingCommissionPct*$E$22*$B$22*INDEX(Cum_TILC,1,T$77),0))*Assumptions!T$74</f>
        <v/>
      </c>
      <c r="U41" s="50">
        <f>(IF(Assumptions!U$72=$D$17+RetailDowntime,((1-RetailRenewalProb)*NewLeaseTI+RetailRenewalProb*RenewalTI)*$B$17*INDEX(Cum_TILC,1,U$77)+LeasingCommissionPct*$E$17*$B$17*INDEX(Cum_TILC,1,U$77),0)+IF(Assumptions!U$72=$D$18+RetailDowntime,((1-RetailRenewalProb)*NewLeaseTI+RetailRenewalProb*RenewalTI)*$B$18*INDEX(Cum_TILC,1,U$77)+LeasingCommissionPct*$E$18*$B$18*INDEX(Cum_TILC,1,U$77),0)+IF(Assumptions!U$72=$D$19+RetailDowntime,((1-RetailRenewalProb)*NewLeaseTI+RetailRenewalProb*RenewalTI)*$B$19*INDEX(Cum_TILC,1,U$77)+LeasingCommissionPct*$E$19*$B$19*INDEX(Cum_TILC,1,U$77),0)+IF(Assumptions!U$72=$D$20+RetailDowntime,((1-RetailRenewalProb)*NewLeaseTI+RetailRenewalProb*RenewalTI)*$B$20*INDEX(Cum_TILC,1,U$77)+LeasingCommissionPct*$E$20*$B$20*INDEX(Cum_TILC,1,U$77),0)+IF(Assumptions!U$72=$D$21+RetailDowntime,((1-RetailRenewalProb)*NewLeaseTI+RetailRenewalProb*RenewalTI)*$B$21*INDEX(Cum_TILC,1,U$77)+LeasingCommissionPct*$E$21*$B$21*INDEX(Cum_TILC,1,U$77),0)+IF(Assumptions!U$72=$D$22+RetailDowntime,((1-RetailRenewalProb)*NewLeaseTI+RetailRenewalProb*RenewalTI)*$B$22*INDEX(Cum_TILC,1,U$77)+LeasingCommissionPct*$E$22*$B$22*INDEX(Cum_TILC,1,U$77),0))*Assumptions!U$74</f>
        <v/>
      </c>
      <c r="V41" s="50">
        <f>(IF(Assumptions!V$72=$D$17+RetailDowntime,((1-RetailRenewalProb)*NewLeaseTI+RetailRenewalProb*RenewalTI)*$B$17*INDEX(Cum_TILC,1,V$77)+LeasingCommissionPct*$E$17*$B$17*INDEX(Cum_TILC,1,V$77),0)+IF(Assumptions!V$72=$D$18+RetailDowntime,((1-RetailRenewalProb)*NewLeaseTI+RetailRenewalProb*RenewalTI)*$B$18*INDEX(Cum_TILC,1,V$77)+LeasingCommissionPct*$E$18*$B$18*INDEX(Cum_TILC,1,V$77),0)+IF(Assumptions!V$72=$D$19+RetailDowntime,((1-RetailRenewalProb)*NewLeaseTI+RetailRenewalProb*RenewalTI)*$B$19*INDEX(Cum_TILC,1,V$77)+LeasingCommissionPct*$E$19*$B$19*INDEX(Cum_TILC,1,V$77),0)+IF(Assumptions!V$72=$D$20+RetailDowntime,((1-RetailRenewalProb)*NewLeaseTI+RetailRenewalProb*RenewalTI)*$B$20*INDEX(Cum_TILC,1,V$77)+LeasingCommissionPct*$E$20*$B$20*INDEX(Cum_TILC,1,V$77),0)+IF(Assumptions!V$72=$D$21+RetailDowntime,((1-RetailRenewalProb)*NewLeaseTI+RetailRenewalProb*RenewalTI)*$B$21*INDEX(Cum_TILC,1,V$77)+LeasingCommissionPct*$E$21*$B$21*INDEX(Cum_TILC,1,V$77),0)+IF(Assumptions!V$72=$D$22+RetailDowntime,((1-RetailRenewalProb)*NewLeaseTI+RetailRenewalProb*RenewalTI)*$B$22*INDEX(Cum_TILC,1,V$77)+LeasingCommissionPct*$E$22*$B$22*INDEX(Cum_TILC,1,V$77),0))*Assumptions!V$74</f>
        <v/>
      </c>
      <c r="W41" s="50">
        <f>(IF(Assumptions!W$72=$D$17+RetailDowntime,((1-RetailRenewalProb)*NewLeaseTI+RetailRenewalProb*RenewalTI)*$B$17*INDEX(Cum_TILC,1,W$77)+LeasingCommissionPct*$E$17*$B$17*INDEX(Cum_TILC,1,W$77),0)+IF(Assumptions!W$72=$D$18+RetailDowntime,((1-RetailRenewalProb)*NewLeaseTI+RetailRenewalProb*RenewalTI)*$B$18*INDEX(Cum_TILC,1,W$77)+LeasingCommissionPct*$E$18*$B$18*INDEX(Cum_TILC,1,W$77),0)+IF(Assumptions!W$72=$D$19+RetailDowntime,((1-RetailRenewalProb)*NewLeaseTI+RetailRenewalProb*RenewalTI)*$B$19*INDEX(Cum_TILC,1,W$77)+LeasingCommissionPct*$E$19*$B$19*INDEX(Cum_TILC,1,W$77),0)+IF(Assumptions!W$72=$D$20+RetailDowntime,((1-RetailRenewalProb)*NewLeaseTI+RetailRenewalProb*RenewalTI)*$B$20*INDEX(Cum_TILC,1,W$77)+LeasingCommissionPct*$E$20*$B$20*INDEX(Cum_TILC,1,W$77),0)+IF(Assumptions!W$72=$D$21+RetailDowntime,((1-RetailRenewalProb)*NewLeaseTI+RetailRenewalProb*RenewalTI)*$B$21*INDEX(Cum_TILC,1,W$77)+LeasingCommissionPct*$E$21*$B$21*INDEX(Cum_TILC,1,W$77),0)+IF(Assumptions!W$72=$D$22+RetailDowntime,((1-RetailRenewalProb)*NewLeaseTI+RetailRenewalProb*RenewalTI)*$B$22*INDEX(Cum_TILC,1,W$77)+LeasingCommissionPct*$E$22*$B$22*INDEX(Cum_TILC,1,W$77),0))*Assumptions!W$74</f>
        <v/>
      </c>
      <c r="X41" s="50">
        <f>(IF(Assumptions!X$72=$D$17+RetailDowntime,((1-RetailRenewalProb)*NewLeaseTI+RetailRenewalProb*RenewalTI)*$B$17*INDEX(Cum_TILC,1,X$77)+LeasingCommissionPct*$E$17*$B$17*INDEX(Cum_TILC,1,X$77),0)+IF(Assumptions!X$72=$D$18+RetailDowntime,((1-RetailRenewalProb)*NewLeaseTI+RetailRenewalProb*RenewalTI)*$B$18*INDEX(Cum_TILC,1,X$77)+LeasingCommissionPct*$E$18*$B$18*INDEX(Cum_TILC,1,X$77),0)+IF(Assumptions!X$72=$D$19+RetailDowntime,((1-RetailRenewalProb)*NewLeaseTI+RetailRenewalProb*RenewalTI)*$B$19*INDEX(Cum_TILC,1,X$77)+LeasingCommissionPct*$E$19*$B$19*INDEX(Cum_TILC,1,X$77),0)+IF(Assumptions!X$72=$D$20+RetailDowntime,((1-RetailRenewalProb)*NewLeaseTI+RetailRenewalProb*RenewalTI)*$B$20*INDEX(Cum_TILC,1,X$77)+LeasingCommissionPct*$E$20*$B$20*INDEX(Cum_TILC,1,X$77),0)+IF(Assumptions!X$72=$D$21+RetailDowntime,((1-RetailRenewalProb)*NewLeaseTI+RetailRenewalProb*RenewalTI)*$B$21*INDEX(Cum_TILC,1,X$77)+LeasingCommissionPct*$E$21*$B$21*INDEX(Cum_TILC,1,X$77),0)+IF(Assumptions!X$72=$D$22+RetailDowntime,((1-RetailRenewalProb)*NewLeaseTI+RetailRenewalProb*RenewalTI)*$B$22*INDEX(Cum_TILC,1,X$77)+LeasingCommissionPct*$E$22*$B$22*INDEX(Cum_TILC,1,X$77),0))*Assumptions!X$74</f>
        <v/>
      </c>
      <c r="Y41" s="50">
        <f>(IF(Assumptions!Y$72=$D$17+RetailDowntime,((1-RetailRenewalProb)*NewLeaseTI+RetailRenewalProb*RenewalTI)*$B$17*INDEX(Cum_TILC,1,Y$77)+LeasingCommissionPct*$E$17*$B$17*INDEX(Cum_TILC,1,Y$77),0)+IF(Assumptions!Y$72=$D$18+RetailDowntime,((1-RetailRenewalProb)*NewLeaseTI+RetailRenewalProb*RenewalTI)*$B$18*INDEX(Cum_TILC,1,Y$77)+LeasingCommissionPct*$E$18*$B$18*INDEX(Cum_TILC,1,Y$77),0)+IF(Assumptions!Y$72=$D$19+RetailDowntime,((1-RetailRenewalProb)*NewLeaseTI+RetailRenewalProb*RenewalTI)*$B$19*INDEX(Cum_TILC,1,Y$77)+LeasingCommissionPct*$E$19*$B$19*INDEX(Cum_TILC,1,Y$77),0)+IF(Assumptions!Y$72=$D$20+RetailDowntime,((1-RetailRenewalProb)*NewLeaseTI+RetailRenewalProb*RenewalTI)*$B$20*INDEX(Cum_TILC,1,Y$77)+LeasingCommissionPct*$E$20*$B$20*INDEX(Cum_TILC,1,Y$77),0)+IF(Assumptions!Y$72=$D$21+RetailDowntime,((1-RetailRenewalProb)*NewLeaseTI+RetailRenewalProb*RenewalTI)*$B$21*INDEX(Cum_TILC,1,Y$77)+LeasingCommissionPct*$E$21*$B$21*INDEX(Cum_TILC,1,Y$77),0)+IF(Assumptions!Y$72=$D$22+RetailDowntime,((1-RetailRenewalProb)*NewLeaseTI+RetailRenewalProb*RenewalTI)*$B$22*INDEX(Cum_TILC,1,Y$77)+LeasingCommissionPct*$E$22*$B$22*INDEX(Cum_TILC,1,Y$77),0))*Assumptions!Y$74</f>
        <v/>
      </c>
      <c r="Z41" s="50">
        <f>(IF(Assumptions!Z$72=$D$17+RetailDowntime,((1-RetailRenewalProb)*NewLeaseTI+RetailRenewalProb*RenewalTI)*$B$17*INDEX(Cum_TILC,1,Z$77)+LeasingCommissionPct*$E$17*$B$17*INDEX(Cum_TILC,1,Z$77),0)+IF(Assumptions!Z$72=$D$18+RetailDowntime,((1-RetailRenewalProb)*NewLeaseTI+RetailRenewalProb*RenewalTI)*$B$18*INDEX(Cum_TILC,1,Z$77)+LeasingCommissionPct*$E$18*$B$18*INDEX(Cum_TILC,1,Z$77),0)+IF(Assumptions!Z$72=$D$19+RetailDowntime,((1-RetailRenewalProb)*NewLeaseTI+RetailRenewalProb*RenewalTI)*$B$19*INDEX(Cum_TILC,1,Z$77)+LeasingCommissionPct*$E$19*$B$19*INDEX(Cum_TILC,1,Z$77),0)+IF(Assumptions!Z$72=$D$20+RetailDowntime,((1-RetailRenewalProb)*NewLeaseTI+RetailRenewalProb*RenewalTI)*$B$20*INDEX(Cum_TILC,1,Z$77)+LeasingCommissionPct*$E$20*$B$20*INDEX(Cum_TILC,1,Z$77),0)+IF(Assumptions!Z$72=$D$21+RetailDowntime,((1-RetailRenewalProb)*NewLeaseTI+RetailRenewalProb*RenewalTI)*$B$21*INDEX(Cum_TILC,1,Z$77)+LeasingCommissionPct*$E$21*$B$21*INDEX(Cum_TILC,1,Z$77),0)+IF(Assumptions!Z$72=$D$22+RetailDowntime,((1-RetailRenewalProb)*NewLeaseTI+RetailRenewalProb*RenewalTI)*$B$22*INDEX(Cum_TILC,1,Z$77)+LeasingCommissionPct*$E$22*$B$22*INDEX(Cum_TILC,1,Z$77),0))*Assumptions!Z$74</f>
        <v/>
      </c>
      <c r="AA41" s="50">
        <f>(IF(Assumptions!AA$72=$D$17+RetailDowntime,((1-RetailRenewalProb)*NewLeaseTI+RetailRenewalProb*RenewalTI)*$B$17*INDEX(Cum_TILC,1,AA$77)+LeasingCommissionPct*$E$17*$B$17*INDEX(Cum_TILC,1,AA$77),0)+IF(Assumptions!AA$72=$D$18+RetailDowntime,((1-RetailRenewalProb)*NewLeaseTI+RetailRenewalProb*RenewalTI)*$B$18*INDEX(Cum_TILC,1,AA$77)+LeasingCommissionPct*$E$18*$B$18*INDEX(Cum_TILC,1,AA$77),0)+IF(Assumptions!AA$72=$D$19+RetailDowntime,((1-RetailRenewalProb)*NewLeaseTI+RetailRenewalProb*RenewalTI)*$B$19*INDEX(Cum_TILC,1,AA$77)+LeasingCommissionPct*$E$19*$B$19*INDEX(Cum_TILC,1,AA$77),0)+IF(Assumptions!AA$72=$D$20+RetailDowntime,((1-RetailRenewalProb)*NewLeaseTI+RetailRenewalProb*RenewalTI)*$B$20*INDEX(Cum_TILC,1,AA$77)+LeasingCommissionPct*$E$20*$B$20*INDEX(Cum_TILC,1,AA$77),0)+IF(Assumptions!AA$72=$D$21+RetailDowntime,((1-RetailRenewalProb)*NewLeaseTI+RetailRenewalProb*RenewalTI)*$B$21*INDEX(Cum_TILC,1,AA$77)+LeasingCommissionPct*$E$21*$B$21*INDEX(Cum_TILC,1,AA$77),0)+IF(Assumptions!AA$72=$D$22+RetailDowntime,((1-RetailRenewalProb)*NewLeaseTI+RetailRenewalProb*RenewalTI)*$B$22*INDEX(Cum_TILC,1,AA$77)+LeasingCommissionPct*$E$22*$B$22*INDEX(Cum_TILC,1,AA$77),0))*Assumptions!AA$74</f>
        <v/>
      </c>
      <c r="AB41" s="50">
        <f>(IF(Assumptions!AB$72=$D$17+RetailDowntime,((1-RetailRenewalProb)*NewLeaseTI+RetailRenewalProb*RenewalTI)*$B$17*INDEX(Cum_TILC,1,AB$77)+LeasingCommissionPct*$E$17*$B$17*INDEX(Cum_TILC,1,AB$77),0)+IF(Assumptions!AB$72=$D$18+RetailDowntime,((1-RetailRenewalProb)*NewLeaseTI+RetailRenewalProb*RenewalTI)*$B$18*INDEX(Cum_TILC,1,AB$77)+LeasingCommissionPct*$E$18*$B$18*INDEX(Cum_TILC,1,AB$77),0)+IF(Assumptions!AB$72=$D$19+RetailDowntime,((1-RetailRenewalProb)*NewLeaseTI+RetailRenewalProb*RenewalTI)*$B$19*INDEX(Cum_TILC,1,AB$77)+LeasingCommissionPct*$E$19*$B$19*INDEX(Cum_TILC,1,AB$77),0)+IF(Assumptions!AB$72=$D$20+RetailDowntime,((1-RetailRenewalProb)*NewLeaseTI+RetailRenewalProb*RenewalTI)*$B$20*INDEX(Cum_TILC,1,AB$77)+LeasingCommissionPct*$E$20*$B$20*INDEX(Cum_TILC,1,AB$77),0)+IF(Assumptions!AB$72=$D$21+RetailDowntime,((1-RetailRenewalProb)*NewLeaseTI+RetailRenewalProb*RenewalTI)*$B$21*INDEX(Cum_TILC,1,AB$77)+LeasingCommissionPct*$E$21*$B$21*INDEX(Cum_TILC,1,AB$77),0)+IF(Assumptions!AB$72=$D$22+RetailDowntime,((1-RetailRenewalProb)*NewLeaseTI+RetailRenewalProb*RenewalTI)*$B$22*INDEX(Cum_TILC,1,AB$77)+LeasingCommissionPct*$E$22*$B$22*INDEX(Cum_TILC,1,AB$77),0))*Assumptions!AB$74</f>
        <v/>
      </c>
      <c r="AC41" s="50">
        <f>(IF(Assumptions!AC$72=$D$17+RetailDowntime,((1-RetailRenewalProb)*NewLeaseTI+RetailRenewalProb*RenewalTI)*$B$17*INDEX(Cum_TILC,1,AC$77)+LeasingCommissionPct*$E$17*$B$17*INDEX(Cum_TILC,1,AC$77),0)+IF(Assumptions!AC$72=$D$18+RetailDowntime,((1-RetailRenewalProb)*NewLeaseTI+RetailRenewalProb*RenewalTI)*$B$18*INDEX(Cum_TILC,1,AC$77)+LeasingCommissionPct*$E$18*$B$18*INDEX(Cum_TILC,1,AC$77),0)+IF(Assumptions!AC$72=$D$19+RetailDowntime,((1-RetailRenewalProb)*NewLeaseTI+RetailRenewalProb*RenewalTI)*$B$19*INDEX(Cum_TILC,1,AC$77)+LeasingCommissionPct*$E$19*$B$19*INDEX(Cum_TILC,1,AC$77),0)+IF(Assumptions!AC$72=$D$20+RetailDowntime,((1-RetailRenewalProb)*NewLeaseTI+RetailRenewalProb*RenewalTI)*$B$20*INDEX(Cum_TILC,1,AC$77)+LeasingCommissionPct*$E$20*$B$20*INDEX(Cum_TILC,1,AC$77),0)+IF(Assumptions!AC$72=$D$21+RetailDowntime,((1-RetailRenewalProb)*NewLeaseTI+RetailRenewalProb*RenewalTI)*$B$21*INDEX(Cum_TILC,1,AC$77)+LeasingCommissionPct*$E$21*$B$21*INDEX(Cum_TILC,1,AC$77),0)+IF(Assumptions!AC$72=$D$22+RetailDowntime,((1-RetailRenewalProb)*NewLeaseTI+RetailRenewalProb*RenewalTI)*$B$22*INDEX(Cum_TILC,1,AC$77)+LeasingCommissionPct*$E$22*$B$22*INDEX(Cum_TILC,1,AC$77),0))*Assumptions!AC$74</f>
        <v/>
      </c>
      <c r="AD41" s="50">
        <f>(IF(Assumptions!AD$72=$D$17+RetailDowntime,((1-RetailRenewalProb)*NewLeaseTI+RetailRenewalProb*RenewalTI)*$B$17*INDEX(Cum_TILC,1,AD$77)+LeasingCommissionPct*$E$17*$B$17*INDEX(Cum_TILC,1,AD$77),0)+IF(Assumptions!AD$72=$D$18+RetailDowntime,((1-RetailRenewalProb)*NewLeaseTI+RetailRenewalProb*RenewalTI)*$B$18*INDEX(Cum_TILC,1,AD$77)+LeasingCommissionPct*$E$18*$B$18*INDEX(Cum_TILC,1,AD$77),0)+IF(Assumptions!AD$72=$D$19+RetailDowntime,((1-RetailRenewalProb)*NewLeaseTI+RetailRenewalProb*RenewalTI)*$B$19*INDEX(Cum_TILC,1,AD$77)+LeasingCommissionPct*$E$19*$B$19*INDEX(Cum_TILC,1,AD$77),0)+IF(Assumptions!AD$72=$D$20+RetailDowntime,((1-RetailRenewalProb)*NewLeaseTI+RetailRenewalProb*RenewalTI)*$B$20*INDEX(Cum_TILC,1,AD$77)+LeasingCommissionPct*$E$20*$B$20*INDEX(Cum_TILC,1,AD$77),0)+IF(Assumptions!AD$72=$D$21+RetailDowntime,((1-RetailRenewalProb)*NewLeaseTI+RetailRenewalProb*RenewalTI)*$B$21*INDEX(Cum_TILC,1,AD$77)+LeasingCommissionPct*$E$21*$B$21*INDEX(Cum_TILC,1,AD$77),0)+IF(Assumptions!AD$72=$D$22+RetailDowntime,((1-RetailRenewalProb)*NewLeaseTI+RetailRenewalProb*RenewalTI)*$B$22*INDEX(Cum_TILC,1,AD$77)+LeasingCommissionPct*$E$22*$B$22*INDEX(Cum_TILC,1,AD$77),0))*Assumptions!AD$74</f>
        <v/>
      </c>
      <c r="AE41" s="50">
        <f>(IF(Assumptions!AE$72=$D$17+RetailDowntime,((1-RetailRenewalProb)*NewLeaseTI+RetailRenewalProb*RenewalTI)*$B$17*INDEX(Cum_TILC,1,AE$77)+LeasingCommissionPct*$E$17*$B$17*INDEX(Cum_TILC,1,AE$77),0)+IF(Assumptions!AE$72=$D$18+RetailDowntime,((1-RetailRenewalProb)*NewLeaseTI+RetailRenewalProb*RenewalTI)*$B$18*INDEX(Cum_TILC,1,AE$77)+LeasingCommissionPct*$E$18*$B$18*INDEX(Cum_TILC,1,AE$77),0)+IF(Assumptions!AE$72=$D$19+RetailDowntime,((1-RetailRenewalProb)*NewLeaseTI+RetailRenewalProb*RenewalTI)*$B$19*INDEX(Cum_TILC,1,AE$77)+LeasingCommissionPct*$E$19*$B$19*INDEX(Cum_TILC,1,AE$77),0)+IF(Assumptions!AE$72=$D$20+RetailDowntime,((1-RetailRenewalProb)*NewLeaseTI+RetailRenewalProb*RenewalTI)*$B$20*INDEX(Cum_TILC,1,AE$77)+LeasingCommissionPct*$E$20*$B$20*INDEX(Cum_TILC,1,AE$77),0)+IF(Assumptions!AE$72=$D$21+RetailDowntime,((1-RetailRenewalProb)*NewLeaseTI+RetailRenewalProb*RenewalTI)*$B$21*INDEX(Cum_TILC,1,AE$77)+LeasingCommissionPct*$E$21*$B$21*INDEX(Cum_TILC,1,AE$77),0)+IF(Assumptions!AE$72=$D$22+RetailDowntime,((1-RetailRenewalProb)*NewLeaseTI+RetailRenewalProb*RenewalTI)*$B$22*INDEX(Cum_TILC,1,AE$77)+LeasingCommissionPct*$E$22*$B$22*INDEX(Cum_TILC,1,AE$77),0))*Assumptions!AE$74</f>
        <v/>
      </c>
      <c r="AF41" s="50">
        <f>(IF(Assumptions!AF$72=$D$17+RetailDowntime,((1-RetailRenewalProb)*NewLeaseTI+RetailRenewalProb*RenewalTI)*$B$17*INDEX(Cum_TILC,1,AF$77)+LeasingCommissionPct*$E$17*$B$17*INDEX(Cum_TILC,1,AF$77),0)+IF(Assumptions!AF$72=$D$18+RetailDowntime,((1-RetailRenewalProb)*NewLeaseTI+RetailRenewalProb*RenewalTI)*$B$18*INDEX(Cum_TILC,1,AF$77)+LeasingCommissionPct*$E$18*$B$18*INDEX(Cum_TILC,1,AF$77),0)+IF(Assumptions!AF$72=$D$19+RetailDowntime,((1-RetailRenewalProb)*NewLeaseTI+RetailRenewalProb*RenewalTI)*$B$19*INDEX(Cum_TILC,1,AF$77)+LeasingCommissionPct*$E$19*$B$19*INDEX(Cum_TILC,1,AF$77),0)+IF(Assumptions!AF$72=$D$20+RetailDowntime,((1-RetailRenewalProb)*NewLeaseTI+RetailRenewalProb*RenewalTI)*$B$20*INDEX(Cum_TILC,1,AF$77)+LeasingCommissionPct*$E$20*$B$20*INDEX(Cum_TILC,1,AF$77),0)+IF(Assumptions!AF$72=$D$21+RetailDowntime,((1-RetailRenewalProb)*NewLeaseTI+RetailRenewalProb*RenewalTI)*$B$21*INDEX(Cum_TILC,1,AF$77)+LeasingCommissionPct*$E$21*$B$21*INDEX(Cum_TILC,1,AF$77),0)+IF(Assumptions!AF$72=$D$22+RetailDowntime,((1-RetailRenewalProb)*NewLeaseTI+RetailRenewalProb*RenewalTI)*$B$22*INDEX(Cum_TILC,1,AF$77)+LeasingCommissionPct*$E$22*$B$22*INDEX(Cum_TILC,1,AF$77),0))*Assumptions!AF$74</f>
        <v/>
      </c>
      <c r="AG41" s="50">
        <f>(IF(Assumptions!AG$72=$D$17+RetailDowntime,((1-RetailRenewalProb)*NewLeaseTI+RetailRenewalProb*RenewalTI)*$B$17*INDEX(Cum_TILC,1,AG$77)+LeasingCommissionPct*$E$17*$B$17*INDEX(Cum_TILC,1,AG$77),0)+IF(Assumptions!AG$72=$D$18+RetailDowntime,((1-RetailRenewalProb)*NewLeaseTI+RetailRenewalProb*RenewalTI)*$B$18*INDEX(Cum_TILC,1,AG$77)+LeasingCommissionPct*$E$18*$B$18*INDEX(Cum_TILC,1,AG$77),0)+IF(Assumptions!AG$72=$D$19+RetailDowntime,((1-RetailRenewalProb)*NewLeaseTI+RetailRenewalProb*RenewalTI)*$B$19*INDEX(Cum_TILC,1,AG$77)+LeasingCommissionPct*$E$19*$B$19*INDEX(Cum_TILC,1,AG$77),0)+IF(Assumptions!AG$72=$D$20+RetailDowntime,((1-RetailRenewalProb)*NewLeaseTI+RetailRenewalProb*RenewalTI)*$B$20*INDEX(Cum_TILC,1,AG$77)+LeasingCommissionPct*$E$20*$B$20*INDEX(Cum_TILC,1,AG$77),0)+IF(Assumptions!AG$72=$D$21+RetailDowntime,((1-RetailRenewalProb)*NewLeaseTI+RetailRenewalProb*RenewalTI)*$B$21*INDEX(Cum_TILC,1,AG$77)+LeasingCommissionPct*$E$21*$B$21*INDEX(Cum_TILC,1,AG$77),0)+IF(Assumptions!AG$72=$D$22+RetailDowntime,((1-RetailRenewalProb)*NewLeaseTI+RetailRenewalProb*RenewalTI)*$B$22*INDEX(Cum_TILC,1,AG$77)+LeasingCommissionPct*$E$22*$B$22*INDEX(Cum_TILC,1,AG$77),0))*Assumptions!AG$74</f>
        <v/>
      </c>
      <c r="AH41" s="50">
        <f>(IF(Assumptions!AH$72=$D$17+RetailDowntime,((1-RetailRenewalProb)*NewLeaseTI+RetailRenewalProb*RenewalTI)*$B$17*INDEX(Cum_TILC,1,AH$77)+LeasingCommissionPct*$E$17*$B$17*INDEX(Cum_TILC,1,AH$77),0)+IF(Assumptions!AH$72=$D$18+RetailDowntime,((1-RetailRenewalProb)*NewLeaseTI+RetailRenewalProb*RenewalTI)*$B$18*INDEX(Cum_TILC,1,AH$77)+LeasingCommissionPct*$E$18*$B$18*INDEX(Cum_TILC,1,AH$77),0)+IF(Assumptions!AH$72=$D$19+RetailDowntime,((1-RetailRenewalProb)*NewLeaseTI+RetailRenewalProb*RenewalTI)*$B$19*INDEX(Cum_TILC,1,AH$77)+LeasingCommissionPct*$E$19*$B$19*INDEX(Cum_TILC,1,AH$77),0)+IF(Assumptions!AH$72=$D$20+RetailDowntime,((1-RetailRenewalProb)*NewLeaseTI+RetailRenewalProb*RenewalTI)*$B$20*INDEX(Cum_TILC,1,AH$77)+LeasingCommissionPct*$E$20*$B$20*INDEX(Cum_TILC,1,AH$77),0)+IF(Assumptions!AH$72=$D$21+RetailDowntime,((1-RetailRenewalProb)*NewLeaseTI+RetailRenewalProb*RenewalTI)*$B$21*INDEX(Cum_TILC,1,AH$77)+LeasingCommissionPct*$E$21*$B$21*INDEX(Cum_TILC,1,AH$77),0)+IF(Assumptions!AH$72=$D$22+RetailDowntime,((1-RetailRenewalProb)*NewLeaseTI+RetailRenewalProb*RenewalTI)*$B$22*INDEX(Cum_TILC,1,AH$77)+LeasingCommissionPct*$E$22*$B$22*INDEX(Cum_TILC,1,AH$77),0))*Assumptions!AH$74</f>
        <v/>
      </c>
      <c r="AI41" s="50">
        <f>(IF(Assumptions!AI$72=$D$17+RetailDowntime,((1-RetailRenewalProb)*NewLeaseTI+RetailRenewalProb*RenewalTI)*$B$17*INDEX(Cum_TILC,1,AI$77)+LeasingCommissionPct*$E$17*$B$17*INDEX(Cum_TILC,1,AI$77),0)+IF(Assumptions!AI$72=$D$18+RetailDowntime,((1-RetailRenewalProb)*NewLeaseTI+RetailRenewalProb*RenewalTI)*$B$18*INDEX(Cum_TILC,1,AI$77)+LeasingCommissionPct*$E$18*$B$18*INDEX(Cum_TILC,1,AI$77),0)+IF(Assumptions!AI$72=$D$19+RetailDowntime,((1-RetailRenewalProb)*NewLeaseTI+RetailRenewalProb*RenewalTI)*$B$19*INDEX(Cum_TILC,1,AI$77)+LeasingCommissionPct*$E$19*$B$19*INDEX(Cum_TILC,1,AI$77),0)+IF(Assumptions!AI$72=$D$20+RetailDowntime,((1-RetailRenewalProb)*NewLeaseTI+RetailRenewalProb*RenewalTI)*$B$20*INDEX(Cum_TILC,1,AI$77)+LeasingCommissionPct*$E$20*$B$20*INDEX(Cum_TILC,1,AI$77),0)+IF(Assumptions!AI$72=$D$21+RetailDowntime,((1-RetailRenewalProb)*NewLeaseTI+RetailRenewalProb*RenewalTI)*$B$21*INDEX(Cum_TILC,1,AI$77)+LeasingCommissionPct*$E$21*$B$21*INDEX(Cum_TILC,1,AI$77),0)+IF(Assumptions!AI$72=$D$22+RetailDowntime,((1-RetailRenewalProb)*NewLeaseTI+RetailRenewalProb*RenewalTI)*$B$22*INDEX(Cum_TILC,1,AI$77)+LeasingCommissionPct*$E$22*$B$22*INDEX(Cum_TILC,1,AI$77),0))*Assumptions!AI$74</f>
        <v/>
      </c>
      <c r="AJ41" s="50">
        <f>(IF(Assumptions!AJ$72=$D$17+RetailDowntime,((1-RetailRenewalProb)*NewLeaseTI+RetailRenewalProb*RenewalTI)*$B$17*INDEX(Cum_TILC,1,AJ$77)+LeasingCommissionPct*$E$17*$B$17*INDEX(Cum_TILC,1,AJ$77),0)+IF(Assumptions!AJ$72=$D$18+RetailDowntime,((1-RetailRenewalProb)*NewLeaseTI+RetailRenewalProb*RenewalTI)*$B$18*INDEX(Cum_TILC,1,AJ$77)+LeasingCommissionPct*$E$18*$B$18*INDEX(Cum_TILC,1,AJ$77),0)+IF(Assumptions!AJ$72=$D$19+RetailDowntime,((1-RetailRenewalProb)*NewLeaseTI+RetailRenewalProb*RenewalTI)*$B$19*INDEX(Cum_TILC,1,AJ$77)+LeasingCommissionPct*$E$19*$B$19*INDEX(Cum_TILC,1,AJ$77),0)+IF(Assumptions!AJ$72=$D$20+RetailDowntime,((1-RetailRenewalProb)*NewLeaseTI+RetailRenewalProb*RenewalTI)*$B$20*INDEX(Cum_TILC,1,AJ$77)+LeasingCommissionPct*$E$20*$B$20*INDEX(Cum_TILC,1,AJ$77),0)+IF(Assumptions!AJ$72=$D$21+RetailDowntime,((1-RetailRenewalProb)*NewLeaseTI+RetailRenewalProb*RenewalTI)*$B$21*INDEX(Cum_TILC,1,AJ$77)+LeasingCommissionPct*$E$21*$B$21*INDEX(Cum_TILC,1,AJ$77),0)+IF(Assumptions!AJ$72=$D$22+RetailDowntime,((1-RetailRenewalProb)*NewLeaseTI+RetailRenewalProb*RenewalTI)*$B$22*INDEX(Cum_TILC,1,AJ$77)+LeasingCommissionPct*$E$22*$B$22*INDEX(Cum_TILC,1,AJ$77),0))*Assumptions!AJ$74</f>
        <v/>
      </c>
      <c r="AK41" s="50">
        <f>(IF(Assumptions!AK$72=$D$17+RetailDowntime,((1-RetailRenewalProb)*NewLeaseTI+RetailRenewalProb*RenewalTI)*$B$17*INDEX(Cum_TILC,1,AK$77)+LeasingCommissionPct*$E$17*$B$17*INDEX(Cum_TILC,1,AK$77),0)+IF(Assumptions!AK$72=$D$18+RetailDowntime,((1-RetailRenewalProb)*NewLeaseTI+RetailRenewalProb*RenewalTI)*$B$18*INDEX(Cum_TILC,1,AK$77)+LeasingCommissionPct*$E$18*$B$18*INDEX(Cum_TILC,1,AK$77),0)+IF(Assumptions!AK$72=$D$19+RetailDowntime,((1-RetailRenewalProb)*NewLeaseTI+RetailRenewalProb*RenewalTI)*$B$19*INDEX(Cum_TILC,1,AK$77)+LeasingCommissionPct*$E$19*$B$19*INDEX(Cum_TILC,1,AK$77),0)+IF(Assumptions!AK$72=$D$20+RetailDowntime,((1-RetailRenewalProb)*NewLeaseTI+RetailRenewalProb*RenewalTI)*$B$20*INDEX(Cum_TILC,1,AK$77)+LeasingCommissionPct*$E$20*$B$20*INDEX(Cum_TILC,1,AK$77),0)+IF(Assumptions!AK$72=$D$21+RetailDowntime,((1-RetailRenewalProb)*NewLeaseTI+RetailRenewalProb*RenewalTI)*$B$21*INDEX(Cum_TILC,1,AK$77)+LeasingCommissionPct*$E$21*$B$21*INDEX(Cum_TILC,1,AK$77),0)+IF(Assumptions!AK$72=$D$22+RetailDowntime,((1-RetailRenewalProb)*NewLeaseTI+RetailRenewalProb*RenewalTI)*$B$22*INDEX(Cum_TILC,1,AK$77)+LeasingCommissionPct*$E$22*$B$22*INDEX(Cum_TILC,1,AK$77),0))*Assumptions!AK$74</f>
        <v/>
      </c>
      <c r="AL41" s="50">
        <f>(IF(Assumptions!AL$72=$D$17+RetailDowntime,((1-RetailRenewalProb)*NewLeaseTI+RetailRenewalProb*RenewalTI)*$B$17*INDEX(Cum_TILC,1,AL$77)+LeasingCommissionPct*$E$17*$B$17*INDEX(Cum_TILC,1,AL$77),0)+IF(Assumptions!AL$72=$D$18+RetailDowntime,((1-RetailRenewalProb)*NewLeaseTI+RetailRenewalProb*RenewalTI)*$B$18*INDEX(Cum_TILC,1,AL$77)+LeasingCommissionPct*$E$18*$B$18*INDEX(Cum_TILC,1,AL$77),0)+IF(Assumptions!AL$72=$D$19+RetailDowntime,((1-RetailRenewalProb)*NewLeaseTI+RetailRenewalProb*RenewalTI)*$B$19*INDEX(Cum_TILC,1,AL$77)+LeasingCommissionPct*$E$19*$B$19*INDEX(Cum_TILC,1,AL$77),0)+IF(Assumptions!AL$72=$D$20+RetailDowntime,((1-RetailRenewalProb)*NewLeaseTI+RetailRenewalProb*RenewalTI)*$B$20*INDEX(Cum_TILC,1,AL$77)+LeasingCommissionPct*$E$20*$B$20*INDEX(Cum_TILC,1,AL$77),0)+IF(Assumptions!AL$72=$D$21+RetailDowntime,((1-RetailRenewalProb)*NewLeaseTI+RetailRenewalProb*RenewalTI)*$B$21*INDEX(Cum_TILC,1,AL$77)+LeasingCommissionPct*$E$21*$B$21*INDEX(Cum_TILC,1,AL$77),0)+IF(Assumptions!AL$72=$D$22+RetailDowntime,((1-RetailRenewalProb)*NewLeaseTI+RetailRenewalProb*RenewalTI)*$B$22*INDEX(Cum_TILC,1,AL$77)+LeasingCommissionPct*$E$22*$B$22*INDEX(Cum_TILC,1,AL$77),0))*Assumptions!AL$74</f>
        <v/>
      </c>
      <c r="AM41" s="50">
        <f>(IF(Assumptions!AM$72=$D$17+RetailDowntime,((1-RetailRenewalProb)*NewLeaseTI+RetailRenewalProb*RenewalTI)*$B$17*INDEX(Cum_TILC,1,AM$77)+LeasingCommissionPct*$E$17*$B$17*INDEX(Cum_TILC,1,AM$77),0)+IF(Assumptions!AM$72=$D$18+RetailDowntime,((1-RetailRenewalProb)*NewLeaseTI+RetailRenewalProb*RenewalTI)*$B$18*INDEX(Cum_TILC,1,AM$77)+LeasingCommissionPct*$E$18*$B$18*INDEX(Cum_TILC,1,AM$77),0)+IF(Assumptions!AM$72=$D$19+RetailDowntime,((1-RetailRenewalProb)*NewLeaseTI+RetailRenewalProb*RenewalTI)*$B$19*INDEX(Cum_TILC,1,AM$77)+LeasingCommissionPct*$E$19*$B$19*INDEX(Cum_TILC,1,AM$77),0)+IF(Assumptions!AM$72=$D$20+RetailDowntime,((1-RetailRenewalProb)*NewLeaseTI+RetailRenewalProb*RenewalTI)*$B$20*INDEX(Cum_TILC,1,AM$77)+LeasingCommissionPct*$E$20*$B$20*INDEX(Cum_TILC,1,AM$77),0)+IF(Assumptions!AM$72=$D$21+RetailDowntime,((1-RetailRenewalProb)*NewLeaseTI+RetailRenewalProb*RenewalTI)*$B$21*INDEX(Cum_TILC,1,AM$77)+LeasingCommissionPct*$E$21*$B$21*INDEX(Cum_TILC,1,AM$77),0)+IF(Assumptions!AM$72=$D$22+RetailDowntime,((1-RetailRenewalProb)*NewLeaseTI+RetailRenewalProb*RenewalTI)*$B$22*INDEX(Cum_TILC,1,AM$77)+LeasingCommissionPct*$E$22*$B$22*INDEX(Cum_TILC,1,AM$77),0))*Assumptions!AM$74</f>
        <v/>
      </c>
      <c r="AN41" s="50">
        <f>(IF(Assumptions!AN$72=$D$17+RetailDowntime,((1-RetailRenewalProb)*NewLeaseTI+RetailRenewalProb*RenewalTI)*$B$17*INDEX(Cum_TILC,1,AN$77)+LeasingCommissionPct*$E$17*$B$17*INDEX(Cum_TILC,1,AN$77),0)+IF(Assumptions!AN$72=$D$18+RetailDowntime,((1-RetailRenewalProb)*NewLeaseTI+RetailRenewalProb*RenewalTI)*$B$18*INDEX(Cum_TILC,1,AN$77)+LeasingCommissionPct*$E$18*$B$18*INDEX(Cum_TILC,1,AN$77),0)+IF(Assumptions!AN$72=$D$19+RetailDowntime,((1-RetailRenewalProb)*NewLeaseTI+RetailRenewalProb*RenewalTI)*$B$19*INDEX(Cum_TILC,1,AN$77)+LeasingCommissionPct*$E$19*$B$19*INDEX(Cum_TILC,1,AN$77),0)+IF(Assumptions!AN$72=$D$20+RetailDowntime,((1-RetailRenewalProb)*NewLeaseTI+RetailRenewalProb*RenewalTI)*$B$20*INDEX(Cum_TILC,1,AN$77)+LeasingCommissionPct*$E$20*$B$20*INDEX(Cum_TILC,1,AN$77),0)+IF(Assumptions!AN$72=$D$21+RetailDowntime,((1-RetailRenewalProb)*NewLeaseTI+RetailRenewalProb*RenewalTI)*$B$21*INDEX(Cum_TILC,1,AN$77)+LeasingCommissionPct*$E$21*$B$21*INDEX(Cum_TILC,1,AN$77),0)+IF(Assumptions!AN$72=$D$22+RetailDowntime,((1-RetailRenewalProb)*NewLeaseTI+RetailRenewalProb*RenewalTI)*$B$22*INDEX(Cum_TILC,1,AN$77)+LeasingCommissionPct*$E$22*$B$22*INDEX(Cum_TILC,1,AN$77),0))*Assumptions!AN$74</f>
        <v/>
      </c>
      <c r="AO41" s="50">
        <f>(IF(Assumptions!AO$72=$D$17+RetailDowntime,((1-RetailRenewalProb)*NewLeaseTI+RetailRenewalProb*RenewalTI)*$B$17*INDEX(Cum_TILC,1,AO$77)+LeasingCommissionPct*$E$17*$B$17*INDEX(Cum_TILC,1,AO$77),0)+IF(Assumptions!AO$72=$D$18+RetailDowntime,((1-RetailRenewalProb)*NewLeaseTI+RetailRenewalProb*RenewalTI)*$B$18*INDEX(Cum_TILC,1,AO$77)+LeasingCommissionPct*$E$18*$B$18*INDEX(Cum_TILC,1,AO$77),0)+IF(Assumptions!AO$72=$D$19+RetailDowntime,((1-RetailRenewalProb)*NewLeaseTI+RetailRenewalProb*RenewalTI)*$B$19*INDEX(Cum_TILC,1,AO$77)+LeasingCommissionPct*$E$19*$B$19*INDEX(Cum_TILC,1,AO$77),0)+IF(Assumptions!AO$72=$D$20+RetailDowntime,((1-RetailRenewalProb)*NewLeaseTI+RetailRenewalProb*RenewalTI)*$B$20*INDEX(Cum_TILC,1,AO$77)+LeasingCommissionPct*$E$20*$B$20*INDEX(Cum_TILC,1,AO$77),0)+IF(Assumptions!AO$72=$D$21+RetailDowntime,((1-RetailRenewalProb)*NewLeaseTI+RetailRenewalProb*RenewalTI)*$B$21*INDEX(Cum_TILC,1,AO$77)+LeasingCommissionPct*$E$21*$B$21*INDEX(Cum_TILC,1,AO$77),0)+IF(Assumptions!AO$72=$D$22+RetailDowntime,((1-RetailRenewalProb)*NewLeaseTI+RetailRenewalProb*RenewalTI)*$B$22*INDEX(Cum_TILC,1,AO$77)+LeasingCommissionPct*$E$22*$B$22*INDEX(Cum_TILC,1,AO$77),0))*Assumptions!AO$74</f>
        <v/>
      </c>
      <c r="AP41" s="50">
        <f>(IF(Assumptions!AP$72=$D$17+RetailDowntime,((1-RetailRenewalProb)*NewLeaseTI+RetailRenewalProb*RenewalTI)*$B$17*INDEX(Cum_TILC,1,AP$77)+LeasingCommissionPct*$E$17*$B$17*INDEX(Cum_TILC,1,AP$77),0)+IF(Assumptions!AP$72=$D$18+RetailDowntime,((1-RetailRenewalProb)*NewLeaseTI+RetailRenewalProb*RenewalTI)*$B$18*INDEX(Cum_TILC,1,AP$77)+LeasingCommissionPct*$E$18*$B$18*INDEX(Cum_TILC,1,AP$77),0)+IF(Assumptions!AP$72=$D$19+RetailDowntime,((1-RetailRenewalProb)*NewLeaseTI+RetailRenewalProb*RenewalTI)*$B$19*INDEX(Cum_TILC,1,AP$77)+LeasingCommissionPct*$E$19*$B$19*INDEX(Cum_TILC,1,AP$77),0)+IF(Assumptions!AP$72=$D$20+RetailDowntime,((1-RetailRenewalProb)*NewLeaseTI+RetailRenewalProb*RenewalTI)*$B$20*INDEX(Cum_TILC,1,AP$77)+LeasingCommissionPct*$E$20*$B$20*INDEX(Cum_TILC,1,AP$77),0)+IF(Assumptions!AP$72=$D$21+RetailDowntime,((1-RetailRenewalProb)*NewLeaseTI+RetailRenewalProb*RenewalTI)*$B$21*INDEX(Cum_TILC,1,AP$77)+LeasingCommissionPct*$E$21*$B$21*INDEX(Cum_TILC,1,AP$77),0)+IF(Assumptions!AP$72=$D$22+RetailDowntime,((1-RetailRenewalProb)*NewLeaseTI+RetailRenewalProb*RenewalTI)*$B$22*INDEX(Cum_TILC,1,AP$77)+LeasingCommissionPct*$E$22*$B$22*INDEX(Cum_TILC,1,AP$77),0))*Assumptions!AP$74</f>
        <v/>
      </c>
      <c r="AQ41" s="50">
        <f>(IF(Assumptions!AQ$72=$D$17+RetailDowntime,((1-RetailRenewalProb)*NewLeaseTI+RetailRenewalProb*RenewalTI)*$B$17*INDEX(Cum_TILC,1,AQ$77)+LeasingCommissionPct*$E$17*$B$17*INDEX(Cum_TILC,1,AQ$77),0)+IF(Assumptions!AQ$72=$D$18+RetailDowntime,((1-RetailRenewalProb)*NewLeaseTI+RetailRenewalProb*RenewalTI)*$B$18*INDEX(Cum_TILC,1,AQ$77)+LeasingCommissionPct*$E$18*$B$18*INDEX(Cum_TILC,1,AQ$77),0)+IF(Assumptions!AQ$72=$D$19+RetailDowntime,((1-RetailRenewalProb)*NewLeaseTI+RetailRenewalProb*RenewalTI)*$B$19*INDEX(Cum_TILC,1,AQ$77)+LeasingCommissionPct*$E$19*$B$19*INDEX(Cum_TILC,1,AQ$77),0)+IF(Assumptions!AQ$72=$D$20+RetailDowntime,((1-RetailRenewalProb)*NewLeaseTI+RetailRenewalProb*RenewalTI)*$B$20*INDEX(Cum_TILC,1,AQ$77)+LeasingCommissionPct*$E$20*$B$20*INDEX(Cum_TILC,1,AQ$77),0)+IF(Assumptions!AQ$72=$D$21+RetailDowntime,((1-RetailRenewalProb)*NewLeaseTI+RetailRenewalProb*RenewalTI)*$B$21*INDEX(Cum_TILC,1,AQ$77)+LeasingCommissionPct*$E$21*$B$21*INDEX(Cum_TILC,1,AQ$77),0)+IF(Assumptions!AQ$72=$D$22+RetailDowntime,((1-RetailRenewalProb)*NewLeaseTI+RetailRenewalProb*RenewalTI)*$B$22*INDEX(Cum_TILC,1,AQ$77)+LeasingCommissionPct*$E$22*$B$22*INDEX(Cum_TILC,1,AQ$77),0))*Assumptions!AQ$74</f>
        <v/>
      </c>
      <c r="AR41" s="50">
        <f>(IF(Assumptions!AR$72=$D$17+RetailDowntime,((1-RetailRenewalProb)*NewLeaseTI+RetailRenewalProb*RenewalTI)*$B$17*INDEX(Cum_TILC,1,AR$77)+LeasingCommissionPct*$E$17*$B$17*INDEX(Cum_TILC,1,AR$77),0)+IF(Assumptions!AR$72=$D$18+RetailDowntime,((1-RetailRenewalProb)*NewLeaseTI+RetailRenewalProb*RenewalTI)*$B$18*INDEX(Cum_TILC,1,AR$77)+LeasingCommissionPct*$E$18*$B$18*INDEX(Cum_TILC,1,AR$77),0)+IF(Assumptions!AR$72=$D$19+RetailDowntime,((1-RetailRenewalProb)*NewLeaseTI+RetailRenewalProb*RenewalTI)*$B$19*INDEX(Cum_TILC,1,AR$77)+LeasingCommissionPct*$E$19*$B$19*INDEX(Cum_TILC,1,AR$77),0)+IF(Assumptions!AR$72=$D$20+RetailDowntime,((1-RetailRenewalProb)*NewLeaseTI+RetailRenewalProb*RenewalTI)*$B$20*INDEX(Cum_TILC,1,AR$77)+LeasingCommissionPct*$E$20*$B$20*INDEX(Cum_TILC,1,AR$77),0)+IF(Assumptions!AR$72=$D$21+RetailDowntime,((1-RetailRenewalProb)*NewLeaseTI+RetailRenewalProb*RenewalTI)*$B$21*INDEX(Cum_TILC,1,AR$77)+LeasingCommissionPct*$E$21*$B$21*INDEX(Cum_TILC,1,AR$77),0)+IF(Assumptions!AR$72=$D$22+RetailDowntime,((1-RetailRenewalProb)*NewLeaseTI+RetailRenewalProb*RenewalTI)*$B$22*INDEX(Cum_TILC,1,AR$77)+LeasingCommissionPct*$E$22*$B$22*INDEX(Cum_TILC,1,AR$77),0))*Assumptions!AR$74</f>
        <v/>
      </c>
      <c r="AS41" s="50">
        <f>(IF(Assumptions!AS$72=$D$17+RetailDowntime,((1-RetailRenewalProb)*NewLeaseTI+RetailRenewalProb*RenewalTI)*$B$17*INDEX(Cum_TILC,1,AS$77)+LeasingCommissionPct*$E$17*$B$17*INDEX(Cum_TILC,1,AS$77),0)+IF(Assumptions!AS$72=$D$18+RetailDowntime,((1-RetailRenewalProb)*NewLeaseTI+RetailRenewalProb*RenewalTI)*$B$18*INDEX(Cum_TILC,1,AS$77)+LeasingCommissionPct*$E$18*$B$18*INDEX(Cum_TILC,1,AS$77),0)+IF(Assumptions!AS$72=$D$19+RetailDowntime,((1-RetailRenewalProb)*NewLeaseTI+RetailRenewalProb*RenewalTI)*$B$19*INDEX(Cum_TILC,1,AS$77)+LeasingCommissionPct*$E$19*$B$19*INDEX(Cum_TILC,1,AS$77),0)+IF(Assumptions!AS$72=$D$20+RetailDowntime,((1-RetailRenewalProb)*NewLeaseTI+RetailRenewalProb*RenewalTI)*$B$20*INDEX(Cum_TILC,1,AS$77)+LeasingCommissionPct*$E$20*$B$20*INDEX(Cum_TILC,1,AS$77),0)+IF(Assumptions!AS$72=$D$21+RetailDowntime,((1-RetailRenewalProb)*NewLeaseTI+RetailRenewalProb*RenewalTI)*$B$21*INDEX(Cum_TILC,1,AS$77)+LeasingCommissionPct*$E$21*$B$21*INDEX(Cum_TILC,1,AS$77),0)+IF(Assumptions!AS$72=$D$22+RetailDowntime,((1-RetailRenewalProb)*NewLeaseTI+RetailRenewalProb*RenewalTI)*$B$22*INDEX(Cum_TILC,1,AS$77)+LeasingCommissionPct*$E$22*$B$22*INDEX(Cum_TILC,1,AS$77),0))*Assumptions!AS$74</f>
        <v/>
      </c>
      <c r="AT41" s="50">
        <f>(IF(Assumptions!AT$72=$D$17+RetailDowntime,((1-RetailRenewalProb)*NewLeaseTI+RetailRenewalProb*RenewalTI)*$B$17*INDEX(Cum_TILC,1,AT$77)+LeasingCommissionPct*$E$17*$B$17*INDEX(Cum_TILC,1,AT$77),0)+IF(Assumptions!AT$72=$D$18+RetailDowntime,((1-RetailRenewalProb)*NewLeaseTI+RetailRenewalProb*RenewalTI)*$B$18*INDEX(Cum_TILC,1,AT$77)+LeasingCommissionPct*$E$18*$B$18*INDEX(Cum_TILC,1,AT$77),0)+IF(Assumptions!AT$72=$D$19+RetailDowntime,((1-RetailRenewalProb)*NewLeaseTI+RetailRenewalProb*RenewalTI)*$B$19*INDEX(Cum_TILC,1,AT$77)+LeasingCommissionPct*$E$19*$B$19*INDEX(Cum_TILC,1,AT$77),0)+IF(Assumptions!AT$72=$D$20+RetailDowntime,((1-RetailRenewalProb)*NewLeaseTI+RetailRenewalProb*RenewalTI)*$B$20*INDEX(Cum_TILC,1,AT$77)+LeasingCommissionPct*$E$20*$B$20*INDEX(Cum_TILC,1,AT$77),0)+IF(Assumptions!AT$72=$D$21+RetailDowntime,((1-RetailRenewalProb)*NewLeaseTI+RetailRenewalProb*RenewalTI)*$B$21*INDEX(Cum_TILC,1,AT$77)+LeasingCommissionPct*$E$21*$B$21*INDEX(Cum_TILC,1,AT$77),0)+IF(Assumptions!AT$72=$D$22+RetailDowntime,((1-RetailRenewalProb)*NewLeaseTI+RetailRenewalProb*RenewalTI)*$B$22*INDEX(Cum_TILC,1,AT$77)+LeasingCommissionPct*$E$22*$B$22*INDEX(Cum_TILC,1,AT$77),0))*Assumptions!AT$74</f>
        <v/>
      </c>
      <c r="AU41" s="50">
        <f>(IF(Assumptions!AU$72=$D$17+RetailDowntime,((1-RetailRenewalProb)*NewLeaseTI+RetailRenewalProb*RenewalTI)*$B$17*INDEX(Cum_TILC,1,AU$77)+LeasingCommissionPct*$E$17*$B$17*INDEX(Cum_TILC,1,AU$77),0)+IF(Assumptions!AU$72=$D$18+RetailDowntime,((1-RetailRenewalProb)*NewLeaseTI+RetailRenewalProb*RenewalTI)*$B$18*INDEX(Cum_TILC,1,AU$77)+LeasingCommissionPct*$E$18*$B$18*INDEX(Cum_TILC,1,AU$77),0)+IF(Assumptions!AU$72=$D$19+RetailDowntime,((1-RetailRenewalProb)*NewLeaseTI+RetailRenewalProb*RenewalTI)*$B$19*INDEX(Cum_TILC,1,AU$77)+LeasingCommissionPct*$E$19*$B$19*INDEX(Cum_TILC,1,AU$77),0)+IF(Assumptions!AU$72=$D$20+RetailDowntime,((1-RetailRenewalProb)*NewLeaseTI+RetailRenewalProb*RenewalTI)*$B$20*INDEX(Cum_TILC,1,AU$77)+LeasingCommissionPct*$E$20*$B$20*INDEX(Cum_TILC,1,AU$77),0)+IF(Assumptions!AU$72=$D$21+RetailDowntime,((1-RetailRenewalProb)*NewLeaseTI+RetailRenewalProb*RenewalTI)*$B$21*INDEX(Cum_TILC,1,AU$77)+LeasingCommissionPct*$E$21*$B$21*INDEX(Cum_TILC,1,AU$77),0)+IF(Assumptions!AU$72=$D$22+RetailDowntime,((1-RetailRenewalProb)*NewLeaseTI+RetailRenewalProb*RenewalTI)*$B$22*INDEX(Cum_TILC,1,AU$77)+LeasingCommissionPct*$E$22*$B$22*INDEX(Cum_TILC,1,AU$77),0))*Assumptions!AU$74</f>
        <v/>
      </c>
      <c r="AV41" s="50">
        <f>(IF(Assumptions!AV$72=$D$17+RetailDowntime,((1-RetailRenewalProb)*NewLeaseTI+RetailRenewalProb*RenewalTI)*$B$17*INDEX(Cum_TILC,1,AV$77)+LeasingCommissionPct*$E$17*$B$17*INDEX(Cum_TILC,1,AV$77),0)+IF(Assumptions!AV$72=$D$18+RetailDowntime,((1-RetailRenewalProb)*NewLeaseTI+RetailRenewalProb*RenewalTI)*$B$18*INDEX(Cum_TILC,1,AV$77)+LeasingCommissionPct*$E$18*$B$18*INDEX(Cum_TILC,1,AV$77),0)+IF(Assumptions!AV$72=$D$19+RetailDowntime,((1-RetailRenewalProb)*NewLeaseTI+RetailRenewalProb*RenewalTI)*$B$19*INDEX(Cum_TILC,1,AV$77)+LeasingCommissionPct*$E$19*$B$19*INDEX(Cum_TILC,1,AV$77),0)+IF(Assumptions!AV$72=$D$20+RetailDowntime,((1-RetailRenewalProb)*NewLeaseTI+RetailRenewalProb*RenewalTI)*$B$20*INDEX(Cum_TILC,1,AV$77)+LeasingCommissionPct*$E$20*$B$20*INDEX(Cum_TILC,1,AV$77),0)+IF(Assumptions!AV$72=$D$21+RetailDowntime,((1-RetailRenewalProb)*NewLeaseTI+RetailRenewalProb*RenewalTI)*$B$21*INDEX(Cum_TILC,1,AV$77)+LeasingCommissionPct*$E$21*$B$21*INDEX(Cum_TILC,1,AV$77),0)+IF(Assumptions!AV$72=$D$22+RetailDowntime,((1-RetailRenewalProb)*NewLeaseTI+RetailRenewalProb*RenewalTI)*$B$22*INDEX(Cum_TILC,1,AV$77)+LeasingCommissionPct*$E$22*$B$22*INDEX(Cum_TILC,1,AV$77),0))*Assumptions!AV$74</f>
        <v/>
      </c>
      <c r="AW41" s="50">
        <f>(IF(Assumptions!AW$72=$D$17+RetailDowntime,((1-RetailRenewalProb)*NewLeaseTI+RetailRenewalProb*RenewalTI)*$B$17*INDEX(Cum_TILC,1,AW$77)+LeasingCommissionPct*$E$17*$B$17*INDEX(Cum_TILC,1,AW$77),0)+IF(Assumptions!AW$72=$D$18+RetailDowntime,((1-RetailRenewalProb)*NewLeaseTI+RetailRenewalProb*RenewalTI)*$B$18*INDEX(Cum_TILC,1,AW$77)+LeasingCommissionPct*$E$18*$B$18*INDEX(Cum_TILC,1,AW$77),0)+IF(Assumptions!AW$72=$D$19+RetailDowntime,((1-RetailRenewalProb)*NewLeaseTI+RetailRenewalProb*RenewalTI)*$B$19*INDEX(Cum_TILC,1,AW$77)+LeasingCommissionPct*$E$19*$B$19*INDEX(Cum_TILC,1,AW$77),0)+IF(Assumptions!AW$72=$D$20+RetailDowntime,((1-RetailRenewalProb)*NewLeaseTI+RetailRenewalProb*RenewalTI)*$B$20*INDEX(Cum_TILC,1,AW$77)+LeasingCommissionPct*$E$20*$B$20*INDEX(Cum_TILC,1,AW$77),0)+IF(Assumptions!AW$72=$D$21+RetailDowntime,((1-RetailRenewalProb)*NewLeaseTI+RetailRenewalProb*RenewalTI)*$B$21*INDEX(Cum_TILC,1,AW$77)+LeasingCommissionPct*$E$21*$B$21*INDEX(Cum_TILC,1,AW$77),0)+IF(Assumptions!AW$72=$D$22+RetailDowntime,((1-RetailRenewalProb)*NewLeaseTI+RetailRenewalProb*RenewalTI)*$B$22*INDEX(Cum_TILC,1,AW$77)+LeasingCommissionPct*$E$22*$B$22*INDEX(Cum_TILC,1,AW$77),0))*Assumptions!AW$74</f>
        <v/>
      </c>
      <c r="AX41" s="50">
        <f>(IF(Assumptions!AX$72=$D$17+RetailDowntime,((1-RetailRenewalProb)*NewLeaseTI+RetailRenewalProb*RenewalTI)*$B$17*INDEX(Cum_TILC,1,AX$77)+LeasingCommissionPct*$E$17*$B$17*INDEX(Cum_TILC,1,AX$77),0)+IF(Assumptions!AX$72=$D$18+RetailDowntime,((1-RetailRenewalProb)*NewLeaseTI+RetailRenewalProb*RenewalTI)*$B$18*INDEX(Cum_TILC,1,AX$77)+LeasingCommissionPct*$E$18*$B$18*INDEX(Cum_TILC,1,AX$77),0)+IF(Assumptions!AX$72=$D$19+RetailDowntime,((1-RetailRenewalProb)*NewLeaseTI+RetailRenewalProb*RenewalTI)*$B$19*INDEX(Cum_TILC,1,AX$77)+LeasingCommissionPct*$E$19*$B$19*INDEX(Cum_TILC,1,AX$77),0)+IF(Assumptions!AX$72=$D$20+RetailDowntime,((1-RetailRenewalProb)*NewLeaseTI+RetailRenewalProb*RenewalTI)*$B$20*INDEX(Cum_TILC,1,AX$77)+LeasingCommissionPct*$E$20*$B$20*INDEX(Cum_TILC,1,AX$77),0)+IF(Assumptions!AX$72=$D$21+RetailDowntime,((1-RetailRenewalProb)*NewLeaseTI+RetailRenewalProb*RenewalTI)*$B$21*INDEX(Cum_TILC,1,AX$77)+LeasingCommissionPct*$E$21*$B$21*INDEX(Cum_TILC,1,AX$77),0)+IF(Assumptions!AX$72=$D$22+RetailDowntime,((1-RetailRenewalProb)*NewLeaseTI+RetailRenewalProb*RenewalTI)*$B$22*INDEX(Cum_TILC,1,AX$77)+LeasingCommissionPct*$E$22*$B$22*INDEX(Cum_TILC,1,AX$77),0))*Assumptions!AX$74</f>
        <v/>
      </c>
      <c r="AY41" s="50">
        <f>(IF(Assumptions!AY$72=$D$17+RetailDowntime,((1-RetailRenewalProb)*NewLeaseTI+RetailRenewalProb*RenewalTI)*$B$17*INDEX(Cum_TILC,1,AY$77)+LeasingCommissionPct*$E$17*$B$17*INDEX(Cum_TILC,1,AY$77),0)+IF(Assumptions!AY$72=$D$18+RetailDowntime,((1-RetailRenewalProb)*NewLeaseTI+RetailRenewalProb*RenewalTI)*$B$18*INDEX(Cum_TILC,1,AY$77)+LeasingCommissionPct*$E$18*$B$18*INDEX(Cum_TILC,1,AY$77),0)+IF(Assumptions!AY$72=$D$19+RetailDowntime,((1-RetailRenewalProb)*NewLeaseTI+RetailRenewalProb*RenewalTI)*$B$19*INDEX(Cum_TILC,1,AY$77)+LeasingCommissionPct*$E$19*$B$19*INDEX(Cum_TILC,1,AY$77),0)+IF(Assumptions!AY$72=$D$20+RetailDowntime,((1-RetailRenewalProb)*NewLeaseTI+RetailRenewalProb*RenewalTI)*$B$20*INDEX(Cum_TILC,1,AY$77)+LeasingCommissionPct*$E$20*$B$20*INDEX(Cum_TILC,1,AY$77),0)+IF(Assumptions!AY$72=$D$21+RetailDowntime,((1-RetailRenewalProb)*NewLeaseTI+RetailRenewalProb*RenewalTI)*$B$21*INDEX(Cum_TILC,1,AY$77)+LeasingCommissionPct*$E$21*$B$21*INDEX(Cum_TILC,1,AY$77),0)+IF(Assumptions!AY$72=$D$22+RetailDowntime,((1-RetailRenewalProb)*NewLeaseTI+RetailRenewalProb*RenewalTI)*$B$22*INDEX(Cum_TILC,1,AY$77)+LeasingCommissionPct*$E$22*$B$22*INDEX(Cum_TILC,1,AY$77),0))*Assumptions!AY$74</f>
        <v/>
      </c>
      <c r="AZ41" s="50">
        <f>(IF(Assumptions!AZ$72=$D$17+RetailDowntime,((1-RetailRenewalProb)*NewLeaseTI+RetailRenewalProb*RenewalTI)*$B$17*INDEX(Cum_TILC,1,AZ$77)+LeasingCommissionPct*$E$17*$B$17*INDEX(Cum_TILC,1,AZ$77),0)+IF(Assumptions!AZ$72=$D$18+RetailDowntime,((1-RetailRenewalProb)*NewLeaseTI+RetailRenewalProb*RenewalTI)*$B$18*INDEX(Cum_TILC,1,AZ$77)+LeasingCommissionPct*$E$18*$B$18*INDEX(Cum_TILC,1,AZ$77),0)+IF(Assumptions!AZ$72=$D$19+RetailDowntime,((1-RetailRenewalProb)*NewLeaseTI+RetailRenewalProb*RenewalTI)*$B$19*INDEX(Cum_TILC,1,AZ$77)+LeasingCommissionPct*$E$19*$B$19*INDEX(Cum_TILC,1,AZ$77),0)+IF(Assumptions!AZ$72=$D$20+RetailDowntime,((1-RetailRenewalProb)*NewLeaseTI+RetailRenewalProb*RenewalTI)*$B$20*INDEX(Cum_TILC,1,AZ$77)+LeasingCommissionPct*$E$20*$B$20*INDEX(Cum_TILC,1,AZ$77),0)+IF(Assumptions!AZ$72=$D$21+RetailDowntime,((1-RetailRenewalProb)*NewLeaseTI+RetailRenewalProb*RenewalTI)*$B$21*INDEX(Cum_TILC,1,AZ$77)+LeasingCommissionPct*$E$21*$B$21*INDEX(Cum_TILC,1,AZ$77),0)+IF(Assumptions!AZ$72=$D$22+RetailDowntime,((1-RetailRenewalProb)*NewLeaseTI+RetailRenewalProb*RenewalTI)*$B$22*INDEX(Cum_TILC,1,AZ$77)+LeasingCommissionPct*$E$22*$B$22*INDEX(Cum_TILC,1,AZ$77),0))*Assumptions!AZ$74</f>
        <v/>
      </c>
      <c r="BA41" s="50">
        <f>(IF(Assumptions!BA$72=$D$17+RetailDowntime,((1-RetailRenewalProb)*NewLeaseTI+RetailRenewalProb*RenewalTI)*$B$17*INDEX(Cum_TILC,1,BA$77)+LeasingCommissionPct*$E$17*$B$17*INDEX(Cum_TILC,1,BA$77),0)+IF(Assumptions!BA$72=$D$18+RetailDowntime,((1-RetailRenewalProb)*NewLeaseTI+RetailRenewalProb*RenewalTI)*$B$18*INDEX(Cum_TILC,1,BA$77)+LeasingCommissionPct*$E$18*$B$18*INDEX(Cum_TILC,1,BA$77),0)+IF(Assumptions!BA$72=$D$19+RetailDowntime,((1-RetailRenewalProb)*NewLeaseTI+RetailRenewalProb*RenewalTI)*$B$19*INDEX(Cum_TILC,1,BA$77)+LeasingCommissionPct*$E$19*$B$19*INDEX(Cum_TILC,1,BA$77),0)+IF(Assumptions!BA$72=$D$20+RetailDowntime,((1-RetailRenewalProb)*NewLeaseTI+RetailRenewalProb*RenewalTI)*$B$20*INDEX(Cum_TILC,1,BA$77)+LeasingCommissionPct*$E$20*$B$20*INDEX(Cum_TILC,1,BA$77),0)+IF(Assumptions!BA$72=$D$21+RetailDowntime,((1-RetailRenewalProb)*NewLeaseTI+RetailRenewalProb*RenewalTI)*$B$21*INDEX(Cum_TILC,1,BA$77)+LeasingCommissionPct*$E$21*$B$21*INDEX(Cum_TILC,1,BA$77),0)+IF(Assumptions!BA$72=$D$22+RetailDowntime,((1-RetailRenewalProb)*NewLeaseTI+RetailRenewalProb*RenewalTI)*$B$22*INDEX(Cum_TILC,1,BA$77)+LeasingCommissionPct*$E$22*$B$22*INDEX(Cum_TILC,1,BA$77),0))*Assumptions!BA$74</f>
        <v/>
      </c>
      <c r="BB41" s="50">
        <f>(IF(Assumptions!BB$72=$D$17+RetailDowntime,((1-RetailRenewalProb)*NewLeaseTI+RetailRenewalProb*RenewalTI)*$B$17*INDEX(Cum_TILC,1,BB$77)+LeasingCommissionPct*$E$17*$B$17*INDEX(Cum_TILC,1,BB$77),0)+IF(Assumptions!BB$72=$D$18+RetailDowntime,((1-RetailRenewalProb)*NewLeaseTI+RetailRenewalProb*RenewalTI)*$B$18*INDEX(Cum_TILC,1,BB$77)+LeasingCommissionPct*$E$18*$B$18*INDEX(Cum_TILC,1,BB$77),0)+IF(Assumptions!BB$72=$D$19+RetailDowntime,((1-RetailRenewalProb)*NewLeaseTI+RetailRenewalProb*RenewalTI)*$B$19*INDEX(Cum_TILC,1,BB$77)+LeasingCommissionPct*$E$19*$B$19*INDEX(Cum_TILC,1,BB$77),0)+IF(Assumptions!BB$72=$D$20+RetailDowntime,((1-RetailRenewalProb)*NewLeaseTI+RetailRenewalProb*RenewalTI)*$B$20*INDEX(Cum_TILC,1,BB$77)+LeasingCommissionPct*$E$20*$B$20*INDEX(Cum_TILC,1,BB$77),0)+IF(Assumptions!BB$72=$D$21+RetailDowntime,((1-RetailRenewalProb)*NewLeaseTI+RetailRenewalProb*RenewalTI)*$B$21*INDEX(Cum_TILC,1,BB$77)+LeasingCommissionPct*$E$21*$B$21*INDEX(Cum_TILC,1,BB$77),0)+IF(Assumptions!BB$72=$D$22+RetailDowntime,((1-RetailRenewalProb)*NewLeaseTI+RetailRenewalProb*RenewalTI)*$B$22*INDEX(Cum_TILC,1,BB$77)+LeasingCommissionPct*$E$22*$B$22*INDEX(Cum_TILC,1,BB$77),0))*Assumptions!BB$74</f>
        <v/>
      </c>
      <c r="BC41" s="50">
        <f>(IF(Assumptions!BC$72=$D$17+RetailDowntime,((1-RetailRenewalProb)*NewLeaseTI+RetailRenewalProb*RenewalTI)*$B$17*INDEX(Cum_TILC,1,BC$77)+LeasingCommissionPct*$E$17*$B$17*INDEX(Cum_TILC,1,BC$77),0)+IF(Assumptions!BC$72=$D$18+RetailDowntime,((1-RetailRenewalProb)*NewLeaseTI+RetailRenewalProb*RenewalTI)*$B$18*INDEX(Cum_TILC,1,BC$77)+LeasingCommissionPct*$E$18*$B$18*INDEX(Cum_TILC,1,BC$77),0)+IF(Assumptions!BC$72=$D$19+RetailDowntime,((1-RetailRenewalProb)*NewLeaseTI+RetailRenewalProb*RenewalTI)*$B$19*INDEX(Cum_TILC,1,BC$77)+LeasingCommissionPct*$E$19*$B$19*INDEX(Cum_TILC,1,BC$77),0)+IF(Assumptions!BC$72=$D$20+RetailDowntime,((1-RetailRenewalProb)*NewLeaseTI+RetailRenewalProb*RenewalTI)*$B$20*INDEX(Cum_TILC,1,BC$77)+LeasingCommissionPct*$E$20*$B$20*INDEX(Cum_TILC,1,BC$77),0)+IF(Assumptions!BC$72=$D$21+RetailDowntime,((1-RetailRenewalProb)*NewLeaseTI+RetailRenewalProb*RenewalTI)*$B$21*INDEX(Cum_TILC,1,BC$77)+LeasingCommissionPct*$E$21*$B$21*INDEX(Cum_TILC,1,BC$77),0)+IF(Assumptions!BC$72=$D$22+RetailDowntime,((1-RetailRenewalProb)*NewLeaseTI+RetailRenewalProb*RenewalTI)*$B$22*INDEX(Cum_TILC,1,BC$77)+LeasingCommissionPct*$E$22*$B$22*INDEX(Cum_TILC,1,BC$77),0))*Assumptions!BC$74</f>
        <v/>
      </c>
      <c r="BD41" s="50">
        <f>(IF(Assumptions!BD$72=$D$17+RetailDowntime,((1-RetailRenewalProb)*NewLeaseTI+RetailRenewalProb*RenewalTI)*$B$17*INDEX(Cum_TILC,1,BD$77)+LeasingCommissionPct*$E$17*$B$17*INDEX(Cum_TILC,1,BD$77),0)+IF(Assumptions!BD$72=$D$18+RetailDowntime,((1-RetailRenewalProb)*NewLeaseTI+RetailRenewalProb*RenewalTI)*$B$18*INDEX(Cum_TILC,1,BD$77)+LeasingCommissionPct*$E$18*$B$18*INDEX(Cum_TILC,1,BD$77),0)+IF(Assumptions!BD$72=$D$19+RetailDowntime,((1-RetailRenewalProb)*NewLeaseTI+RetailRenewalProb*RenewalTI)*$B$19*INDEX(Cum_TILC,1,BD$77)+LeasingCommissionPct*$E$19*$B$19*INDEX(Cum_TILC,1,BD$77),0)+IF(Assumptions!BD$72=$D$20+RetailDowntime,((1-RetailRenewalProb)*NewLeaseTI+RetailRenewalProb*RenewalTI)*$B$20*INDEX(Cum_TILC,1,BD$77)+LeasingCommissionPct*$E$20*$B$20*INDEX(Cum_TILC,1,BD$77),0)+IF(Assumptions!BD$72=$D$21+RetailDowntime,((1-RetailRenewalProb)*NewLeaseTI+RetailRenewalProb*RenewalTI)*$B$21*INDEX(Cum_TILC,1,BD$77)+LeasingCommissionPct*$E$21*$B$21*INDEX(Cum_TILC,1,BD$77),0)+IF(Assumptions!BD$72=$D$22+RetailDowntime,((1-RetailRenewalProb)*NewLeaseTI+RetailRenewalProb*RenewalTI)*$B$22*INDEX(Cum_TILC,1,BD$77)+LeasingCommissionPct*$E$22*$B$22*INDEX(Cum_TILC,1,BD$77),0))*Assumptions!BD$74</f>
        <v/>
      </c>
      <c r="BE41" s="50">
        <f>(IF(Assumptions!BE$72=$D$17+RetailDowntime,((1-RetailRenewalProb)*NewLeaseTI+RetailRenewalProb*RenewalTI)*$B$17*INDEX(Cum_TILC,1,BE$77)+LeasingCommissionPct*$E$17*$B$17*INDEX(Cum_TILC,1,BE$77),0)+IF(Assumptions!BE$72=$D$18+RetailDowntime,((1-RetailRenewalProb)*NewLeaseTI+RetailRenewalProb*RenewalTI)*$B$18*INDEX(Cum_TILC,1,BE$77)+LeasingCommissionPct*$E$18*$B$18*INDEX(Cum_TILC,1,BE$77),0)+IF(Assumptions!BE$72=$D$19+RetailDowntime,((1-RetailRenewalProb)*NewLeaseTI+RetailRenewalProb*RenewalTI)*$B$19*INDEX(Cum_TILC,1,BE$77)+LeasingCommissionPct*$E$19*$B$19*INDEX(Cum_TILC,1,BE$77),0)+IF(Assumptions!BE$72=$D$20+RetailDowntime,((1-RetailRenewalProb)*NewLeaseTI+RetailRenewalProb*RenewalTI)*$B$20*INDEX(Cum_TILC,1,BE$77)+LeasingCommissionPct*$E$20*$B$20*INDEX(Cum_TILC,1,BE$77),0)+IF(Assumptions!BE$72=$D$21+RetailDowntime,((1-RetailRenewalProb)*NewLeaseTI+RetailRenewalProb*RenewalTI)*$B$21*INDEX(Cum_TILC,1,BE$77)+LeasingCommissionPct*$E$21*$B$21*INDEX(Cum_TILC,1,BE$77),0)+IF(Assumptions!BE$72=$D$22+RetailDowntime,((1-RetailRenewalProb)*NewLeaseTI+RetailRenewalProb*RenewalTI)*$B$22*INDEX(Cum_TILC,1,BE$77)+LeasingCommissionPct*$E$22*$B$22*INDEX(Cum_TILC,1,BE$77),0))*Assumptions!BE$74</f>
        <v/>
      </c>
      <c r="BF41" s="50">
        <f>(IF(Assumptions!BF$72=$D$17+RetailDowntime,((1-RetailRenewalProb)*NewLeaseTI+RetailRenewalProb*RenewalTI)*$B$17*INDEX(Cum_TILC,1,BF$77)+LeasingCommissionPct*$E$17*$B$17*INDEX(Cum_TILC,1,BF$77),0)+IF(Assumptions!BF$72=$D$18+RetailDowntime,((1-RetailRenewalProb)*NewLeaseTI+RetailRenewalProb*RenewalTI)*$B$18*INDEX(Cum_TILC,1,BF$77)+LeasingCommissionPct*$E$18*$B$18*INDEX(Cum_TILC,1,BF$77),0)+IF(Assumptions!BF$72=$D$19+RetailDowntime,((1-RetailRenewalProb)*NewLeaseTI+RetailRenewalProb*RenewalTI)*$B$19*INDEX(Cum_TILC,1,BF$77)+LeasingCommissionPct*$E$19*$B$19*INDEX(Cum_TILC,1,BF$77),0)+IF(Assumptions!BF$72=$D$20+RetailDowntime,((1-RetailRenewalProb)*NewLeaseTI+RetailRenewalProb*RenewalTI)*$B$20*INDEX(Cum_TILC,1,BF$77)+LeasingCommissionPct*$E$20*$B$20*INDEX(Cum_TILC,1,BF$77),0)+IF(Assumptions!BF$72=$D$21+RetailDowntime,((1-RetailRenewalProb)*NewLeaseTI+RetailRenewalProb*RenewalTI)*$B$21*INDEX(Cum_TILC,1,BF$77)+LeasingCommissionPct*$E$21*$B$21*INDEX(Cum_TILC,1,BF$77),0)+IF(Assumptions!BF$72=$D$22+RetailDowntime,((1-RetailRenewalProb)*NewLeaseTI+RetailRenewalProb*RenewalTI)*$B$22*INDEX(Cum_TILC,1,BF$77)+LeasingCommissionPct*$E$22*$B$22*INDEX(Cum_TILC,1,BF$77),0))*Assumptions!BF$74</f>
        <v/>
      </c>
      <c r="BG41" s="50">
        <f>(IF(Assumptions!BG$72=$D$17+RetailDowntime,((1-RetailRenewalProb)*NewLeaseTI+RetailRenewalProb*RenewalTI)*$B$17*INDEX(Cum_TILC,1,BG$77)+LeasingCommissionPct*$E$17*$B$17*INDEX(Cum_TILC,1,BG$77),0)+IF(Assumptions!BG$72=$D$18+RetailDowntime,((1-RetailRenewalProb)*NewLeaseTI+RetailRenewalProb*RenewalTI)*$B$18*INDEX(Cum_TILC,1,BG$77)+LeasingCommissionPct*$E$18*$B$18*INDEX(Cum_TILC,1,BG$77),0)+IF(Assumptions!BG$72=$D$19+RetailDowntime,((1-RetailRenewalProb)*NewLeaseTI+RetailRenewalProb*RenewalTI)*$B$19*INDEX(Cum_TILC,1,BG$77)+LeasingCommissionPct*$E$19*$B$19*INDEX(Cum_TILC,1,BG$77),0)+IF(Assumptions!BG$72=$D$20+RetailDowntime,((1-RetailRenewalProb)*NewLeaseTI+RetailRenewalProb*RenewalTI)*$B$20*INDEX(Cum_TILC,1,BG$77)+LeasingCommissionPct*$E$20*$B$20*INDEX(Cum_TILC,1,BG$77),0)+IF(Assumptions!BG$72=$D$21+RetailDowntime,((1-RetailRenewalProb)*NewLeaseTI+RetailRenewalProb*RenewalTI)*$B$21*INDEX(Cum_TILC,1,BG$77)+LeasingCommissionPct*$E$21*$B$21*INDEX(Cum_TILC,1,BG$77),0)+IF(Assumptions!BG$72=$D$22+RetailDowntime,((1-RetailRenewalProb)*NewLeaseTI+RetailRenewalProb*RenewalTI)*$B$22*INDEX(Cum_TILC,1,BG$77)+LeasingCommissionPct*$E$22*$B$22*INDEX(Cum_TILC,1,BG$77),0))*Assumptions!BG$74</f>
        <v/>
      </c>
      <c r="BH41" s="50">
        <f>(IF(Assumptions!BH$72=$D$17+RetailDowntime,((1-RetailRenewalProb)*NewLeaseTI+RetailRenewalProb*RenewalTI)*$B$17*INDEX(Cum_TILC,1,BH$77)+LeasingCommissionPct*$E$17*$B$17*INDEX(Cum_TILC,1,BH$77),0)+IF(Assumptions!BH$72=$D$18+RetailDowntime,((1-RetailRenewalProb)*NewLeaseTI+RetailRenewalProb*RenewalTI)*$B$18*INDEX(Cum_TILC,1,BH$77)+LeasingCommissionPct*$E$18*$B$18*INDEX(Cum_TILC,1,BH$77),0)+IF(Assumptions!BH$72=$D$19+RetailDowntime,((1-RetailRenewalProb)*NewLeaseTI+RetailRenewalProb*RenewalTI)*$B$19*INDEX(Cum_TILC,1,BH$77)+LeasingCommissionPct*$E$19*$B$19*INDEX(Cum_TILC,1,BH$77),0)+IF(Assumptions!BH$72=$D$20+RetailDowntime,((1-RetailRenewalProb)*NewLeaseTI+RetailRenewalProb*RenewalTI)*$B$20*INDEX(Cum_TILC,1,BH$77)+LeasingCommissionPct*$E$20*$B$20*INDEX(Cum_TILC,1,BH$77),0)+IF(Assumptions!BH$72=$D$21+RetailDowntime,((1-RetailRenewalProb)*NewLeaseTI+RetailRenewalProb*RenewalTI)*$B$21*INDEX(Cum_TILC,1,BH$77)+LeasingCommissionPct*$E$21*$B$21*INDEX(Cum_TILC,1,BH$77),0)+IF(Assumptions!BH$72=$D$22+RetailDowntime,((1-RetailRenewalProb)*NewLeaseTI+RetailRenewalProb*RenewalTI)*$B$22*INDEX(Cum_TILC,1,BH$77)+LeasingCommissionPct*$E$22*$B$22*INDEX(Cum_TILC,1,BH$77),0))*Assumptions!BH$74</f>
        <v/>
      </c>
      <c r="BI41" s="50">
        <f>(IF(Assumptions!BI$72=$D$17+RetailDowntime,((1-RetailRenewalProb)*NewLeaseTI+RetailRenewalProb*RenewalTI)*$B$17*INDEX(Cum_TILC,1,BI$77)+LeasingCommissionPct*$E$17*$B$17*INDEX(Cum_TILC,1,BI$77),0)+IF(Assumptions!BI$72=$D$18+RetailDowntime,((1-RetailRenewalProb)*NewLeaseTI+RetailRenewalProb*RenewalTI)*$B$18*INDEX(Cum_TILC,1,BI$77)+LeasingCommissionPct*$E$18*$B$18*INDEX(Cum_TILC,1,BI$77),0)+IF(Assumptions!BI$72=$D$19+RetailDowntime,((1-RetailRenewalProb)*NewLeaseTI+RetailRenewalProb*RenewalTI)*$B$19*INDEX(Cum_TILC,1,BI$77)+LeasingCommissionPct*$E$19*$B$19*INDEX(Cum_TILC,1,BI$77),0)+IF(Assumptions!BI$72=$D$20+RetailDowntime,((1-RetailRenewalProb)*NewLeaseTI+RetailRenewalProb*RenewalTI)*$B$20*INDEX(Cum_TILC,1,BI$77)+LeasingCommissionPct*$E$20*$B$20*INDEX(Cum_TILC,1,BI$77),0)+IF(Assumptions!BI$72=$D$21+RetailDowntime,((1-RetailRenewalProb)*NewLeaseTI+RetailRenewalProb*RenewalTI)*$B$21*INDEX(Cum_TILC,1,BI$77)+LeasingCommissionPct*$E$21*$B$21*INDEX(Cum_TILC,1,BI$77),0)+IF(Assumptions!BI$72=$D$22+RetailDowntime,((1-RetailRenewalProb)*NewLeaseTI+RetailRenewalProb*RenewalTI)*$B$22*INDEX(Cum_TILC,1,BI$77)+LeasingCommissionPct*$E$22*$B$22*INDEX(Cum_TILC,1,BI$77),0))*Assumptions!BI$74</f>
        <v/>
      </c>
      <c r="BJ41" s="50">
        <f>(IF(Assumptions!BJ$72=$D$17+RetailDowntime,((1-RetailRenewalProb)*NewLeaseTI+RetailRenewalProb*RenewalTI)*$B$17*INDEX(Cum_TILC,1,BJ$77)+LeasingCommissionPct*$E$17*$B$17*INDEX(Cum_TILC,1,BJ$77),0)+IF(Assumptions!BJ$72=$D$18+RetailDowntime,((1-RetailRenewalProb)*NewLeaseTI+RetailRenewalProb*RenewalTI)*$B$18*INDEX(Cum_TILC,1,BJ$77)+LeasingCommissionPct*$E$18*$B$18*INDEX(Cum_TILC,1,BJ$77),0)+IF(Assumptions!BJ$72=$D$19+RetailDowntime,((1-RetailRenewalProb)*NewLeaseTI+RetailRenewalProb*RenewalTI)*$B$19*INDEX(Cum_TILC,1,BJ$77)+LeasingCommissionPct*$E$19*$B$19*INDEX(Cum_TILC,1,BJ$77),0)+IF(Assumptions!BJ$72=$D$20+RetailDowntime,((1-RetailRenewalProb)*NewLeaseTI+RetailRenewalProb*RenewalTI)*$B$20*INDEX(Cum_TILC,1,BJ$77)+LeasingCommissionPct*$E$20*$B$20*INDEX(Cum_TILC,1,BJ$77),0)+IF(Assumptions!BJ$72=$D$21+RetailDowntime,((1-RetailRenewalProb)*NewLeaseTI+RetailRenewalProb*RenewalTI)*$B$21*INDEX(Cum_TILC,1,BJ$77)+LeasingCommissionPct*$E$21*$B$21*INDEX(Cum_TILC,1,BJ$77),0)+IF(Assumptions!BJ$72=$D$22+RetailDowntime,((1-RetailRenewalProb)*NewLeaseTI+RetailRenewalProb*RenewalTI)*$B$22*INDEX(Cum_TILC,1,BJ$77)+LeasingCommissionPct*$E$22*$B$22*INDEX(Cum_TILC,1,BJ$77),0))*Assumptions!BJ$74</f>
        <v/>
      </c>
      <c r="BK41" s="50">
        <f>(IF(Assumptions!BK$72=$D$17+RetailDowntime,((1-RetailRenewalProb)*NewLeaseTI+RetailRenewalProb*RenewalTI)*$B$17*INDEX(Cum_TILC,1,BK$77)+LeasingCommissionPct*$E$17*$B$17*INDEX(Cum_TILC,1,BK$77),0)+IF(Assumptions!BK$72=$D$18+RetailDowntime,((1-RetailRenewalProb)*NewLeaseTI+RetailRenewalProb*RenewalTI)*$B$18*INDEX(Cum_TILC,1,BK$77)+LeasingCommissionPct*$E$18*$B$18*INDEX(Cum_TILC,1,BK$77),0)+IF(Assumptions!BK$72=$D$19+RetailDowntime,((1-RetailRenewalProb)*NewLeaseTI+RetailRenewalProb*RenewalTI)*$B$19*INDEX(Cum_TILC,1,BK$77)+LeasingCommissionPct*$E$19*$B$19*INDEX(Cum_TILC,1,BK$77),0)+IF(Assumptions!BK$72=$D$20+RetailDowntime,((1-RetailRenewalProb)*NewLeaseTI+RetailRenewalProb*RenewalTI)*$B$20*INDEX(Cum_TILC,1,BK$77)+LeasingCommissionPct*$E$20*$B$20*INDEX(Cum_TILC,1,BK$77),0)+IF(Assumptions!BK$72=$D$21+RetailDowntime,((1-RetailRenewalProb)*NewLeaseTI+RetailRenewalProb*RenewalTI)*$B$21*INDEX(Cum_TILC,1,BK$77)+LeasingCommissionPct*$E$21*$B$21*INDEX(Cum_TILC,1,BK$77),0)+IF(Assumptions!BK$72=$D$22+RetailDowntime,((1-RetailRenewalProb)*NewLeaseTI+RetailRenewalProb*RenewalTI)*$B$22*INDEX(Cum_TILC,1,BK$77)+LeasingCommissionPct*$E$22*$B$22*INDEX(Cum_TILC,1,BK$77),0))*Assumptions!BK$74</f>
        <v/>
      </c>
      <c r="BL41" s="50">
        <f>(IF(Assumptions!BL$72=$D$17+RetailDowntime,((1-RetailRenewalProb)*NewLeaseTI+RetailRenewalProb*RenewalTI)*$B$17*INDEX(Cum_TILC,1,BL$77)+LeasingCommissionPct*$E$17*$B$17*INDEX(Cum_TILC,1,BL$77),0)+IF(Assumptions!BL$72=$D$18+RetailDowntime,((1-RetailRenewalProb)*NewLeaseTI+RetailRenewalProb*RenewalTI)*$B$18*INDEX(Cum_TILC,1,BL$77)+LeasingCommissionPct*$E$18*$B$18*INDEX(Cum_TILC,1,BL$77),0)+IF(Assumptions!BL$72=$D$19+RetailDowntime,((1-RetailRenewalProb)*NewLeaseTI+RetailRenewalProb*RenewalTI)*$B$19*INDEX(Cum_TILC,1,BL$77)+LeasingCommissionPct*$E$19*$B$19*INDEX(Cum_TILC,1,BL$77),0)+IF(Assumptions!BL$72=$D$20+RetailDowntime,((1-RetailRenewalProb)*NewLeaseTI+RetailRenewalProb*RenewalTI)*$B$20*INDEX(Cum_TILC,1,BL$77)+LeasingCommissionPct*$E$20*$B$20*INDEX(Cum_TILC,1,BL$77),0)+IF(Assumptions!BL$72=$D$21+RetailDowntime,((1-RetailRenewalProb)*NewLeaseTI+RetailRenewalProb*RenewalTI)*$B$21*INDEX(Cum_TILC,1,BL$77)+LeasingCommissionPct*$E$21*$B$21*INDEX(Cum_TILC,1,BL$77),0)+IF(Assumptions!BL$72=$D$22+RetailDowntime,((1-RetailRenewalProb)*NewLeaseTI+RetailRenewalProb*RenewalTI)*$B$22*INDEX(Cum_TILC,1,BL$77)+LeasingCommissionPct*$E$22*$B$22*INDEX(Cum_TILC,1,BL$77),0))*Assumptions!BL$74</f>
        <v/>
      </c>
      <c r="BM41" s="50">
        <f>(IF(Assumptions!BM$72=$D$17+RetailDowntime,((1-RetailRenewalProb)*NewLeaseTI+RetailRenewalProb*RenewalTI)*$B$17*INDEX(Cum_TILC,1,BM$77)+LeasingCommissionPct*$E$17*$B$17*INDEX(Cum_TILC,1,BM$77),0)+IF(Assumptions!BM$72=$D$18+RetailDowntime,((1-RetailRenewalProb)*NewLeaseTI+RetailRenewalProb*RenewalTI)*$B$18*INDEX(Cum_TILC,1,BM$77)+LeasingCommissionPct*$E$18*$B$18*INDEX(Cum_TILC,1,BM$77),0)+IF(Assumptions!BM$72=$D$19+RetailDowntime,((1-RetailRenewalProb)*NewLeaseTI+RetailRenewalProb*RenewalTI)*$B$19*INDEX(Cum_TILC,1,BM$77)+LeasingCommissionPct*$E$19*$B$19*INDEX(Cum_TILC,1,BM$77),0)+IF(Assumptions!BM$72=$D$20+RetailDowntime,((1-RetailRenewalProb)*NewLeaseTI+RetailRenewalProb*RenewalTI)*$B$20*INDEX(Cum_TILC,1,BM$77)+LeasingCommissionPct*$E$20*$B$20*INDEX(Cum_TILC,1,BM$77),0)+IF(Assumptions!BM$72=$D$21+RetailDowntime,((1-RetailRenewalProb)*NewLeaseTI+RetailRenewalProb*RenewalTI)*$B$21*INDEX(Cum_TILC,1,BM$77)+LeasingCommissionPct*$E$21*$B$21*INDEX(Cum_TILC,1,BM$77),0)+IF(Assumptions!BM$72=$D$22+RetailDowntime,((1-RetailRenewalProb)*NewLeaseTI+RetailRenewalProb*RenewalTI)*$B$22*INDEX(Cum_TILC,1,BM$77)+LeasingCommissionPct*$E$22*$B$22*INDEX(Cum_TILC,1,BM$77),0))*Assumptions!BM$74</f>
        <v/>
      </c>
      <c r="BN41" s="50">
        <f>(IF(Assumptions!BN$72=$D$17+RetailDowntime,((1-RetailRenewalProb)*NewLeaseTI+RetailRenewalProb*RenewalTI)*$B$17*INDEX(Cum_TILC,1,BN$77)+LeasingCommissionPct*$E$17*$B$17*INDEX(Cum_TILC,1,BN$77),0)+IF(Assumptions!BN$72=$D$18+RetailDowntime,((1-RetailRenewalProb)*NewLeaseTI+RetailRenewalProb*RenewalTI)*$B$18*INDEX(Cum_TILC,1,BN$77)+LeasingCommissionPct*$E$18*$B$18*INDEX(Cum_TILC,1,BN$77),0)+IF(Assumptions!BN$72=$D$19+RetailDowntime,((1-RetailRenewalProb)*NewLeaseTI+RetailRenewalProb*RenewalTI)*$B$19*INDEX(Cum_TILC,1,BN$77)+LeasingCommissionPct*$E$19*$B$19*INDEX(Cum_TILC,1,BN$77),0)+IF(Assumptions!BN$72=$D$20+RetailDowntime,((1-RetailRenewalProb)*NewLeaseTI+RetailRenewalProb*RenewalTI)*$B$20*INDEX(Cum_TILC,1,BN$77)+LeasingCommissionPct*$E$20*$B$20*INDEX(Cum_TILC,1,BN$77),0)+IF(Assumptions!BN$72=$D$21+RetailDowntime,((1-RetailRenewalProb)*NewLeaseTI+RetailRenewalProb*RenewalTI)*$B$21*INDEX(Cum_TILC,1,BN$77)+LeasingCommissionPct*$E$21*$B$21*INDEX(Cum_TILC,1,BN$77),0)+IF(Assumptions!BN$72=$D$22+RetailDowntime,((1-RetailRenewalProb)*NewLeaseTI+RetailRenewalProb*RenewalTI)*$B$22*INDEX(Cum_TILC,1,BN$77)+LeasingCommissionPct*$E$22*$B$22*INDEX(Cum_TILC,1,BN$77),0))*Assumptions!BN$74</f>
        <v/>
      </c>
      <c r="BO41" s="50">
        <f>(IF(Assumptions!BO$72=$D$17+RetailDowntime,((1-RetailRenewalProb)*NewLeaseTI+RetailRenewalProb*RenewalTI)*$B$17*INDEX(Cum_TILC,1,BO$77)+LeasingCommissionPct*$E$17*$B$17*INDEX(Cum_TILC,1,BO$77),0)+IF(Assumptions!BO$72=$D$18+RetailDowntime,((1-RetailRenewalProb)*NewLeaseTI+RetailRenewalProb*RenewalTI)*$B$18*INDEX(Cum_TILC,1,BO$77)+LeasingCommissionPct*$E$18*$B$18*INDEX(Cum_TILC,1,BO$77),0)+IF(Assumptions!BO$72=$D$19+RetailDowntime,((1-RetailRenewalProb)*NewLeaseTI+RetailRenewalProb*RenewalTI)*$B$19*INDEX(Cum_TILC,1,BO$77)+LeasingCommissionPct*$E$19*$B$19*INDEX(Cum_TILC,1,BO$77),0)+IF(Assumptions!BO$72=$D$20+RetailDowntime,((1-RetailRenewalProb)*NewLeaseTI+RetailRenewalProb*RenewalTI)*$B$20*INDEX(Cum_TILC,1,BO$77)+LeasingCommissionPct*$E$20*$B$20*INDEX(Cum_TILC,1,BO$77),0)+IF(Assumptions!BO$72=$D$21+RetailDowntime,((1-RetailRenewalProb)*NewLeaseTI+RetailRenewalProb*RenewalTI)*$B$21*INDEX(Cum_TILC,1,BO$77)+LeasingCommissionPct*$E$21*$B$21*INDEX(Cum_TILC,1,BO$77),0)+IF(Assumptions!BO$72=$D$22+RetailDowntime,((1-RetailRenewalProb)*NewLeaseTI+RetailRenewalProb*RenewalTI)*$B$22*INDEX(Cum_TILC,1,BO$77)+LeasingCommissionPct*$E$22*$B$22*INDEX(Cum_TILC,1,BO$77),0))*Assumptions!BO$74</f>
        <v/>
      </c>
      <c r="BP41" s="50">
        <f>(IF(Assumptions!BP$72=$D$17+RetailDowntime,((1-RetailRenewalProb)*NewLeaseTI+RetailRenewalProb*RenewalTI)*$B$17*INDEX(Cum_TILC,1,BP$77)+LeasingCommissionPct*$E$17*$B$17*INDEX(Cum_TILC,1,BP$77),0)+IF(Assumptions!BP$72=$D$18+RetailDowntime,((1-RetailRenewalProb)*NewLeaseTI+RetailRenewalProb*RenewalTI)*$B$18*INDEX(Cum_TILC,1,BP$77)+LeasingCommissionPct*$E$18*$B$18*INDEX(Cum_TILC,1,BP$77),0)+IF(Assumptions!BP$72=$D$19+RetailDowntime,((1-RetailRenewalProb)*NewLeaseTI+RetailRenewalProb*RenewalTI)*$B$19*INDEX(Cum_TILC,1,BP$77)+LeasingCommissionPct*$E$19*$B$19*INDEX(Cum_TILC,1,BP$77),0)+IF(Assumptions!BP$72=$D$20+RetailDowntime,((1-RetailRenewalProb)*NewLeaseTI+RetailRenewalProb*RenewalTI)*$B$20*INDEX(Cum_TILC,1,BP$77)+LeasingCommissionPct*$E$20*$B$20*INDEX(Cum_TILC,1,BP$77),0)+IF(Assumptions!BP$72=$D$21+RetailDowntime,((1-RetailRenewalProb)*NewLeaseTI+RetailRenewalProb*RenewalTI)*$B$21*INDEX(Cum_TILC,1,BP$77)+LeasingCommissionPct*$E$21*$B$21*INDEX(Cum_TILC,1,BP$77),0)+IF(Assumptions!BP$72=$D$22+RetailDowntime,((1-RetailRenewalProb)*NewLeaseTI+RetailRenewalProb*RenewalTI)*$B$22*INDEX(Cum_TILC,1,BP$77)+LeasingCommissionPct*$E$22*$B$22*INDEX(Cum_TILC,1,BP$77),0))*Assumptions!BP$74</f>
        <v/>
      </c>
      <c r="BQ41" s="50">
        <f>(IF(Assumptions!BQ$72=$D$17+RetailDowntime,((1-RetailRenewalProb)*NewLeaseTI+RetailRenewalProb*RenewalTI)*$B$17*INDEX(Cum_TILC,1,BQ$77)+LeasingCommissionPct*$E$17*$B$17*INDEX(Cum_TILC,1,BQ$77),0)+IF(Assumptions!BQ$72=$D$18+RetailDowntime,((1-RetailRenewalProb)*NewLeaseTI+RetailRenewalProb*RenewalTI)*$B$18*INDEX(Cum_TILC,1,BQ$77)+LeasingCommissionPct*$E$18*$B$18*INDEX(Cum_TILC,1,BQ$77),0)+IF(Assumptions!BQ$72=$D$19+RetailDowntime,((1-RetailRenewalProb)*NewLeaseTI+RetailRenewalProb*RenewalTI)*$B$19*INDEX(Cum_TILC,1,BQ$77)+LeasingCommissionPct*$E$19*$B$19*INDEX(Cum_TILC,1,BQ$77),0)+IF(Assumptions!BQ$72=$D$20+RetailDowntime,((1-RetailRenewalProb)*NewLeaseTI+RetailRenewalProb*RenewalTI)*$B$20*INDEX(Cum_TILC,1,BQ$77)+LeasingCommissionPct*$E$20*$B$20*INDEX(Cum_TILC,1,BQ$77),0)+IF(Assumptions!BQ$72=$D$21+RetailDowntime,((1-RetailRenewalProb)*NewLeaseTI+RetailRenewalProb*RenewalTI)*$B$21*INDEX(Cum_TILC,1,BQ$77)+LeasingCommissionPct*$E$21*$B$21*INDEX(Cum_TILC,1,BQ$77),0)+IF(Assumptions!BQ$72=$D$22+RetailDowntime,((1-RetailRenewalProb)*NewLeaseTI+RetailRenewalProb*RenewalTI)*$B$22*INDEX(Cum_TILC,1,BQ$77)+LeasingCommissionPct*$E$22*$B$22*INDEX(Cum_TILC,1,BQ$77),0))*Assumptions!BQ$74</f>
        <v/>
      </c>
      <c r="BR41" s="50">
        <f>(IF(Assumptions!BR$72=$D$17+RetailDowntime,((1-RetailRenewalProb)*NewLeaseTI+RetailRenewalProb*RenewalTI)*$B$17*INDEX(Cum_TILC,1,BR$77)+LeasingCommissionPct*$E$17*$B$17*INDEX(Cum_TILC,1,BR$77),0)+IF(Assumptions!BR$72=$D$18+RetailDowntime,((1-RetailRenewalProb)*NewLeaseTI+RetailRenewalProb*RenewalTI)*$B$18*INDEX(Cum_TILC,1,BR$77)+LeasingCommissionPct*$E$18*$B$18*INDEX(Cum_TILC,1,BR$77),0)+IF(Assumptions!BR$72=$D$19+RetailDowntime,((1-RetailRenewalProb)*NewLeaseTI+RetailRenewalProb*RenewalTI)*$B$19*INDEX(Cum_TILC,1,BR$77)+LeasingCommissionPct*$E$19*$B$19*INDEX(Cum_TILC,1,BR$77),0)+IF(Assumptions!BR$72=$D$20+RetailDowntime,((1-RetailRenewalProb)*NewLeaseTI+RetailRenewalProb*RenewalTI)*$B$20*INDEX(Cum_TILC,1,BR$77)+LeasingCommissionPct*$E$20*$B$20*INDEX(Cum_TILC,1,BR$77),0)+IF(Assumptions!BR$72=$D$21+RetailDowntime,((1-RetailRenewalProb)*NewLeaseTI+RetailRenewalProb*RenewalTI)*$B$21*INDEX(Cum_TILC,1,BR$77)+LeasingCommissionPct*$E$21*$B$21*INDEX(Cum_TILC,1,BR$77),0)+IF(Assumptions!BR$72=$D$22+RetailDowntime,((1-RetailRenewalProb)*NewLeaseTI+RetailRenewalProb*RenewalTI)*$B$22*INDEX(Cum_TILC,1,BR$77)+LeasingCommissionPct*$E$22*$B$22*INDEX(Cum_TILC,1,BR$77),0))*Assumptions!BR$74</f>
        <v/>
      </c>
      <c r="BS41" s="50">
        <f>(IF(Assumptions!BS$72=$D$17+RetailDowntime,((1-RetailRenewalProb)*NewLeaseTI+RetailRenewalProb*RenewalTI)*$B$17*INDEX(Cum_TILC,1,BS$77)+LeasingCommissionPct*$E$17*$B$17*INDEX(Cum_TILC,1,BS$77),0)+IF(Assumptions!BS$72=$D$18+RetailDowntime,((1-RetailRenewalProb)*NewLeaseTI+RetailRenewalProb*RenewalTI)*$B$18*INDEX(Cum_TILC,1,BS$77)+LeasingCommissionPct*$E$18*$B$18*INDEX(Cum_TILC,1,BS$77),0)+IF(Assumptions!BS$72=$D$19+RetailDowntime,((1-RetailRenewalProb)*NewLeaseTI+RetailRenewalProb*RenewalTI)*$B$19*INDEX(Cum_TILC,1,BS$77)+LeasingCommissionPct*$E$19*$B$19*INDEX(Cum_TILC,1,BS$77),0)+IF(Assumptions!BS$72=$D$20+RetailDowntime,((1-RetailRenewalProb)*NewLeaseTI+RetailRenewalProb*RenewalTI)*$B$20*INDEX(Cum_TILC,1,BS$77)+LeasingCommissionPct*$E$20*$B$20*INDEX(Cum_TILC,1,BS$77),0)+IF(Assumptions!BS$72=$D$21+RetailDowntime,((1-RetailRenewalProb)*NewLeaseTI+RetailRenewalProb*RenewalTI)*$B$21*INDEX(Cum_TILC,1,BS$77)+LeasingCommissionPct*$E$21*$B$21*INDEX(Cum_TILC,1,BS$77),0)+IF(Assumptions!BS$72=$D$22+RetailDowntime,((1-RetailRenewalProb)*NewLeaseTI+RetailRenewalProb*RenewalTI)*$B$22*INDEX(Cum_TILC,1,BS$77)+LeasingCommissionPct*$E$22*$B$22*INDEX(Cum_TILC,1,BS$77),0))*Assumptions!BS$74</f>
        <v/>
      </c>
      <c r="BT41" s="50">
        <f>(IF(Assumptions!BT$72=$D$17+RetailDowntime,((1-RetailRenewalProb)*NewLeaseTI+RetailRenewalProb*RenewalTI)*$B$17*INDEX(Cum_TILC,1,BT$77)+LeasingCommissionPct*$E$17*$B$17*INDEX(Cum_TILC,1,BT$77),0)+IF(Assumptions!BT$72=$D$18+RetailDowntime,((1-RetailRenewalProb)*NewLeaseTI+RetailRenewalProb*RenewalTI)*$B$18*INDEX(Cum_TILC,1,BT$77)+LeasingCommissionPct*$E$18*$B$18*INDEX(Cum_TILC,1,BT$77),0)+IF(Assumptions!BT$72=$D$19+RetailDowntime,((1-RetailRenewalProb)*NewLeaseTI+RetailRenewalProb*RenewalTI)*$B$19*INDEX(Cum_TILC,1,BT$77)+LeasingCommissionPct*$E$19*$B$19*INDEX(Cum_TILC,1,BT$77),0)+IF(Assumptions!BT$72=$D$20+RetailDowntime,((1-RetailRenewalProb)*NewLeaseTI+RetailRenewalProb*RenewalTI)*$B$20*INDEX(Cum_TILC,1,BT$77)+LeasingCommissionPct*$E$20*$B$20*INDEX(Cum_TILC,1,BT$77),0)+IF(Assumptions!BT$72=$D$21+RetailDowntime,((1-RetailRenewalProb)*NewLeaseTI+RetailRenewalProb*RenewalTI)*$B$21*INDEX(Cum_TILC,1,BT$77)+LeasingCommissionPct*$E$21*$B$21*INDEX(Cum_TILC,1,BT$77),0)+IF(Assumptions!BT$72=$D$22+RetailDowntime,((1-RetailRenewalProb)*NewLeaseTI+RetailRenewalProb*RenewalTI)*$B$22*INDEX(Cum_TILC,1,BT$77)+LeasingCommissionPct*$E$22*$B$22*INDEX(Cum_TILC,1,BT$77),0))*Assumptions!BT$74</f>
        <v/>
      </c>
      <c r="BU41" s="50">
        <f>(IF(Assumptions!BU$72=$D$17+RetailDowntime,((1-RetailRenewalProb)*NewLeaseTI+RetailRenewalProb*RenewalTI)*$B$17*INDEX(Cum_TILC,1,BU$77)+LeasingCommissionPct*$E$17*$B$17*INDEX(Cum_TILC,1,BU$77),0)+IF(Assumptions!BU$72=$D$18+RetailDowntime,((1-RetailRenewalProb)*NewLeaseTI+RetailRenewalProb*RenewalTI)*$B$18*INDEX(Cum_TILC,1,BU$77)+LeasingCommissionPct*$E$18*$B$18*INDEX(Cum_TILC,1,BU$77),0)+IF(Assumptions!BU$72=$D$19+RetailDowntime,((1-RetailRenewalProb)*NewLeaseTI+RetailRenewalProb*RenewalTI)*$B$19*INDEX(Cum_TILC,1,BU$77)+LeasingCommissionPct*$E$19*$B$19*INDEX(Cum_TILC,1,BU$77),0)+IF(Assumptions!BU$72=$D$20+RetailDowntime,((1-RetailRenewalProb)*NewLeaseTI+RetailRenewalProb*RenewalTI)*$B$20*INDEX(Cum_TILC,1,BU$77)+LeasingCommissionPct*$E$20*$B$20*INDEX(Cum_TILC,1,BU$77),0)+IF(Assumptions!BU$72=$D$21+RetailDowntime,((1-RetailRenewalProb)*NewLeaseTI+RetailRenewalProb*RenewalTI)*$B$21*INDEX(Cum_TILC,1,BU$77)+LeasingCommissionPct*$E$21*$B$21*INDEX(Cum_TILC,1,BU$77),0)+IF(Assumptions!BU$72=$D$22+RetailDowntime,((1-RetailRenewalProb)*NewLeaseTI+RetailRenewalProb*RenewalTI)*$B$22*INDEX(Cum_TILC,1,BU$77)+LeasingCommissionPct*$E$22*$B$22*INDEX(Cum_TILC,1,BU$77),0))*Assumptions!BU$74</f>
        <v/>
      </c>
      <c r="BV41" s="50">
        <f>(IF(Assumptions!BV$72=$D$17+RetailDowntime,((1-RetailRenewalProb)*NewLeaseTI+RetailRenewalProb*RenewalTI)*$B$17*INDEX(Cum_TILC,1,BV$77)+LeasingCommissionPct*$E$17*$B$17*INDEX(Cum_TILC,1,BV$77),0)+IF(Assumptions!BV$72=$D$18+RetailDowntime,((1-RetailRenewalProb)*NewLeaseTI+RetailRenewalProb*RenewalTI)*$B$18*INDEX(Cum_TILC,1,BV$77)+LeasingCommissionPct*$E$18*$B$18*INDEX(Cum_TILC,1,BV$77),0)+IF(Assumptions!BV$72=$D$19+RetailDowntime,((1-RetailRenewalProb)*NewLeaseTI+RetailRenewalProb*RenewalTI)*$B$19*INDEX(Cum_TILC,1,BV$77)+LeasingCommissionPct*$E$19*$B$19*INDEX(Cum_TILC,1,BV$77),0)+IF(Assumptions!BV$72=$D$20+RetailDowntime,((1-RetailRenewalProb)*NewLeaseTI+RetailRenewalProb*RenewalTI)*$B$20*INDEX(Cum_TILC,1,BV$77)+LeasingCommissionPct*$E$20*$B$20*INDEX(Cum_TILC,1,BV$77),0)+IF(Assumptions!BV$72=$D$21+RetailDowntime,((1-RetailRenewalProb)*NewLeaseTI+RetailRenewalProb*RenewalTI)*$B$21*INDEX(Cum_TILC,1,BV$77)+LeasingCommissionPct*$E$21*$B$21*INDEX(Cum_TILC,1,BV$77),0)+IF(Assumptions!BV$72=$D$22+RetailDowntime,((1-RetailRenewalProb)*NewLeaseTI+RetailRenewalProb*RenewalTI)*$B$22*INDEX(Cum_TILC,1,BV$77)+LeasingCommissionPct*$E$22*$B$22*INDEX(Cum_TILC,1,BV$77),0))*Assumptions!BV$74</f>
        <v/>
      </c>
      <c r="BW41" s="50">
        <f>(IF(Assumptions!BW$72=$D$17+RetailDowntime,((1-RetailRenewalProb)*NewLeaseTI+RetailRenewalProb*RenewalTI)*$B$17*INDEX(Cum_TILC,1,BW$77)+LeasingCommissionPct*$E$17*$B$17*INDEX(Cum_TILC,1,BW$77),0)+IF(Assumptions!BW$72=$D$18+RetailDowntime,((1-RetailRenewalProb)*NewLeaseTI+RetailRenewalProb*RenewalTI)*$B$18*INDEX(Cum_TILC,1,BW$77)+LeasingCommissionPct*$E$18*$B$18*INDEX(Cum_TILC,1,BW$77),0)+IF(Assumptions!BW$72=$D$19+RetailDowntime,((1-RetailRenewalProb)*NewLeaseTI+RetailRenewalProb*RenewalTI)*$B$19*INDEX(Cum_TILC,1,BW$77)+LeasingCommissionPct*$E$19*$B$19*INDEX(Cum_TILC,1,BW$77),0)+IF(Assumptions!BW$72=$D$20+RetailDowntime,((1-RetailRenewalProb)*NewLeaseTI+RetailRenewalProb*RenewalTI)*$B$20*INDEX(Cum_TILC,1,BW$77)+LeasingCommissionPct*$E$20*$B$20*INDEX(Cum_TILC,1,BW$77),0)+IF(Assumptions!BW$72=$D$21+RetailDowntime,((1-RetailRenewalProb)*NewLeaseTI+RetailRenewalProb*RenewalTI)*$B$21*INDEX(Cum_TILC,1,BW$77)+LeasingCommissionPct*$E$21*$B$21*INDEX(Cum_TILC,1,BW$77),0)+IF(Assumptions!BW$72=$D$22+RetailDowntime,((1-RetailRenewalProb)*NewLeaseTI+RetailRenewalProb*RenewalTI)*$B$22*INDEX(Cum_TILC,1,BW$77)+LeasingCommissionPct*$E$22*$B$22*INDEX(Cum_TILC,1,BW$77),0))*Assumptions!BW$74</f>
        <v/>
      </c>
      <c r="BX41" s="50">
        <f>(IF(Assumptions!BX$72=$D$17+RetailDowntime,((1-RetailRenewalProb)*NewLeaseTI+RetailRenewalProb*RenewalTI)*$B$17*INDEX(Cum_TILC,1,BX$77)+LeasingCommissionPct*$E$17*$B$17*INDEX(Cum_TILC,1,BX$77),0)+IF(Assumptions!BX$72=$D$18+RetailDowntime,((1-RetailRenewalProb)*NewLeaseTI+RetailRenewalProb*RenewalTI)*$B$18*INDEX(Cum_TILC,1,BX$77)+LeasingCommissionPct*$E$18*$B$18*INDEX(Cum_TILC,1,BX$77),0)+IF(Assumptions!BX$72=$D$19+RetailDowntime,((1-RetailRenewalProb)*NewLeaseTI+RetailRenewalProb*RenewalTI)*$B$19*INDEX(Cum_TILC,1,BX$77)+LeasingCommissionPct*$E$19*$B$19*INDEX(Cum_TILC,1,BX$77),0)+IF(Assumptions!BX$72=$D$20+RetailDowntime,((1-RetailRenewalProb)*NewLeaseTI+RetailRenewalProb*RenewalTI)*$B$20*INDEX(Cum_TILC,1,BX$77)+LeasingCommissionPct*$E$20*$B$20*INDEX(Cum_TILC,1,BX$77),0)+IF(Assumptions!BX$72=$D$21+RetailDowntime,((1-RetailRenewalProb)*NewLeaseTI+RetailRenewalProb*RenewalTI)*$B$21*INDEX(Cum_TILC,1,BX$77)+LeasingCommissionPct*$E$21*$B$21*INDEX(Cum_TILC,1,BX$77),0)+IF(Assumptions!BX$72=$D$22+RetailDowntime,((1-RetailRenewalProb)*NewLeaseTI+RetailRenewalProb*RenewalTI)*$B$22*INDEX(Cum_TILC,1,BX$77)+LeasingCommissionPct*$E$22*$B$22*INDEX(Cum_TILC,1,BX$77),0))*Assumptions!BX$74</f>
        <v/>
      </c>
      <c r="BY41" s="50">
        <f>(IF(Assumptions!BY$72=$D$17+RetailDowntime,((1-RetailRenewalProb)*NewLeaseTI+RetailRenewalProb*RenewalTI)*$B$17*INDEX(Cum_TILC,1,BY$77)+LeasingCommissionPct*$E$17*$B$17*INDEX(Cum_TILC,1,BY$77),0)+IF(Assumptions!BY$72=$D$18+RetailDowntime,((1-RetailRenewalProb)*NewLeaseTI+RetailRenewalProb*RenewalTI)*$B$18*INDEX(Cum_TILC,1,BY$77)+LeasingCommissionPct*$E$18*$B$18*INDEX(Cum_TILC,1,BY$77),0)+IF(Assumptions!BY$72=$D$19+RetailDowntime,((1-RetailRenewalProb)*NewLeaseTI+RetailRenewalProb*RenewalTI)*$B$19*INDEX(Cum_TILC,1,BY$77)+LeasingCommissionPct*$E$19*$B$19*INDEX(Cum_TILC,1,BY$77),0)+IF(Assumptions!BY$72=$D$20+RetailDowntime,((1-RetailRenewalProb)*NewLeaseTI+RetailRenewalProb*RenewalTI)*$B$20*INDEX(Cum_TILC,1,BY$77)+LeasingCommissionPct*$E$20*$B$20*INDEX(Cum_TILC,1,BY$77),0)+IF(Assumptions!BY$72=$D$21+RetailDowntime,((1-RetailRenewalProb)*NewLeaseTI+RetailRenewalProb*RenewalTI)*$B$21*INDEX(Cum_TILC,1,BY$77)+LeasingCommissionPct*$E$21*$B$21*INDEX(Cum_TILC,1,BY$77),0)+IF(Assumptions!BY$72=$D$22+RetailDowntime,((1-RetailRenewalProb)*NewLeaseTI+RetailRenewalProb*RenewalTI)*$B$22*INDEX(Cum_TILC,1,BY$77)+LeasingCommissionPct*$E$22*$B$22*INDEX(Cum_TILC,1,BY$77),0))*Assumptions!BY$74</f>
        <v/>
      </c>
      <c r="BZ41" s="50">
        <f>(IF(Assumptions!BZ$72=$D$17+RetailDowntime,((1-RetailRenewalProb)*NewLeaseTI+RetailRenewalProb*RenewalTI)*$B$17*INDEX(Cum_TILC,1,BZ$77)+LeasingCommissionPct*$E$17*$B$17*INDEX(Cum_TILC,1,BZ$77),0)+IF(Assumptions!BZ$72=$D$18+RetailDowntime,((1-RetailRenewalProb)*NewLeaseTI+RetailRenewalProb*RenewalTI)*$B$18*INDEX(Cum_TILC,1,BZ$77)+LeasingCommissionPct*$E$18*$B$18*INDEX(Cum_TILC,1,BZ$77),0)+IF(Assumptions!BZ$72=$D$19+RetailDowntime,((1-RetailRenewalProb)*NewLeaseTI+RetailRenewalProb*RenewalTI)*$B$19*INDEX(Cum_TILC,1,BZ$77)+LeasingCommissionPct*$E$19*$B$19*INDEX(Cum_TILC,1,BZ$77),0)+IF(Assumptions!BZ$72=$D$20+RetailDowntime,((1-RetailRenewalProb)*NewLeaseTI+RetailRenewalProb*RenewalTI)*$B$20*INDEX(Cum_TILC,1,BZ$77)+LeasingCommissionPct*$E$20*$B$20*INDEX(Cum_TILC,1,BZ$77),0)+IF(Assumptions!BZ$72=$D$21+RetailDowntime,((1-RetailRenewalProb)*NewLeaseTI+RetailRenewalProb*RenewalTI)*$B$21*INDEX(Cum_TILC,1,BZ$77)+LeasingCommissionPct*$E$21*$B$21*INDEX(Cum_TILC,1,BZ$77),0)+IF(Assumptions!BZ$72=$D$22+RetailDowntime,((1-RetailRenewalProb)*NewLeaseTI+RetailRenewalProb*RenewalTI)*$B$22*INDEX(Cum_TILC,1,BZ$77)+LeasingCommissionPct*$E$22*$B$22*INDEX(Cum_TILC,1,BZ$77),0))*Assumptions!BZ$74</f>
        <v/>
      </c>
      <c r="CA41" s="50">
        <f>(IF(Assumptions!CA$72=$D$17+RetailDowntime,((1-RetailRenewalProb)*NewLeaseTI+RetailRenewalProb*RenewalTI)*$B$17*INDEX(Cum_TILC,1,CA$77)+LeasingCommissionPct*$E$17*$B$17*INDEX(Cum_TILC,1,CA$77),0)+IF(Assumptions!CA$72=$D$18+RetailDowntime,((1-RetailRenewalProb)*NewLeaseTI+RetailRenewalProb*RenewalTI)*$B$18*INDEX(Cum_TILC,1,CA$77)+LeasingCommissionPct*$E$18*$B$18*INDEX(Cum_TILC,1,CA$77),0)+IF(Assumptions!CA$72=$D$19+RetailDowntime,((1-RetailRenewalProb)*NewLeaseTI+RetailRenewalProb*RenewalTI)*$B$19*INDEX(Cum_TILC,1,CA$77)+LeasingCommissionPct*$E$19*$B$19*INDEX(Cum_TILC,1,CA$77),0)+IF(Assumptions!CA$72=$D$20+RetailDowntime,((1-RetailRenewalProb)*NewLeaseTI+RetailRenewalProb*RenewalTI)*$B$20*INDEX(Cum_TILC,1,CA$77)+LeasingCommissionPct*$E$20*$B$20*INDEX(Cum_TILC,1,CA$77),0)+IF(Assumptions!CA$72=$D$21+RetailDowntime,((1-RetailRenewalProb)*NewLeaseTI+RetailRenewalProb*RenewalTI)*$B$21*INDEX(Cum_TILC,1,CA$77)+LeasingCommissionPct*$E$21*$B$21*INDEX(Cum_TILC,1,CA$77),0)+IF(Assumptions!CA$72=$D$22+RetailDowntime,((1-RetailRenewalProb)*NewLeaseTI+RetailRenewalProb*RenewalTI)*$B$22*INDEX(Cum_TILC,1,CA$77)+LeasingCommissionPct*$E$22*$B$22*INDEX(Cum_TILC,1,CA$77),0))*Assumptions!CA$74</f>
        <v/>
      </c>
      <c r="CB41" s="50">
        <f>(IF(Assumptions!CB$72=$D$17+RetailDowntime,((1-RetailRenewalProb)*NewLeaseTI+RetailRenewalProb*RenewalTI)*$B$17*INDEX(Cum_TILC,1,CB$77)+LeasingCommissionPct*$E$17*$B$17*INDEX(Cum_TILC,1,CB$77),0)+IF(Assumptions!CB$72=$D$18+RetailDowntime,((1-RetailRenewalProb)*NewLeaseTI+RetailRenewalProb*RenewalTI)*$B$18*INDEX(Cum_TILC,1,CB$77)+LeasingCommissionPct*$E$18*$B$18*INDEX(Cum_TILC,1,CB$77),0)+IF(Assumptions!CB$72=$D$19+RetailDowntime,((1-RetailRenewalProb)*NewLeaseTI+RetailRenewalProb*RenewalTI)*$B$19*INDEX(Cum_TILC,1,CB$77)+LeasingCommissionPct*$E$19*$B$19*INDEX(Cum_TILC,1,CB$77),0)+IF(Assumptions!CB$72=$D$20+RetailDowntime,((1-RetailRenewalProb)*NewLeaseTI+RetailRenewalProb*RenewalTI)*$B$20*INDEX(Cum_TILC,1,CB$77)+LeasingCommissionPct*$E$20*$B$20*INDEX(Cum_TILC,1,CB$77),0)+IF(Assumptions!CB$72=$D$21+RetailDowntime,((1-RetailRenewalProb)*NewLeaseTI+RetailRenewalProb*RenewalTI)*$B$21*INDEX(Cum_TILC,1,CB$77)+LeasingCommissionPct*$E$21*$B$21*INDEX(Cum_TILC,1,CB$77),0)+IF(Assumptions!CB$72=$D$22+RetailDowntime,((1-RetailRenewalProb)*NewLeaseTI+RetailRenewalProb*RenewalTI)*$B$22*INDEX(Cum_TILC,1,CB$77)+LeasingCommissionPct*$E$22*$B$22*INDEX(Cum_TILC,1,CB$77),0))*Assumptions!CB$74</f>
        <v/>
      </c>
      <c r="CC41" s="50">
        <f>(IF(Assumptions!CC$72=$D$17+RetailDowntime,((1-RetailRenewalProb)*NewLeaseTI+RetailRenewalProb*RenewalTI)*$B$17*INDEX(Cum_TILC,1,CC$77)+LeasingCommissionPct*$E$17*$B$17*INDEX(Cum_TILC,1,CC$77),0)+IF(Assumptions!CC$72=$D$18+RetailDowntime,((1-RetailRenewalProb)*NewLeaseTI+RetailRenewalProb*RenewalTI)*$B$18*INDEX(Cum_TILC,1,CC$77)+LeasingCommissionPct*$E$18*$B$18*INDEX(Cum_TILC,1,CC$77),0)+IF(Assumptions!CC$72=$D$19+RetailDowntime,((1-RetailRenewalProb)*NewLeaseTI+RetailRenewalProb*RenewalTI)*$B$19*INDEX(Cum_TILC,1,CC$77)+LeasingCommissionPct*$E$19*$B$19*INDEX(Cum_TILC,1,CC$77),0)+IF(Assumptions!CC$72=$D$20+RetailDowntime,((1-RetailRenewalProb)*NewLeaseTI+RetailRenewalProb*RenewalTI)*$B$20*INDEX(Cum_TILC,1,CC$77)+LeasingCommissionPct*$E$20*$B$20*INDEX(Cum_TILC,1,CC$77),0)+IF(Assumptions!CC$72=$D$21+RetailDowntime,((1-RetailRenewalProb)*NewLeaseTI+RetailRenewalProb*RenewalTI)*$B$21*INDEX(Cum_TILC,1,CC$77)+LeasingCommissionPct*$E$21*$B$21*INDEX(Cum_TILC,1,CC$77),0)+IF(Assumptions!CC$72=$D$22+RetailDowntime,((1-RetailRenewalProb)*NewLeaseTI+RetailRenewalProb*RenewalTI)*$B$22*INDEX(Cum_TILC,1,CC$77)+LeasingCommissionPct*$E$22*$B$22*INDEX(Cum_TILC,1,CC$77),0))*Assumptions!CC$74</f>
        <v/>
      </c>
      <c r="CD41" s="50">
        <f>(IF(Assumptions!CD$72=$D$17+RetailDowntime,((1-RetailRenewalProb)*NewLeaseTI+RetailRenewalProb*RenewalTI)*$B$17*INDEX(Cum_TILC,1,CD$77)+LeasingCommissionPct*$E$17*$B$17*INDEX(Cum_TILC,1,CD$77),0)+IF(Assumptions!CD$72=$D$18+RetailDowntime,((1-RetailRenewalProb)*NewLeaseTI+RetailRenewalProb*RenewalTI)*$B$18*INDEX(Cum_TILC,1,CD$77)+LeasingCommissionPct*$E$18*$B$18*INDEX(Cum_TILC,1,CD$77),0)+IF(Assumptions!CD$72=$D$19+RetailDowntime,((1-RetailRenewalProb)*NewLeaseTI+RetailRenewalProb*RenewalTI)*$B$19*INDEX(Cum_TILC,1,CD$77)+LeasingCommissionPct*$E$19*$B$19*INDEX(Cum_TILC,1,CD$77),0)+IF(Assumptions!CD$72=$D$20+RetailDowntime,((1-RetailRenewalProb)*NewLeaseTI+RetailRenewalProb*RenewalTI)*$B$20*INDEX(Cum_TILC,1,CD$77)+LeasingCommissionPct*$E$20*$B$20*INDEX(Cum_TILC,1,CD$77),0)+IF(Assumptions!CD$72=$D$21+RetailDowntime,((1-RetailRenewalProb)*NewLeaseTI+RetailRenewalProb*RenewalTI)*$B$21*INDEX(Cum_TILC,1,CD$77)+LeasingCommissionPct*$E$21*$B$21*INDEX(Cum_TILC,1,CD$77),0)+IF(Assumptions!CD$72=$D$22+RetailDowntime,((1-RetailRenewalProb)*NewLeaseTI+RetailRenewalProb*RenewalTI)*$B$22*INDEX(Cum_TILC,1,CD$77)+LeasingCommissionPct*$E$22*$B$22*INDEX(Cum_TILC,1,CD$77),0))*Assumptions!CD$74</f>
        <v/>
      </c>
      <c r="CE41" s="50">
        <f>(IF(Assumptions!CE$72=$D$17+RetailDowntime,((1-RetailRenewalProb)*NewLeaseTI+RetailRenewalProb*RenewalTI)*$B$17*INDEX(Cum_TILC,1,CE$77)+LeasingCommissionPct*$E$17*$B$17*INDEX(Cum_TILC,1,CE$77),0)+IF(Assumptions!CE$72=$D$18+RetailDowntime,((1-RetailRenewalProb)*NewLeaseTI+RetailRenewalProb*RenewalTI)*$B$18*INDEX(Cum_TILC,1,CE$77)+LeasingCommissionPct*$E$18*$B$18*INDEX(Cum_TILC,1,CE$77),0)+IF(Assumptions!CE$72=$D$19+RetailDowntime,((1-RetailRenewalProb)*NewLeaseTI+RetailRenewalProb*RenewalTI)*$B$19*INDEX(Cum_TILC,1,CE$77)+LeasingCommissionPct*$E$19*$B$19*INDEX(Cum_TILC,1,CE$77),0)+IF(Assumptions!CE$72=$D$20+RetailDowntime,((1-RetailRenewalProb)*NewLeaseTI+RetailRenewalProb*RenewalTI)*$B$20*INDEX(Cum_TILC,1,CE$77)+LeasingCommissionPct*$E$20*$B$20*INDEX(Cum_TILC,1,CE$77),0)+IF(Assumptions!CE$72=$D$21+RetailDowntime,((1-RetailRenewalProb)*NewLeaseTI+RetailRenewalProb*RenewalTI)*$B$21*INDEX(Cum_TILC,1,CE$77)+LeasingCommissionPct*$E$21*$B$21*INDEX(Cum_TILC,1,CE$77),0)+IF(Assumptions!CE$72=$D$22+RetailDowntime,((1-RetailRenewalProb)*NewLeaseTI+RetailRenewalProb*RenewalTI)*$B$22*INDEX(Cum_TILC,1,CE$77)+LeasingCommissionPct*$E$22*$B$22*INDEX(Cum_TILC,1,CE$77),0))*Assumptions!CE$74</f>
        <v/>
      </c>
      <c r="CF41" s="50">
        <f>(IF(Assumptions!CF$72=$D$17+RetailDowntime,((1-RetailRenewalProb)*NewLeaseTI+RetailRenewalProb*RenewalTI)*$B$17*INDEX(Cum_TILC,1,CF$77)+LeasingCommissionPct*$E$17*$B$17*INDEX(Cum_TILC,1,CF$77),0)+IF(Assumptions!CF$72=$D$18+RetailDowntime,((1-RetailRenewalProb)*NewLeaseTI+RetailRenewalProb*RenewalTI)*$B$18*INDEX(Cum_TILC,1,CF$77)+LeasingCommissionPct*$E$18*$B$18*INDEX(Cum_TILC,1,CF$77),0)+IF(Assumptions!CF$72=$D$19+RetailDowntime,((1-RetailRenewalProb)*NewLeaseTI+RetailRenewalProb*RenewalTI)*$B$19*INDEX(Cum_TILC,1,CF$77)+LeasingCommissionPct*$E$19*$B$19*INDEX(Cum_TILC,1,CF$77),0)+IF(Assumptions!CF$72=$D$20+RetailDowntime,((1-RetailRenewalProb)*NewLeaseTI+RetailRenewalProb*RenewalTI)*$B$20*INDEX(Cum_TILC,1,CF$77)+LeasingCommissionPct*$E$20*$B$20*INDEX(Cum_TILC,1,CF$77),0)+IF(Assumptions!CF$72=$D$21+RetailDowntime,((1-RetailRenewalProb)*NewLeaseTI+RetailRenewalProb*RenewalTI)*$B$21*INDEX(Cum_TILC,1,CF$77)+LeasingCommissionPct*$E$21*$B$21*INDEX(Cum_TILC,1,CF$77),0)+IF(Assumptions!CF$72=$D$22+RetailDowntime,((1-RetailRenewalProb)*NewLeaseTI+RetailRenewalProb*RenewalTI)*$B$22*INDEX(Cum_TILC,1,CF$77)+LeasingCommissionPct*$E$22*$B$22*INDEX(Cum_TILC,1,CF$77),0))*Assumptions!CF$74</f>
        <v/>
      </c>
      <c r="CG41" s="50">
        <f>(IF(Assumptions!CG$72=$D$17+RetailDowntime,((1-RetailRenewalProb)*NewLeaseTI+RetailRenewalProb*RenewalTI)*$B$17*INDEX(Cum_TILC,1,CG$77)+LeasingCommissionPct*$E$17*$B$17*INDEX(Cum_TILC,1,CG$77),0)+IF(Assumptions!CG$72=$D$18+RetailDowntime,((1-RetailRenewalProb)*NewLeaseTI+RetailRenewalProb*RenewalTI)*$B$18*INDEX(Cum_TILC,1,CG$77)+LeasingCommissionPct*$E$18*$B$18*INDEX(Cum_TILC,1,CG$77),0)+IF(Assumptions!CG$72=$D$19+RetailDowntime,((1-RetailRenewalProb)*NewLeaseTI+RetailRenewalProb*RenewalTI)*$B$19*INDEX(Cum_TILC,1,CG$77)+LeasingCommissionPct*$E$19*$B$19*INDEX(Cum_TILC,1,CG$77),0)+IF(Assumptions!CG$72=$D$20+RetailDowntime,((1-RetailRenewalProb)*NewLeaseTI+RetailRenewalProb*RenewalTI)*$B$20*INDEX(Cum_TILC,1,CG$77)+LeasingCommissionPct*$E$20*$B$20*INDEX(Cum_TILC,1,CG$77),0)+IF(Assumptions!CG$72=$D$21+RetailDowntime,((1-RetailRenewalProb)*NewLeaseTI+RetailRenewalProb*RenewalTI)*$B$21*INDEX(Cum_TILC,1,CG$77)+LeasingCommissionPct*$E$21*$B$21*INDEX(Cum_TILC,1,CG$77),0)+IF(Assumptions!CG$72=$D$22+RetailDowntime,((1-RetailRenewalProb)*NewLeaseTI+RetailRenewalProb*RenewalTI)*$B$22*INDEX(Cum_TILC,1,CG$77)+LeasingCommissionPct*$E$22*$B$22*INDEX(Cum_TILC,1,CG$77),0))*Assumptions!CG$74</f>
        <v/>
      </c>
      <c r="CH41" s="50">
        <f>(IF(Assumptions!CH$72=$D$17+RetailDowntime,((1-RetailRenewalProb)*NewLeaseTI+RetailRenewalProb*RenewalTI)*$B$17*INDEX(Cum_TILC,1,CH$77)+LeasingCommissionPct*$E$17*$B$17*INDEX(Cum_TILC,1,CH$77),0)+IF(Assumptions!CH$72=$D$18+RetailDowntime,((1-RetailRenewalProb)*NewLeaseTI+RetailRenewalProb*RenewalTI)*$B$18*INDEX(Cum_TILC,1,CH$77)+LeasingCommissionPct*$E$18*$B$18*INDEX(Cum_TILC,1,CH$77),0)+IF(Assumptions!CH$72=$D$19+RetailDowntime,((1-RetailRenewalProb)*NewLeaseTI+RetailRenewalProb*RenewalTI)*$B$19*INDEX(Cum_TILC,1,CH$77)+LeasingCommissionPct*$E$19*$B$19*INDEX(Cum_TILC,1,CH$77),0)+IF(Assumptions!CH$72=$D$20+RetailDowntime,((1-RetailRenewalProb)*NewLeaseTI+RetailRenewalProb*RenewalTI)*$B$20*INDEX(Cum_TILC,1,CH$77)+LeasingCommissionPct*$E$20*$B$20*INDEX(Cum_TILC,1,CH$77),0)+IF(Assumptions!CH$72=$D$21+RetailDowntime,((1-RetailRenewalProb)*NewLeaseTI+RetailRenewalProb*RenewalTI)*$B$21*INDEX(Cum_TILC,1,CH$77)+LeasingCommissionPct*$E$21*$B$21*INDEX(Cum_TILC,1,CH$77),0)+IF(Assumptions!CH$72=$D$22+RetailDowntime,((1-RetailRenewalProb)*NewLeaseTI+RetailRenewalProb*RenewalTI)*$B$22*INDEX(Cum_TILC,1,CH$77)+LeasingCommissionPct*$E$22*$B$22*INDEX(Cum_TILC,1,CH$77),0))*Assumptions!CH$74</f>
        <v/>
      </c>
      <c r="CI41" s="50">
        <f>(IF(Assumptions!CI$72=$D$17+RetailDowntime,((1-RetailRenewalProb)*NewLeaseTI+RetailRenewalProb*RenewalTI)*$B$17*INDEX(Cum_TILC,1,CI$77)+LeasingCommissionPct*$E$17*$B$17*INDEX(Cum_TILC,1,CI$77),0)+IF(Assumptions!CI$72=$D$18+RetailDowntime,((1-RetailRenewalProb)*NewLeaseTI+RetailRenewalProb*RenewalTI)*$B$18*INDEX(Cum_TILC,1,CI$77)+LeasingCommissionPct*$E$18*$B$18*INDEX(Cum_TILC,1,CI$77),0)+IF(Assumptions!CI$72=$D$19+RetailDowntime,((1-RetailRenewalProb)*NewLeaseTI+RetailRenewalProb*RenewalTI)*$B$19*INDEX(Cum_TILC,1,CI$77)+LeasingCommissionPct*$E$19*$B$19*INDEX(Cum_TILC,1,CI$77),0)+IF(Assumptions!CI$72=$D$20+RetailDowntime,((1-RetailRenewalProb)*NewLeaseTI+RetailRenewalProb*RenewalTI)*$B$20*INDEX(Cum_TILC,1,CI$77)+LeasingCommissionPct*$E$20*$B$20*INDEX(Cum_TILC,1,CI$77),0)+IF(Assumptions!CI$72=$D$21+RetailDowntime,((1-RetailRenewalProb)*NewLeaseTI+RetailRenewalProb*RenewalTI)*$B$21*INDEX(Cum_TILC,1,CI$77)+LeasingCommissionPct*$E$21*$B$21*INDEX(Cum_TILC,1,CI$77),0)+IF(Assumptions!CI$72=$D$22+RetailDowntime,((1-RetailRenewalProb)*NewLeaseTI+RetailRenewalProb*RenewalTI)*$B$22*INDEX(Cum_TILC,1,CI$77)+LeasingCommissionPct*$E$22*$B$22*INDEX(Cum_TILC,1,CI$77),0))*Assumptions!CI$74</f>
        <v/>
      </c>
      <c r="CJ41" s="50">
        <f>(IF(Assumptions!CJ$72=$D$17+RetailDowntime,((1-RetailRenewalProb)*NewLeaseTI+RetailRenewalProb*RenewalTI)*$B$17*INDEX(Cum_TILC,1,CJ$77)+LeasingCommissionPct*$E$17*$B$17*INDEX(Cum_TILC,1,CJ$77),0)+IF(Assumptions!CJ$72=$D$18+RetailDowntime,((1-RetailRenewalProb)*NewLeaseTI+RetailRenewalProb*RenewalTI)*$B$18*INDEX(Cum_TILC,1,CJ$77)+LeasingCommissionPct*$E$18*$B$18*INDEX(Cum_TILC,1,CJ$77),0)+IF(Assumptions!CJ$72=$D$19+RetailDowntime,((1-RetailRenewalProb)*NewLeaseTI+RetailRenewalProb*RenewalTI)*$B$19*INDEX(Cum_TILC,1,CJ$77)+LeasingCommissionPct*$E$19*$B$19*INDEX(Cum_TILC,1,CJ$77),0)+IF(Assumptions!CJ$72=$D$20+RetailDowntime,((1-RetailRenewalProb)*NewLeaseTI+RetailRenewalProb*RenewalTI)*$B$20*INDEX(Cum_TILC,1,CJ$77)+LeasingCommissionPct*$E$20*$B$20*INDEX(Cum_TILC,1,CJ$77),0)+IF(Assumptions!CJ$72=$D$21+RetailDowntime,((1-RetailRenewalProb)*NewLeaseTI+RetailRenewalProb*RenewalTI)*$B$21*INDEX(Cum_TILC,1,CJ$77)+LeasingCommissionPct*$E$21*$B$21*INDEX(Cum_TILC,1,CJ$77),0)+IF(Assumptions!CJ$72=$D$22+RetailDowntime,((1-RetailRenewalProb)*NewLeaseTI+RetailRenewalProb*RenewalTI)*$B$22*INDEX(Cum_TILC,1,CJ$77)+LeasingCommissionPct*$E$22*$B$22*INDEX(Cum_TILC,1,CJ$77),0))*Assumptions!CJ$74</f>
        <v/>
      </c>
      <c r="CK41" s="50">
        <f>(IF(Assumptions!CK$72=$D$17+RetailDowntime,((1-RetailRenewalProb)*NewLeaseTI+RetailRenewalProb*RenewalTI)*$B$17*INDEX(Cum_TILC,1,CK$77)+LeasingCommissionPct*$E$17*$B$17*INDEX(Cum_TILC,1,CK$77),0)+IF(Assumptions!CK$72=$D$18+RetailDowntime,((1-RetailRenewalProb)*NewLeaseTI+RetailRenewalProb*RenewalTI)*$B$18*INDEX(Cum_TILC,1,CK$77)+LeasingCommissionPct*$E$18*$B$18*INDEX(Cum_TILC,1,CK$77),0)+IF(Assumptions!CK$72=$D$19+RetailDowntime,((1-RetailRenewalProb)*NewLeaseTI+RetailRenewalProb*RenewalTI)*$B$19*INDEX(Cum_TILC,1,CK$77)+LeasingCommissionPct*$E$19*$B$19*INDEX(Cum_TILC,1,CK$77),0)+IF(Assumptions!CK$72=$D$20+RetailDowntime,((1-RetailRenewalProb)*NewLeaseTI+RetailRenewalProb*RenewalTI)*$B$20*INDEX(Cum_TILC,1,CK$77)+LeasingCommissionPct*$E$20*$B$20*INDEX(Cum_TILC,1,CK$77),0)+IF(Assumptions!CK$72=$D$21+RetailDowntime,((1-RetailRenewalProb)*NewLeaseTI+RetailRenewalProb*RenewalTI)*$B$21*INDEX(Cum_TILC,1,CK$77)+LeasingCommissionPct*$E$21*$B$21*INDEX(Cum_TILC,1,CK$77),0)+IF(Assumptions!CK$72=$D$22+RetailDowntime,((1-RetailRenewalProb)*NewLeaseTI+RetailRenewalProb*RenewalTI)*$B$22*INDEX(Cum_TILC,1,CK$77)+LeasingCommissionPct*$E$22*$B$22*INDEX(Cum_TILC,1,CK$77),0))*Assumptions!CK$74</f>
        <v/>
      </c>
      <c r="CL41" s="50">
        <f>(IF(Assumptions!CL$72=$D$17+RetailDowntime,((1-RetailRenewalProb)*NewLeaseTI+RetailRenewalProb*RenewalTI)*$B$17*INDEX(Cum_TILC,1,CL$77)+LeasingCommissionPct*$E$17*$B$17*INDEX(Cum_TILC,1,CL$77),0)+IF(Assumptions!CL$72=$D$18+RetailDowntime,((1-RetailRenewalProb)*NewLeaseTI+RetailRenewalProb*RenewalTI)*$B$18*INDEX(Cum_TILC,1,CL$77)+LeasingCommissionPct*$E$18*$B$18*INDEX(Cum_TILC,1,CL$77),0)+IF(Assumptions!CL$72=$D$19+RetailDowntime,((1-RetailRenewalProb)*NewLeaseTI+RetailRenewalProb*RenewalTI)*$B$19*INDEX(Cum_TILC,1,CL$77)+LeasingCommissionPct*$E$19*$B$19*INDEX(Cum_TILC,1,CL$77),0)+IF(Assumptions!CL$72=$D$20+RetailDowntime,((1-RetailRenewalProb)*NewLeaseTI+RetailRenewalProb*RenewalTI)*$B$20*INDEX(Cum_TILC,1,CL$77)+LeasingCommissionPct*$E$20*$B$20*INDEX(Cum_TILC,1,CL$77),0)+IF(Assumptions!CL$72=$D$21+RetailDowntime,((1-RetailRenewalProb)*NewLeaseTI+RetailRenewalProb*RenewalTI)*$B$21*INDEX(Cum_TILC,1,CL$77)+LeasingCommissionPct*$E$21*$B$21*INDEX(Cum_TILC,1,CL$77),0)+IF(Assumptions!CL$72=$D$22+RetailDowntime,((1-RetailRenewalProb)*NewLeaseTI+RetailRenewalProb*RenewalTI)*$B$22*INDEX(Cum_TILC,1,CL$77)+LeasingCommissionPct*$E$22*$B$22*INDEX(Cum_TILC,1,CL$77),0))*Assumptions!CL$74</f>
        <v/>
      </c>
      <c r="CM41" s="50">
        <f>(IF(Assumptions!CM$72=$D$17+RetailDowntime,((1-RetailRenewalProb)*NewLeaseTI+RetailRenewalProb*RenewalTI)*$B$17*INDEX(Cum_TILC,1,CM$77)+LeasingCommissionPct*$E$17*$B$17*INDEX(Cum_TILC,1,CM$77),0)+IF(Assumptions!CM$72=$D$18+RetailDowntime,((1-RetailRenewalProb)*NewLeaseTI+RetailRenewalProb*RenewalTI)*$B$18*INDEX(Cum_TILC,1,CM$77)+LeasingCommissionPct*$E$18*$B$18*INDEX(Cum_TILC,1,CM$77),0)+IF(Assumptions!CM$72=$D$19+RetailDowntime,((1-RetailRenewalProb)*NewLeaseTI+RetailRenewalProb*RenewalTI)*$B$19*INDEX(Cum_TILC,1,CM$77)+LeasingCommissionPct*$E$19*$B$19*INDEX(Cum_TILC,1,CM$77),0)+IF(Assumptions!CM$72=$D$20+RetailDowntime,((1-RetailRenewalProb)*NewLeaseTI+RetailRenewalProb*RenewalTI)*$B$20*INDEX(Cum_TILC,1,CM$77)+LeasingCommissionPct*$E$20*$B$20*INDEX(Cum_TILC,1,CM$77),0)+IF(Assumptions!CM$72=$D$21+RetailDowntime,((1-RetailRenewalProb)*NewLeaseTI+RetailRenewalProb*RenewalTI)*$B$21*INDEX(Cum_TILC,1,CM$77)+LeasingCommissionPct*$E$21*$B$21*INDEX(Cum_TILC,1,CM$77),0)+IF(Assumptions!CM$72=$D$22+RetailDowntime,((1-RetailRenewalProb)*NewLeaseTI+RetailRenewalProb*RenewalTI)*$B$22*INDEX(Cum_TILC,1,CM$77)+LeasingCommissionPct*$E$22*$B$22*INDEX(Cum_TILC,1,CM$77),0))*Assumptions!CM$74</f>
        <v/>
      </c>
      <c r="CN41" s="50">
        <f>(IF(Assumptions!CN$72=$D$17+RetailDowntime,((1-RetailRenewalProb)*NewLeaseTI+RetailRenewalProb*RenewalTI)*$B$17*INDEX(Cum_TILC,1,CN$77)+LeasingCommissionPct*$E$17*$B$17*INDEX(Cum_TILC,1,CN$77),0)+IF(Assumptions!CN$72=$D$18+RetailDowntime,((1-RetailRenewalProb)*NewLeaseTI+RetailRenewalProb*RenewalTI)*$B$18*INDEX(Cum_TILC,1,CN$77)+LeasingCommissionPct*$E$18*$B$18*INDEX(Cum_TILC,1,CN$77),0)+IF(Assumptions!CN$72=$D$19+RetailDowntime,((1-RetailRenewalProb)*NewLeaseTI+RetailRenewalProb*RenewalTI)*$B$19*INDEX(Cum_TILC,1,CN$77)+LeasingCommissionPct*$E$19*$B$19*INDEX(Cum_TILC,1,CN$77),0)+IF(Assumptions!CN$72=$D$20+RetailDowntime,((1-RetailRenewalProb)*NewLeaseTI+RetailRenewalProb*RenewalTI)*$B$20*INDEX(Cum_TILC,1,CN$77)+LeasingCommissionPct*$E$20*$B$20*INDEX(Cum_TILC,1,CN$77),0)+IF(Assumptions!CN$72=$D$21+RetailDowntime,((1-RetailRenewalProb)*NewLeaseTI+RetailRenewalProb*RenewalTI)*$B$21*INDEX(Cum_TILC,1,CN$77)+LeasingCommissionPct*$E$21*$B$21*INDEX(Cum_TILC,1,CN$77),0)+IF(Assumptions!CN$72=$D$22+RetailDowntime,((1-RetailRenewalProb)*NewLeaseTI+RetailRenewalProb*RenewalTI)*$B$22*INDEX(Cum_TILC,1,CN$77)+LeasingCommissionPct*$E$22*$B$22*INDEX(Cum_TILC,1,CN$77),0))*Assumptions!CN$74</f>
        <v/>
      </c>
      <c r="CO41" s="50">
        <f>(IF(Assumptions!CO$72=$D$17+RetailDowntime,((1-RetailRenewalProb)*NewLeaseTI+RetailRenewalProb*RenewalTI)*$B$17*INDEX(Cum_TILC,1,CO$77)+LeasingCommissionPct*$E$17*$B$17*INDEX(Cum_TILC,1,CO$77),0)+IF(Assumptions!CO$72=$D$18+RetailDowntime,((1-RetailRenewalProb)*NewLeaseTI+RetailRenewalProb*RenewalTI)*$B$18*INDEX(Cum_TILC,1,CO$77)+LeasingCommissionPct*$E$18*$B$18*INDEX(Cum_TILC,1,CO$77),0)+IF(Assumptions!CO$72=$D$19+RetailDowntime,((1-RetailRenewalProb)*NewLeaseTI+RetailRenewalProb*RenewalTI)*$B$19*INDEX(Cum_TILC,1,CO$77)+LeasingCommissionPct*$E$19*$B$19*INDEX(Cum_TILC,1,CO$77),0)+IF(Assumptions!CO$72=$D$20+RetailDowntime,((1-RetailRenewalProb)*NewLeaseTI+RetailRenewalProb*RenewalTI)*$B$20*INDEX(Cum_TILC,1,CO$77)+LeasingCommissionPct*$E$20*$B$20*INDEX(Cum_TILC,1,CO$77),0)+IF(Assumptions!CO$72=$D$21+RetailDowntime,((1-RetailRenewalProb)*NewLeaseTI+RetailRenewalProb*RenewalTI)*$B$21*INDEX(Cum_TILC,1,CO$77)+LeasingCommissionPct*$E$21*$B$21*INDEX(Cum_TILC,1,CO$77),0)+IF(Assumptions!CO$72=$D$22+RetailDowntime,((1-RetailRenewalProb)*NewLeaseTI+RetailRenewalProb*RenewalTI)*$B$22*INDEX(Cum_TILC,1,CO$77)+LeasingCommissionPct*$E$22*$B$22*INDEX(Cum_TILC,1,CO$77),0))*Assumptions!CO$74</f>
        <v/>
      </c>
      <c r="CP41" s="50">
        <f>(IF(Assumptions!CP$72=$D$17+RetailDowntime,((1-RetailRenewalProb)*NewLeaseTI+RetailRenewalProb*RenewalTI)*$B$17*INDEX(Cum_TILC,1,CP$77)+LeasingCommissionPct*$E$17*$B$17*INDEX(Cum_TILC,1,CP$77),0)+IF(Assumptions!CP$72=$D$18+RetailDowntime,((1-RetailRenewalProb)*NewLeaseTI+RetailRenewalProb*RenewalTI)*$B$18*INDEX(Cum_TILC,1,CP$77)+LeasingCommissionPct*$E$18*$B$18*INDEX(Cum_TILC,1,CP$77),0)+IF(Assumptions!CP$72=$D$19+RetailDowntime,((1-RetailRenewalProb)*NewLeaseTI+RetailRenewalProb*RenewalTI)*$B$19*INDEX(Cum_TILC,1,CP$77)+LeasingCommissionPct*$E$19*$B$19*INDEX(Cum_TILC,1,CP$77),0)+IF(Assumptions!CP$72=$D$20+RetailDowntime,((1-RetailRenewalProb)*NewLeaseTI+RetailRenewalProb*RenewalTI)*$B$20*INDEX(Cum_TILC,1,CP$77)+LeasingCommissionPct*$E$20*$B$20*INDEX(Cum_TILC,1,CP$77),0)+IF(Assumptions!CP$72=$D$21+RetailDowntime,((1-RetailRenewalProb)*NewLeaseTI+RetailRenewalProb*RenewalTI)*$B$21*INDEX(Cum_TILC,1,CP$77)+LeasingCommissionPct*$E$21*$B$21*INDEX(Cum_TILC,1,CP$77),0)+IF(Assumptions!CP$72=$D$22+RetailDowntime,((1-RetailRenewalProb)*NewLeaseTI+RetailRenewalProb*RenewalTI)*$B$22*INDEX(Cum_TILC,1,CP$77)+LeasingCommissionPct*$E$22*$B$22*INDEX(Cum_TILC,1,CP$77),0))*Assumptions!CP$74</f>
        <v/>
      </c>
      <c r="CQ41" s="50">
        <f>(IF(Assumptions!CQ$72=$D$17+RetailDowntime,((1-RetailRenewalProb)*NewLeaseTI+RetailRenewalProb*RenewalTI)*$B$17*INDEX(Cum_TILC,1,CQ$77)+LeasingCommissionPct*$E$17*$B$17*INDEX(Cum_TILC,1,CQ$77),0)+IF(Assumptions!CQ$72=$D$18+RetailDowntime,((1-RetailRenewalProb)*NewLeaseTI+RetailRenewalProb*RenewalTI)*$B$18*INDEX(Cum_TILC,1,CQ$77)+LeasingCommissionPct*$E$18*$B$18*INDEX(Cum_TILC,1,CQ$77),0)+IF(Assumptions!CQ$72=$D$19+RetailDowntime,((1-RetailRenewalProb)*NewLeaseTI+RetailRenewalProb*RenewalTI)*$B$19*INDEX(Cum_TILC,1,CQ$77)+LeasingCommissionPct*$E$19*$B$19*INDEX(Cum_TILC,1,CQ$77),0)+IF(Assumptions!CQ$72=$D$20+RetailDowntime,((1-RetailRenewalProb)*NewLeaseTI+RetailRenewalProb*RenewalTI)*$B$20*INDEX(Cum_TILC,1,CQ$77)+LeasingCommissionPct*$E$20*$B$20*INDEX(Cum_TILC,1,CQ$77),0)+IF(Assumptions!CQ$72=$D$21+RetailDowntime,((1-RetailRenewalProb)*NewLeaseTI+RetailRenewalProb*RenewalTI)*$B$21*INDEX(Cum_TILC,1,CQ$77)+LeasingCommissionPct*$E$21*$B$21*INDEX(Cum_TILC,1,CQ$77),0)+IF(Assumptions!CQ$72=$D$22+RetailDowntime,((1-RetailRenewalProb)*NewLeaseTI+RetailRenewalProb*RenewalTI)*$B$22*INDEX(Cum_TILC,1,CQ$77)+LeasingCommissionPct*$E$22*$B$22*INDEX(Cum_TILC,1,CQ$77),0))*Assumptions!CQ$74</f>
        <v/>
      </c>
      <c r="CR41" s="50">
        <f>(IF(Assumptions!CR$72=$D$17+RetailDowntime,((1-RetailRenewalProb)*NewLeaseTI+RetailRenewalProb*RenewalTI)*$B$17*INDEX(Cum_TILC,1,CR$77)+LeasingCommissionPct*$E$17*$B$17*INDEX(Cum_TILC,1,CR$77),0)+IF(Assumptions!CR$72=$D$18+RetailDowntime,((1-RetailRenewalProb)*NewLeaseTI+RetailRenewalProb*RenewalTI)*$B$18*INDEX(Cum_TILC,1,CR$77)+LeasingCommissionPct*$E$18*$B$18*INDEX(Cum_TILC,1,CR$77),0)+IF(Assumptions!CR$72=$D$19+RetailDowntime,((1-RetailRenewalProb)*NewLeaseTI+RetailRenewalProb*RenewalTI)*$B$19*INDEX(Cum_TILC,1,CR$77)+LeasingCommissionPct*$E$19*$B$19*INDEX(Cum_TILC,1,CR$77),0)+IF(Assumptions!CR$72=$D$20+RetailDowntime,((1-RetailRenewalProb)*NewLeaseTI+RetailRenewalProb*RenewalTI)*$B$20*INDEX(Cum_TILC,1,CR$77)+LeasingCommissionPct*$E$20*$B$20*INDEX(Cum_TILC,1,CR$77),0)+IF(Assumptions!CR$72=$D$21+RetailDowntime,((1-RetailRenewalProb)*NewLeaseTI+RetailRenewalProb*RenewalTI)*$B$21*INDEX(Cum_TILC,1,CR$77)+LeasingCommissionPct*$E$21*$B$21*INDEX(Cum_TILC,1,CR$77),0)+IF(Assumptions!CR$72=$D$22+RetailDowntime,((1-RetailRenewalProb)*NewLeaseTI+RetailRenewalProb*RenewalTI)*$B$22*INDEX(Cum_TILC,1,CR$77)+LeasingCommissionPct*$E$22*$B$22*INDEX(Cum_TILC,1,CR$77),0))*Assumptions!CR$74</f>
        <v/>
      </c>
      <c r="CS41" s="50">
        <f>(IF(Assumptions!CS$72=$D$17+RetailDowntime,((1-RetailRenewalProb)*NewLeaseTI+RetailRenewalProb*RenewalTI)*$B$17*INDEX(Cum_TILC,1,CS$77)+LeasingCommissionPct*$E$17*$B$17*INDEX(Cum_TILC,1,CS$77),0)+IF(Assumptions!CS$72=$D$18+RetailDowntime,((1-RetailRenewalProb)*NewLeaseTI+RetailRenewalProb*RenewalTI)*$B$18*INDEX(Cum_TILC,1,CS$77)+LeasingCommissionPct*$E$18*$B$18*INDEX(Cum_TILC,1,CS$77),0)+IF(Assumptions!CS$72=$D$19+RetailDowntime,((1-RetailRenewalProb)*NewLeaseTI+RetailRenewalProb*RenewalTI)*$B$19*INDEX(Cum_TILC,1,CS$77)+LeasingCommissionPct*$E$19*$B$19*INDEX(Cum_TILC,1,CS$77),0)+IF(Assumptions!CS$72=$D$20+RetailDowntime,((1-RetailRenewalProb)*NewLeaseTI+RetailRenewalProb*RenewalTI)*$B$20*INDEX(Cum_TILC,1,CS$77)+LeasingCommissionPct*$E$20*$B$20*INDEX(Cum_TILC,1,CS$77),0)+IF(Assumptions!CS$72=$D$21+RetailDowntime,((1-RetailRenewalProb)*NewLeaseTI+RetailRenewalProb*RenewalTI)*$B$21*INDEX(Cum_TILC,1,CS$77)+LeasingCommissionPct*$E$21*$B$21*INDEX(Cum_TILC,1,CS$77),0)+IF(Assumptions!CS$72=$D$22+RetailDowntime,((1-RetailRenewalProb)*NewLeaseTI+RetailRenewalProb*RenewalTI)*$B$22*INDEX(Cum_TILC,1,CS$77)+LeasingCommissionPct*$E$22*$B$22*INDEX(Cum_TILC,1,CS$77),0))*Assumptions!CS$74</f>
        <v/>
      </c>
      <c r="CT41" s="50">
        <f>(IF(Assumptions!CT$72=$D$17+RetailDowntime,((1-RetailRenewalProb)*NewLeaseTI+RetailRenewalProb*RenewalTI)*$B$17*INDEX(Cum_TILC,1,CT$77)+LeasingCommissionPct*$E$17*$B$17*INDEX(Cum_TILC,1,CT$77),0)+IF(Assumptions!CT$72=$D$18+RetailDowntime,((1-RetailRenewalProb)*NewLeaseTI+RetailRenewalProb*RenewalTI)*$B$18*INDEX(Cum_TILC,1,CT$77)+LeasingCommissionPct*$E$18*$B$18*INDEX(Cum_TILC,1,CT$77),0)+IF(Assumptions!CT$72=$D$19+RetailDowntime,((1-RetailRenewalProb)*NewLeaseTI+RetailRenewalProb*RenewalTI)*$B$19*INDEX(Cum_TILC,1,CT$77)+LeasingCommissionPct*$E$19*$B$19*INDEX(Cum_TILC,1,CT$77),0)+IF(Assumptions!CT$72=$D$20+RetailDowntime,((1-RetailRenewalProb)*NewLeaseTI+RetailRenewalProb*RenewalTI)*$B$20*INDEX(Cum_TILC,1,CT$77)+LeasingCommissionPct*$E$20*$B$20*INDEX(Cum_TILC,1,CT$77),0)+IF(Assumptions!CT$72=$D$21+RetailDowntime,((1-RetailRenewalProb)*NewLeaseTI+RetailRenewalProb*RenewalTI)*$B$21*INDEX(Cum_TILC,1,CT$77)+LeasingCommissionPct*$E$21*$B$21*INDEX(Cum_TILC,1,CT$77),0)+IF(Assumptions!CT$72=$D$22+RetailDowntime,((1-RetailRenewalProb)*NewLeaseTI+RetailRenewalProb*RenewalTI)*$B$22*INDEX(Cum_TILC,1,CT$77)+LeasingCommissionPct*$E$22*$B$22*INDEX(Cum_TILC,1,CT$77),0))*Assumptions!CT$74</f>
        <v/>
      </c>
      <c r="CU41" s="50">
        <f>(IF(Assumptions!CU$72=$D$17+RetailDowntime,((1-RetailRenewalProb)*NewLeaseTI+RetailRenewalProb*RenewalTI)*$B$17*INDEX(Cum_TILC,1,CU$77)+LeasingCommissionPct*$E$17*$B$17*INDEX(Cum_TILC,1,CU$77),0)+IF(Assumptions!CU$72=$D$18+RetailDowntime,((1-RetailRenewalProb)*NewLeaseTI+RetailRenewalProb*RenewalTI)*$B$18*INDEX(Cum_TILC,1,CU$77)+LeasingCommissionPct*$E$18*$B$18*INDEX(Cum_TILC,1,CU$77),0)+IF(Assumptions!CU$72=$D$19+RetailDowntime,((1-RetailRenewalProb)*NewLeaseTI+RetailRenewalProb*RenewalTI)*$B$19*INDEX(Cum_TILC,1,CU$77)+LeasingCommissionPct*$E$19*$B$19*INDEX(Cum_TILC,1,CU$77),0)+IF(Assumptions!CU$72=$D$20+RetailDowntime,((1-RetailRenewalProb)*NewLeaseTI+RetailRenewalProb*RenewalTI)*$B$20*INDEX(Cum_TILC,1,CU$77)+LeasingCommissionPct*$E$20*$B$20*INDEX(Cum_TILC,1,CU$77),0)+IF(Assumptions!CU$72=$D$21+RetailDowntime,((1-RetailRenewalProb)*NewLeaseTI+RetailRenewalProb*RenewalTI)*$B$21*INDEX(Cum_TILC,1,CU$77)+LeasingCommissionPct*$E$21*$B$21*INDEX(Cum_TILC,1,CU$77),0)+IF(Assumptions!CU$72=$D$22+RetailDowntime,((1-RetailRenewalProb)*NewLeaseTI+RetailRenewalProb*RenewalTI)*$B$22*INDEX(Cum_TILC,1,CU$77)+LeasingCommissionPct*$E$22*$B$22*INDEX(Cum_TILC,1,CU$77),0))*Assumptions!CU$74</f>
        <v/>
      </c>
      <c r="CV41" s="50">
        <f>(IF(Assumptions!CV$72=$D$17+RetailDowntime,((1-RetailRenewalProb)*NewLeaseTI+RetailRenewalProb*RenewalTI)*$B$17*INDEX(Cum_TILC,1,CV$77)+LeasingCommissionPct*$E$17*$B$17*INDEX(Cum_TILC,1,CV$77),0)+IF(Assumptions!CV$72=$D$18+RetailDowntime,((1-RetailRenewalProb)*NewLeaseTI+RetailRenewalProb*RenewalTI)*$B$18*INDEX(Cum_TILC,1,CV$77)+LeasingCommissionPct*$E$18*$B$18*INDEX(Cum_TILC,1,CV$77),0)+IF(Assumptions!CV$72=$D$19+RetailDowntime,((1-RetailRenewalProb)*NewLeaseTI+RetailRenewalProb*RenewalTI)*$B$19*INDEX(Cum_TILC,1,CV$77)+LeasingCommissionPct*$E$19*$B$19*INDEX(Cum_TILC,1,CV$77),0)+IF(Assumptions!CV$72=$D$20+RetailDowntime,((1-RetailRenewalProb)*NewLeaseTI+RetailRenewalProb*RenewalTI)*$B$20*INDEX(Cum_TILC,1,CV$77)+LeasingCommissionPct*$E$20*$B$20*INDEX(Cum_TILC,1,CV$77),0)+IF(Assumptions!CV$72=$D$21+RetailDowntime,((1-RetailRenewalProb)*NewLeaseTI+RetailRenewalProb*RenewalTI)*$B$21*INDEX(Cum_TILC,1,CV$77)+LeasingCommissionPct*$E$21*$B$21*INDEX(Cum_TILC,1,CV$77),0)+IF(Assumptions!CV$72=$D$22+RetailDowntime,((1-RetailRenewalProb)*NewLeaseTI+RetailRenewalProb*RenewalTI)*$B$22*INDEX(Cum_TILC,1,CV$77)+LeasingCommissionPct*$E$22*$B$22*INDEX(Cum_TILC,1,CV$77),0))*Assumptions!CV$74</f>
        <v/>
      </c>
      <c r="CW41" s="50">
        <f>(IF(Assumptions!CW$72=$D$17+RetailDowntime,((1-RetailRenewalProb)*NewLeaseTI+RetailRenewalProb*RenewalTI)*$B$17*INDEX(Cum_TILC,1,CW$77)+LeasingCommissionPct*$E$17*$B$17*INDEX(Cum_TILC,1,CW$77),0)+IF(Assumptions!CW$72=$D$18+RetailDowntime,((1-RetailRenewalProb)*NewLeaseTI+RetailRenewalProb*RenewalTI)*$B$18*INDEX(Cum_TILC,1,CW$77)+LeasingCommissionPct*$E$18*$B$18*INDEX(Cum_TILC,1,CW$77),0)+IF(Assumptions!CW$72=$D$19+RetailDowntime,((1-RetailRenewalProb)*NewLeaseTI+RetailRenewalProb*RenewalTI)*$B$19*INDEX(Cum_TILC,1,CW$77)+LeasingCommissionPct*$E$19*$B$19*INDEX(Cum_TILC,1,CW$77),0)+IF(Assumptions!CW$72=$D$20+RetailDowntime,((1-RetailRenewalProb)*NewLeaseTI+RetailRenewalProb*RenewalTI)*$B$20*INDEX(Cum_TILC,1,CW$77)+LeasingCommissionPct*$E$20*$B$20*INDEX(Cum_TILC,1,CW$77),0)+IF(Assumptions!CW$72=$D$21+RetailDowntime,((1-RetailRenewalProb)*NewLeaseTI+RetailRenewalProb*RenewalTI)*$B$21*INDEX(Cum_TILC,1,CW$77)+LeasingCommissionPct*$E$21*$B$21*INDEX(Cum_TILC,1,CW$77),0)+IF(Assumptions!CW$72=$D$22+RetailDowntime,((1-RetailRenewalProb)*NewLeaseTI+RetailRenewalProb*RenewalTI)*$B$22*INDEX(Cum_TILC,1,CW$77)+LeasingCommissionPct*$E$22*$B$22*INDEX(Cum_TILC,1,CW$77),0))*Assumptions!CW$74</f>
        <v/>
      </c>
      <c r="CX41" s="50">
        <f>(IF(Assumptions!CX$72=$D$17+RetailDowntime,((1-RetailRenewalProb)*NewLeaseTI+RetailRenewalProb*RenewalTI)*$B$17*INDEX(Cum_TILC,1,CX$77)+LeasingCommissionPct*$E$17*$B$17*INDEX(Cum_TILC,1,CX$77),0)+IF(Assumptions!CX$72=$D$18+RetailDowntime,((1-RetailRenewalProb)*NewLeaseTI+RetailRenewalProb*RenewalTI)*$B$18*INDEX(Cum_TILC,1,CX$77)+LeasingCommissionPct*$E$18*$B$18*INDEX(Cum_TILC,1,CX$77),0)+IF(Assumptions!CX$72=$D$19+RetailDowntime,((1-RetailRenewalProb)*NewLeaseTI+RetailRenewalProb*RenewalTI)*$B$19*INDEX(Cum_TILC,1,CX$77)+LeasingCommissionPct*$E$19*$B$19*INDEX(Cum_TILC,1,CX$77),0)+IF(Assumptions!CX$72=$D$20+RetailDowntime,((1-RetailRenewalProb)*NewLeaseTI+RetailRenewalProb*RenewalTI)*$B$20*INDEX(Cum_TILC,1,CX$77)+LeasingCommissionPct*$E$20*$B$20*INDEX(Cum_TILC,1,CX$77),0)+IF(Assumptions!CX$72=$D$21+RetailDowntime,((1-RetailRenewalProb)*NewLeaseTI+RetailRenewalProb*RenewalTI)*$B$21*INDEX(Cum_TILC,1,CX$77)+LeasingCommissionPct*$E$21*$B$21*INDEX(Cum_TILC,1,CX$77),0)+IF(Assumptions!CX$72=$D$22+RetailDowntime,((1-RetailRenewalProb)*NewLeaseTI+RetailRenewalProb*RenewalTI)*$B$22*INDEX(Cum_TILC,1,CX$77)+LeasingCommissionPct*$E$22*$B$22*INDEX(Cum_TILC,1,CX$77),0))*Assumptions!CX$74</f>
        <v/>
      </c>
      <c r="CY41" s="50">
        <f>(IF(Assumptions!CY$72=$D$17+RetailDowntime,((1-RetailRenewalProb)*NewLeaseTI+RetailRenewalProb*RenewalTI)*$B$17*INDEX(Cum_TILC,1,CY$77)+LeasingCommissionPct*$E$17*$B$17*INDEX(Cum_TILC,1,CY$77),0)+IF(Assumptions!CY$72=$D$18+RetailDowntime,((1-RetailRenewalProb)*NewLeaseTI+RetailRenewalProb*RenewalTI)*$B$18*INDEX(Cum_TILC,1,CY$77)+LeasingCommissionPct*$E$18*$B$18*INDEX(Cum_TILC,1,CY$77),0)+IF(Assumptions!CY$72=$D$19+RetailDowntime,((1-RetailRenewalProb)*NewLeaseTI+RetailRenewalProb*RenewalTI)*$B$19*INDEX(Cum_TILC,1,CY$77)+LeasingCommissionPct*$E$19*$B$19*INDEX(Cum_TILC,1,CY$77),0)+IF(Assumptions!CY$72=$D$20+RetailDowntime,((1-RetailRenewalProb)*NewLeaseTI+RetailRenewalProb*RenewalTI)*$B$20*INDEX(Cum_TILC,1,CY$77)+LeasingCommissionPct*$E$20*$B$20*INDEX(Cum_TILC,1,CY$77),0)+IF(Assumptions!CY$72=$D$21+RetailDowntime,((1-RetailRenewalProb)*NewLeaseTI+RetailRenewalProb*RenewalTI)*$B$21*INDEX(Cum_TILC,1,CY$77)+LeasingCommissionPct*$E$21*$B$21*INDEX(Cum_TILC,1,CY$77),0)+IF(Assumptions!CY$72=$D$22+RetailDowntime,((1-RetailRenewalProb)*NewLeaseTI+RetailRenewalProb*RenewalTI)*$B$22*INDEX(Cum_TILC,1,CY$77)+LeasingCommissionPct*$E$22*$B$22*INDEX(Cum_TILC,1,CY$77),0))*Assumptions!CY$74</f>
        <v/>
      </c>
      <c r="CZ41" s="50">
        <f>(IF(Assumptions!CZ$72=$D$17+RetailDowntime,((1-RetailRenewalProb)*NewLeaseTI+RetailRenewalProb*RenewalTI)*$B$17*INDEX(Cum_TILC,1,CZ$77)+LeasingCommissionPct*$E$17*$B$17*INDEX(Cum_TILC,1,CZ$77),0)+IF(Assumptions!CZ$72=$D$18+RetailDowntime,((1-RetailRenewalProb)*NewLeaseTI+RetailRenewalProb*RenewalTI)*$B$18*INDEX(Cum_TILC,1,CZ$77)+LeasingCommissionPct*$E$18*$B$18*INDEX(Cum_TILC,1,CZ$77),0)+IF(Assumptions!CZ$72=$D$19+RetailDowntime,((1-RetailRenewalProb)*NewLeaseTI+RetailRenewalProb*RenewalTI)*$B$19*INDEX(Cum_TILC,1,CZ$77)+LeasingCommissionPct*$E$19*$B$19*INDEX(Cum_TILC,1,CZ$77),0)+IF(Assumptions!CZ$72=$D$20+RetailDowntime,((1-RetailRenewalProb)*NewLeaseTI+RetailRenewalProb*RenewalTI)*$B$20*INDEX(Cum_TILC,1,CZ$77)+LeasingCommissionPct*$E$20*$B$20*INDEX(Cum_TILC,1,CZ$77),0)+IF(Assumptions!CZ$72=$D$21+RetailDowntime,((1-RetailRenewalProb)*NewLeaseTI+RetailRenewalProb*RenewalTI)*$B$21*INDEX(Cum_TILC,1,CZ$77)+LeasingCommissionPct*$E$21*$B$21*INDEX(Cum_TILC,1,CZ$77),0)+IF(Assumptions!CZ$72=$D$22+RetailDowntime,((1-RetailRenewalProb)*NewLeaseTI+RetailRenewalProb*RenewalTI)*$B$22*INDEX(Cum_TILC,1,CZ$77)+LeasingCommissionPct*$E$22*$B$22*INDEX(Cum_TILC,1,CZ$77),0))*Assumptions!CZ$74</f>
        <v/>
      </c>
      <c r="DA41" s="50">
        <f>(IF(Assumptions!DA$72=$D$17+RetailDowntime,((1-RetailRenewalProb)*NewLeaseTI+RetailRenewalProb*RenewalTI)*$B$17*INDEX(Cum_TILC,1,DA$77)+LeasingCommissionPct*$E$17*$B$17*INDEX(Cum_TILC,1,DA$77),0)+IF(Assumptions!DA$72=$D$18+RetailDowntime,((1-RetailRenewalProb)*NewLeaseTI+RetailRenewalProb*RenewalTI)*$B$18*INDEX(Cum_TILC,1,DA$77)+LeasingCommissionPct*$E$18*$B$18*INDEX(Cum_TILC,1,DA$77),0)+IF(Assumptions!DA$72=$D$19+RetailDowntime,((1-RetailRenewalProb)*NewLeaseTI+RetailRenewalProb*RenewalTI)*$B$19*INDEX(Cum_TILC,1,DA$77)+LeasingCommissionPct*$E$19*$B$19*INDEX(Cum_TILC,1,DA$77),0)+IF(Assumptions!DA$72=$D$20+RetailDowntime,((1-RetailRenewalProb)*NewLeaseTI+RetailRenewalProb*RenewalTI)*$B$20*INDEX(Cum_TILC,1,DA$77)+LeasingCommissionPct*$E$20*$B$20*INDEX(Cum_TILC,1,DA$77),0)+IF(Assumptions!DA$72=$D$21+RetailDowntime,((1-RetailRenewalProb)*NewLeaseTI+RetailRenewalProb*RenewalTI)*$B$21*INDEX(Cum_TILC,1,DA$77)+LeasingCommissionPct*$E$21*$B$21*INDEX(Cum_TILC,1,DA$77),0)+IF(Assumptions!DA$72=$D$22+RetailDowntime,((1-RetailRenewalProb)*NewLeaseTI+RetailRenewalProb*RenewalTI)*$B$22*INDEX(Cum_TILC,1,DA$77)+LeasingCommissionPct*$E$22*$B$22*INDEX(Cum_TILC,1,DA$77),0))*Assumptions!DA$74</f>
        <v/>
      </c>
      <c r="DB41" s="50">
        <f>(IF(Assumptions!DB$72=$D$17+RetailDowntime,((1-RetailRenewalProb)*NewLeaseTI+RetailRenewalProb*RenewalTI)*$B$17*INDEX(Cum_TILC,1,DB$77)+LeasingCommissionPct*$E$17*$B$17*INDEX(Cum_TILC,1,DB$77),0)+IF(Assumptions!DB$72=$D$18+RetailDowntime,((1-RetailRenewalProb)*NewLeaseTI+RetailRenewalProb*RenewalTI)*$B$18*INDEX(Cum_TILC,1,DB$77)+LeasingCommissionPct*$E$18*$B$18*INDEX(Cum_TILC,1,DB$77),0)+IF(Assumptions!DB$72=$D$19+RetailDowntime,((1-RetailRenewalProb)*NewLeaseTI+RetailRenewalProb*RenewalTI)*$B$19*INDEX(Cum_TILC,1,DB$77)+LeasingCommissionPct*$E$19*$B$19*INDEX(Cum_TILC,1,DB$77),0)+IF(Assumptions!DB$72=$D$20+RetailDowntime,((1-RetailRenewalProb)*NewLeaseTI+RetailRenewalProb*RenewalTI)*$B$20*INDEX(Cum_TILC,1,DB$77)+LeasingCommissionPct*$E$20*$B$20*INDEX(Cum_TILC,1,DB$77),0)+IF(Assumptions!DB$72=$D$21+RetailDowntime,((1-RetailRenewalProb)*NewLeaseTI+RetailRenewalProb*RenewalTI)*$B$21*INDEX(Cum_TILC,1,DB$77)+LeasingCommissionPct*$E$21*$B$21*INDEX(Cum_TILC,1,DB$77),0)+IF(Assumptions!DB$72=$D$22+RetailDowntime,((1-RetailRenewalProb)*NewLeaseTI+RetailRenewalProb*RenewalTI)*$B$22*INDEX(Cum_TILC,1,DB$77)+LeasingCommissionPct*$E$22*$B$22*INDEX(Cum_TILC,1,DB$77),0))*Assumptions!DB$74</f>
        <v/>
      </c>
      <c r="DC41" s="50">
        <f>(IF(Assumptions!DC$72=$D$17+RetailDowntime,((1-RetailRenewalProb)*NewLeaseTI+RetailRenewalProb*RenewalTI)*$B$17*INDEX(Cum_TILC,1,DC$77)+LeasingCommissionPct*$E$17*$B$17*INDEX(Cum_TILC,1,DC$77),0)+IF(Assumptions!DC$72=$D$18+RetailDowntime,((1-RetailRenewalProb)*NewLeaseTI+RetailRenewalProb*RenewalTI)*$B$18*INDEX(Cum_TILC,1,DC$77)+LeasingCommissionPct*$E$18*$B$18*INDEX(Cum_TILC,1,DC$77),0)+IF(Assumptions!DC$72=$D$19+RetailDowntime,((1-RetailRenewalProb)*NewLeaseTI+RetailRenewalProb*RenewalTI)*$B$19*INDEX(Cum_TILC,1,DC$77)+LeasingCommissionPct*$E$19*$B$19*INDEX(Cum_TILC,1,DC$77),0)+IF(Assumptions!DC$72=$D$20+RetailDowntime,((1-RetailRenewalProb)*NewLeaseTI+RetailRenewalProb*RenewalTI)*$B$20*INDEX(Cum_TILC,1,DC$77)+LeasingCommissionPct*$E$20*$B$20*INDEX(Cum_TILC,1,DC$77),0)+IF(Assumptions!DC$72=$D$21+RetailDowntime,((1-RetailRenewalProb)*NewLeaseTI+RetailRenewalProb*RenewalTI)*$B$21*INDEX(Cum_TILC,1,DC$77)+LeasingCommissionPct*$E$21*$B$21*INDEX(Cum_TILC,1,DC$77),0)+IF(Assumptions!DC$72=$D$22+RetailDowntime,((1-RetailRenewalProb)*NewLeaseTI+RetailRenewalProb*RenewalTI)*$B$22*INDEX(Cum_TILC,1,DC$77)+LeasingCommissionPct*$E$22*$B$22*INDEX(Cum_TILC,1,DC$77),0))*Assumptions!DC$74</f>
        <v/>
      </c>
      <c r="DD41" s="50">
        <f>(IF(Assumptions!DD$72=$D$17+RetailDowntime,((1-RetailRenewalProb)*NewLeaseTI+RetailRenewalProb*RenewalTI)*$B$17*INDEX(Cum_TILC,1,DD$77)+LeasingCommissionPct*$E$17*$B$17*INDEX(Cum_TILC,1,DD$77),0)+IF(Assumptions!DD$72=$D$18+RetailDowntime,((1-RetailRenewalProb)*NewLeaseTI+RetailRenewalProb*RenewalTI)*$B$18*INDEX(Cum_TILC,1,DD$77)+LeasingCommissionPct*$E$18*$B$18*INDEX(Cum_TILC,1,DD$77),0)+IF(Assumptions!DD$72=$D$19+RetailDowntime,((1-RetailRenewalProb)*NewLeaseTI+RetailRenewalProb*RenewalTI)*$B$19*INDEX(Cum_TILC,1,DD$77)+LeasingCommissionPct*$E$19*$B$19*INDEX(Cum_TILC,1,DD$77),0)+IF(Assumptions!DD$72=$D$20+RetailDowntime,((1-RetailRenewalProb)*NewLeaseTI+RetailRenewalProb*RenewalTI)*$B$20*INDEX(Cum_TILC,1,DD$77)+LeasingCommissionPct*$E$20*$B$20*INDEX(Cum_TILC,1,DD$77),0)+IF(Assumptions!DD$72=$D$21+RetailDowntime,((1-RetailRenewalProb)*NewLeaseTI+RetailRenewalProb*RenewalTI)*$B$21*INDEX(Cum_TILC,1,DD$77)+LeasingCommissionPct*$E$21*$B$21*INDEX(Cum_TILC,1,DD$77),0)+IF(Assumptions!DD$72=$D$22+RetailDowntime,((1-RetailRenewalProb)*NewLeaseTI+RetailRenewalProb*RenewalTI)*$B$22*INDEX(Cum_TILC,1,DD$77)+LeasingCommissionPct*$E$22*$B$22*INDEX(Cum_TILC,1,DD$77),0))*Assumptions!DD$74</f>
        <v/>
      </c>
      <c r="DE41" s="50">
        <f>(IF(Assumptions!DE$72=$D$17+RetailDowntime,((1-RetailRenewalProb)*NewLeaseTI+RetailRenewalProb*RenewalTI)*$B$17*INDEX(Cum_TILC,1,DE$77)+LeasingCommissionPct*$E$17*$B$17*INDEX(Cum_TILC,1,DE$77),0)+IF(Assumptions!DE$72=$D$18+RetailDowntime,((1-RetailRenewalProb)*NewLeaseTI+RetailRenewalProb*RenewalTI)*$B$18*INDEX(Cum_TILC,1,DE$77)+LeasingCommissionPct*$E$18*$B$18*INDEX(Cum_TILC,1,DE$77),0)+IF(Assumptions!DE$72=$D$19+RetailDowntime,((1-RetailRenewalProb)*NewLeaseTI+RetailRenewalProb*RenewalTI)*$B$19*INDEX(Cum_TILC,1,DE$77)+LeasingCommissionPct*$E$19*$B$19*INDEX(Cum_TILC,1,DE$77),0)+IF(Assumptions!DE$72=$D$20+RetailDowntime,((1-RetailRenewalProb)*NewLeaseTI+RetailRenewalProb*RenewalTI)*$B$20*INDEX(Cum_TILC,1,DE$77)+LeasingCommissionPct*$E$20*$B$20*INDEX(Cum_TILC,1,DE$77),0)+IF(Assumptions!DE$72=$D$21+RetailDowntime,((1-RetailRenewalProb)*NewLeaseTI+RetailRenewalProb*RenewalTI)*$B$21*INDEX(Cum_TILC,1,DE$77)+LeasingCommissionPct*$E$21*$B$21*INDEX(Cum_TILC,1,DE$77),0)+IF(Assumptions!DE$72=$D$22+RetailDowntime,((1-RetailRenewalProb)*NewLeaseTI+RetailRenewalProb*RenewalTI)*$B$22*INDEX(Cum_TILC,1,DE$77)+LeasingCommissionPct*$E$22*$B$22*INDEX(Cum_TILC,1,DE$77),0))*Assumptions!DE$74</f>
        <v/>
      </c>
      <c r="DF41" s="50">
        <f>(IF(Assumptions!DF$72=$D$17+RetailDowntime,((1-RetailRenewalProb)*NewLeaseTI+RetailRenewalProb*RenewalTI)*$B$17*INDEX(Cum_TILC,1,DF$77)+LeasingCommissionPct*$E$17*$B$17*INDEX(Cum_TILC,1,DF$77),0)+IF(Assumptions!DF$72=$D$18+RetailDowntime,((1-RetailRenewalProb)*NewLeaseTI+RetailRenewalProb*RenewalTI)*$B$18*INDEX(Cum_TILC,1,DF$77)+LeasingCommissionPct*$E$18*$B$18*INDEX(Cum_TILC,1,DF$77),0)+IF(Assumptions!DF$72=$D$19+RetailDowntime,((1-RetailRenewalProb)*NewLeaseTI+RetailRenewalProb*RenewalTI)*$B$19*INDEX(Cum_TILC,1,DF$77)+LeasingCommissionPct*$E$19*$B$19*INDEX(Cum_TILC,1,DF$77),0)+IF(Assumptions!DF$72=$D$20+RetailDowntime,((1-RetailRenewalProb)*NewLeaseTI+RetailRenewalProb*RenewalTI)*$B$20*INDEX(Cum_TILC,1,DF$77)+LeasingCommissionPct*$E$20*$B$20*INDEX(Cum_TILC,1,DF$77),0)+IF(Assumptions!DF$72=$D$21+RetailDowntime,((1-RetailRenewalProb)*NewLeaseTI+RetailRenewalProb*RenewalTI)*$B$21*INDEX(Cum_TILC,1,DF$77)+LeasingCommissionPct*$E$21*$B$21*INDEX(Cum_TILC,1,DF$77),0)+IF(Assumptions!DF$72=$D$22+RetailDowntime,((1-RetailRenewalProb)*NewLeaseTI+RetailRenewalProb*RenewalTI)*$B$22*INDEX(Cum_TILC,1,DF$77)+LeasingCommissionPct*$E$22*$B$22*INDEX(Cum_TILC,1,DF$77),0))*Assumptions!DF$74</f>
        <v/>
      </c>
      <c r="DG41" s="50">
        <f>(IF(Assumptions!DG$72=$D$17+RetailDowntime,((1-RetailRenewalProb)*NewLeaseTI+RetailRenewalProb*RenewalTI)*$B$17*INDEX(Cum_TILC,1,DG$77)+LeasingCommissionPct*$E$17*$B$17*INDEX(Cum_TILC,1,DG$77),0)+IF(Assumptions!DG$72=$D$18+RetailDowntime,((1-RetailRenewalProb)*NewLeaseTI+RetailRenewalProb*RenewalTI)*$B$18*INDEX(Cum_TILC,1,DG$77)+LeasingCommissionPct*$E$18*$B$18*INDEX(Cum_TILC,1,DG$77),0)+IF(Assumptions!DG$72=$D$19+RetailDowntime,((1-RetailRenewalProb)*NewLeaseTI+RetailRenewalProb*RenewalTI)*$B$19*INDEX(Cum_TILC,1,DG$77)+LeasingCommissionPct*$E$19*$B$19*INDEX(Cum_TILC,1,DG$77),0)+IF(Assumptions!DG$72=$D$20+RetailDowntime,((1-RetailRenewalProb)*NewLeaseTI+RetailRenewalProb*RenewalTI)*$B$20*INDEX(Cum_TILC,1,DG$77)+LeasingCommissionPct*$E$20*$B$20*INDEX(Cum_TILC,1,DG$77),0)+IF(Assumptions!DG$72=$D$21+RetailDowntime,((1-RetailRenewalProb)*NewLeaseTI+RetailRenewalProb*RenewalTI)*$B$21*INDEX(Cum_TILC,1,DG$77)+LeasingCommissionPct*$E$21*$B$21*INDEX(Cum_TILC,1,DG$77),0)+IF(Assumptions!DG$72=$D$22+RetailDowntime,((1-RetailRenewalProb)*NewLeaseTI+RetailRenewalProb*RenewalTI)*$B$22*INDEX(Cum_TILC,1,DG$77)+LeasingCommissionPct*$E$22*$B$22*INDEX(Cum_TILC,1,DG$77),0))*Assumptions!DG$74</f>
        <v/>
      </c>
      <c r="DH41" s="50">
        <f>(IF(Assumptions!DH$72=$D$17+RetailDowntime,((1-RetailRenewalProb)*NewLeaseTI+RetailRenewalProb*RenewalTI)*$B$17*INDEX(Cum_TILC,1,DH$77)+LeasingCommissionPct*$E$17*$B$17*INDEX(Cum_TILC,1,DH$77),0)+IF(Assumptions!DH$72=$D$18+RetailDowntime,((1-RetailRenewalProb)*NewLeaseTI+RetailRenewalProb*RenewalTI)*$B$18*INDEX(Cum_TILC,1,DH$77)+LeasingCommissionPct*$E$18*$B$18*INDEX(Cum_TILC,1,DH$77),0)+IF(Assumptions!DH$72=$D$19+RetailDowntime,((1-RetailRenewalProb)*NewLeaseTI+RetailRenewalProb*RenewalTI)*$B$19*INDEX(Cum_TILC,1,DH$77)+LeasingCommissionPct*$E$19*$B$19*INDEX(Cum_TILC,1,DH$77),0)+IF(Assumptions!DH$72=$D$20+RetailDowntime,((1-RetailRenewalProb)*NewLeaseTI+RetailRenewalProb*RenewalTI)*$B$20*INDEX(Cum_TILC,1,DH$77)+LeasingCommissionPct*$E$20*$B$20*INDEX(Cum_TILC,1,DH$77),0)+IF(Assumptions!DH$72=$D$21+RetailDowntime,((1-RetailRenewalProb)*NewLeaseTI+RetailRenewalProb*RenewalTI)*$B$21*INDEX(Cum_TILC,1,DH$77)+LeasingCommissionPct*$E$21*$B$21*INDEX(Cum_TILC,1,DH$77),0)+IF(Assumptions!DH$72=$D$22+RetailDowntime,((1-RetailRenewalProb)*NewLeaseTI+RetailRenewalProb*RenewalTI)*$B$22*INDEX(Cum_TILC,1,DH$77)+LeasingCommissionPct*$E$22*$B$22*INDEX(Cum_TILC,1,DH$77),0))*Assumptions!DH$74</f>
        <v/>
      </c>
      <c r="DI41" s="50">
        <f>(IF(Assumptions!DI$72=$D$17+RetailDowntime,((1-RetailRenewalProb)*NewLeaseTI+RetailRenewalProb*RenewalTI)*$B$17*INDEX(Cum_TILC,1,DI$77)+LeasingCommissionPct*$E$17*$B$17*INDEX(Cum_TILC,1,DI$77),0)+IF(Assumptions!DI$72=$D$18+RetailDowntime,((1-RetailRenewalProb)*NewLeaseTI+RetailRenewalProb*RenewalTI)*$B$18*INDEX(Cum_TILC,1,DI$77)+LeasingCommissionPct*$E$18*$B$18*INDEX(Cum_TILC,1,DI$77),0)+IF(Assumptions!DI$72=$D$19+RetailDowntime,((1-RetailRenewalProb)*NewLeaseTI+RetailRenewalProb*RenewalTI)*$B$19*INDEX(Cum_TILC,1,DI$77)+LeasingCommissionPct*$E$19*$B$19*INDEX(Cum_TILC,1,DI$77),0)+IF(Assumptions!DI$72=$D$20+RetailDowntime,((1-RetailRenewalProb)*NewLeaseTI+RetailRenewalProb*RenewalTI)*$B$20*INDEX(Cum_TILC,1,DI$77)+LeasingCommissionPct*$E$20*$B$20*INDEX(Cum_TILC,1,DI$77),0)+IF(Assumptions!DI$72=$D$21+RetailDowntime,((1-RetailRenewalProb)*NewLeaseTI+RetailRenewalProb*RenewalTI)*$B$21*INDEX(Cum_TILC,1,DI$77)+LeasingCommissionPct*$E$21*$B$21*INDEX(Cum_TILC,1,DI$77),0)+IF(Assumptions!DI$72=$D$22+RetailDowntime,((1-RetailRenewalProb)*NewLeaseTI+RetailRenewalProb*RenewalTI)*$B$22*INDEX(Cum_TILC,1,DI$77)+LeasingCommissionPct*$E$22*$B$22*INDEX(Cum_TILC,1,DI$77),0))*Assumptions!DI$74</f>
        <v/>
      </c>
      <c r="DJ41" s="50">
        <f>(IF(Assumptions!DJ$72=$D$17+RetailDowntime,((1-RetailRenewalProb)*NewLeaseTI+RetailRenewalProb*RenewalTI)*$B$17*INDEX(Cum_TILC,1,DJ$77)+LeasingCommissionPct*$E$17*$B$17*INDEX(Cum_TILC,1,DJ$77),0)+IF(Assumptions!DJ$72=$D$18+RetailDowntime,((1-RetailRenewalProb)*NewLeaseTI+RetailRenewalProb*RenewalTI)*$B$18*INDEX(Cum_TILC,1,DJ$77)+LeasingCommissionPct*$E$18*$B$18*INDEX(Cum_TILC,1,DJ$77),0)+IF(Assumptions!DJ$72=$D$19+RetailDowntime,((1-RetailRenewalProb)*NewLeaseTI+RetailRenewalProb*RenewalTI)*$B$19*INDEX(Cum_TILC,1,DJ$77)+LeasingCommissionPct*$E$19*$B$19*INDEX(Cum_TILC,1,DJ$77),0)+IF(Assumptions!DJ$72=$D$20+RetailDowntime,((1-RetailRenewalProb)*NewLeaseTI+RetailRenewalProb*RenewalTI)*$B$20*INDEX(Cum_TILC,1,DJ$77)+LeasingCommissionPct*$E$20*$B$20*INDEX(Cum_TILC,1,DJ$77),0)+IF(Assumptions!DJ$72=$D$21+RetailDowntime,((1-RetailRenewalProb)*NewLeaseTI+RetailRenewalProb*RenewalTI)*$B$21*INDEX(Cum_TILC,1,DJ$77)+LeasingCommissionPct*$E$21*$B$21*INDEX(Cum_TILC,1,DJ$77),0)+IF(Assumptions!DJ$72=$D$22+RetailDowntime,((1-RetailRenewalProb)*NewLeaseTI+RetailRenewalProb*RenewalTI)*$B$22*INDEX(Cum_TILC,1,DJ$77)+LeasingCommissionPct*$E$22*$B$22*INDEX(Cum_TILC,1,DJ$77),0))*Assumptions!DJ$74</f>
        <v/>
      </c>
      <c r="DK41" s="50">
        <f>(IF(Assumptions!DK$72=$D$17+RetailDowntime,((1-RetailRenewalProb)*NewLeaseTI+RetailRenewalProb*RenewalTI)*$B$17*INDEX(Cum_TILC,1,DK$77)+LeasingCommissionPct*$E$17*$B$17*INDEX(Cum_TILC,1,DK$77),0)+IF(Assumptions!DK$72=$D$18+RetailDowntime,((1-RetailRenewalProb)*NewLeaseTI+RetailRenewalProb*RenewalTI)*$B$18*INDEX(Cum_TILC,1,DK$77)+LeasingCommissionPct*$E$18*$B$18*INDEX(Cum_TILC,1,DK$77),0)+IF(Assumptions!DK$72=$D$19+RetailDowntime,((1-RetailRenewalProb)*NewLeaseTI+RetailRenewalProb*RenewalTI)*$B$19*INDEX(Cum_TILC,1,DK$77)+LeasingCommissionPct*$E$19*$B$19*INDEX(Cum_TILC,1,DK$77),0)+IF(Assumptions!DK$72=$D$20+RetailDowntime,((1-RetailRenewalProb)*NewLeaseTI+RetailRenewalProb*RenewalTI)*$B$20*INDEX(Cum_TILC,1,DK$77)+LeasingCommissionPct*$E$20*$B$20*INDEX(Cum_TILC,1,DK$77),0)+IF(Assumptions!DK$72=$D$21+RetailDowntime,((1-RetailRenewalProb)*NewLeaseTI+RetailRenewalProb*RenewalTI)*$B$21*INDEX(Cum_TILC,1,DK$77)+LeasingCommissionPct*$E$21*$B$21*INDEX(Cum_TILC,1,DK$77),0)+IF(Assumptions!DK$72=$D$22+RetailDowntime,((1-RetailRenewalProb)*NewLeaseTI+RetailRenewalProb*RenewalTI)*$B$22*INDEX(Cum_TILC,1,DK$77)+LeasingCommissionPct*$E$22*$B$22*INDEX(Cum_TILC,1,DK$77),0))*Assumptions!DK$74</f>
        <v/>
      </c>
      <c r="DL41" s="50">
        <f>(IF(Assumptions!DL$72=$D$17+RetailDowntime,((1-RetailRenewalProb)*NewLeaseTI+RetailRenewalProb*RenewalTI)*$B$17*INDEX(Cum_TILC,1,DL$77)+LeasingCommissionPct*$E$17*$B$17*INDEX(Cum_TILC,1,DL$77),0)+IF(Assumptions!DL$72=$D$18+RetailDowntime,((1-RetailRenewalProb)*NewLeaseTI+RetailRenewalProb*RenewalTI)*$B$18*INDEX(Cum_TILC,1,DL$77)+LeasingCommissionPct*$E$18*$B$18*INDEX(Cum_TILC,1,DL$77),0)+IF(Assumptions!DL$72=$D$19+RetailDowntime,((1-RetailRenewalProb)*NewLeaseTI+RetailRenewalProb*RenewalTI)*$B$19*INDEX(Cum_TILC,1,DL$77)+LeasingCommissionPct*$E$19*$B$19*INDEX(Cum_TILC,1,DL$77),0)+IF(Assumptions!DL$72=$D$20+RetailDowntime,((1-RetailRenewalProb)*NewLeaseTI+RetailRenewalProb*RenewalTI)*$B$20*INDEX(Cum_TILC,1,DL$77)+LeasingCommissionPct*$E$20*$B$20*INDEX(Cum_TILC,1,DL$77),0)+IF(Assumptions!DL$72=$D$21+RetailDowntime,((1-RetailRenewalProb)*NewLeaseTI+RetailRenewalProb*RenewalTI)*$B$21*INDEX(Cum_TILC,1,DL$77)+LeasingCommissionPct*$E$21*$B$21*INDEX(Cum_TILC,1,DL$77),0)+IF(Assumptions!DL$72=$D$22+RetailDowntime,((1-RetailRenewalProb)*NewLeaseTI+RetailRenewalProb*RenewalTI)*$B$22*INDEX(Cum_TILC,1,DL$77)+LeasingCommissionPct*$E$22*$B$22*INDEX(Cum_TILC,1,DL$77),0))*Assumptions!DL$74</f>
        <v/>
      </c>
      <c r="DM41" s="50">
        <f>(IF(Assumptions!DM$72=$D$17+RetailDowntime,((1-RetailRenewalProb)*NewLeaseTI+RetailRenewalProb*RenewalTI)*$B$17*INDEX(Cum_TILC,1,DM$77)+LeasingCommissionPct*$E$17*$B$17*INDEX(Cum_TILC,1,DM$77),0)+IF(Assumptions!DM$72=$D$18+RetailDowntime,((1-RetailRenewalProb)*NewLeaseTI+RetailRenewalProb*RenewalTI)*$B$18*INDEX(Cum_TILC,1,DM$77)+LeasingCommissionPct*$E$18*$B$18*INDEX(Cum_TILC,1,DM$77),0)+IF(Assumptions!DM$72=$D$19+RetailDowntime,((1-RetailRenewalProb)*NewLeaseTI+RetailRenewalProb*RenewalTI)*$B$19*INDEX(Cum_TILC,1,DM$77)+LeasingCommissionPct*$E$19*$B$19*INDEX(Cum_TILC,1,DM$77),0)+IF(Assumptions!DM$72=$D$20+RetailDowntime,((1-RetailRenewalProb)*NewLeaseTI+RetailRenewalProb*RenewalTI)*$B$20*INDEX(Cum_TILC,1,DM$77)+LeasingCommissionPct*$E$20*$B$20*INDEX(Cum_TILC,1,DM$77),0)+IF(Assumptions!DM$72=$D$21+RetailDowntime,((1-RetailRenewalProb)*NewLeaseTI+RetailRenewalProb*RenewalTI)*$B$21*INDEX(Cum_TILC,1,DM$77)+LeasingCommissionPct*$E$21*$B$21*INDEX(Cum_TILC,1,DM$77),0)+IF(Assumptions!DM$72=$D$22+RetailDowntime,((1-RetailRenewalProb)*NewLeaseTI+RetailRenewalProb*RenewalTI)*$B$22*INDEX(Cum_TILC,1,DM$77)+LeasingCommissionPct*$E$22*$B$22*INDEX(Cum_TILC,1,DM$77),0))*Assumptions!DM$74</f>
        <v/>
      </c>
      <c r="DN41" s="50">
        <f>(IF(Assumptions!DN$72=$D$17+RetailDowntime,((1-RetailRenewalProb)*NewLeaseTI+RetailRenewalProb*RenewalTI)*$B$17*INDEX(Cum_TILC,1,DN$77)+LeasingCommissionPct*$E$17*$B$17*INDEX(Cum_TILC,1,DN$77),0)+IF(Assumptions!DN$72=$D$18+RetailDowntime,((1-RetailRenewalProb)*NewLeaseTI+RetailRenewalProb*RenewalTI)*$B$18*INDEX(Cum_TILC,1,DN$77)+LeasingCommissionPct*$E$18*$B$18*INDEX(Cum_TILC,1,DN$77),0)+IF(Assumptions!DN$72=$D$19+RetailDowntime,((1-RetailRenewalProb)*NewLeaseTI+RetailRenewalProb*RenewalTI)*$B$19*INDEX(Cum_TILC,1,DN$77)+LeasingCommissionPct*$E$19*$B$19*INDEX(Cum_TILC,1,DN$77),0)+IF(Assumptions!DN$72=$D$20+RetailDowntime,((1-RetailRenewalProb)*NewLeaseTI+RetailRenewalProb*RenewalTI)*$B$20*INDEX(Cum_TILC,1,DN$77)+LeasingCommissionPct*$E$20*$B$20*INDEX(Cum_TILC,1,DN$77),0)+IF(Assumptions!DN$72=$D$21+RetailDowntime,((1-RetailRenewalProb)*NewLeaseTI+RetailRenewalProb*RenewalTI)*$B$21*INDEX(Cum_TILC,1,DN$77)+LeasingCommissionPct*$E$21*$B$21*INDEX(Cum_TILC,1,DN$77),0)+IF(Assumptions!DN$72=$D$22+RetailDowntime,((1-RetailRenewalProb)*NewLeaseTI+RetailRenewalProb*RenewalTI)*$B$22*INDEX(Cum_TILC,1,DN$77)+LeasingCommissionPct*$E$22*$B$22*INDEX(Cum_TILC,1,DN$77),0))*Assumptions!DN$74</f>
        <v/>
      </c>
      <c r="DO41" s="50">
        <f>(IF(Assumptions!DO$72=$D$17+RetailDowntime,((1-RetailRenewalProb)*NewLeaseTI+RetailRenewalProb*RenewalTI)*$B$17*INDEX(Cum_TILC,1,DO$77)+LeasingCommissionPct*$E$17*$B$17*INDEX(Cum_TILC,1,DO$77),0)+IF(Assumptions!DO$72=$D$18+RetailDowntime,((1-RetailRenewalProb)*NewLeaseTI+RetailRenewalProb*RenewalTI)*$B$18*INDEX(Cum_TILC,1,DO$77)+LeasingCommissionPct*$E$18*$B$18*INDEX(Cum_TILC,1,DO$77),0)+IF(Assumptions!DO$72=$D$19+RetailDowntime,((1-RetailRenewalProb)*NewLeaseTI+RetailRenewalProb*RenewalTI)*$B$19*INDEX(Cum_TILC,1,DO$77)+LeasingCommissionPct*$E$19*$B$19*INDEX(Cum_TILC,1,DO$77),0)+IF(Assumptions!DO$72=$D$20+RetailDowntime,((1-RetailRenewalProb)*NewLeaseTI+RetailRenewalProb*RenewalTI)*$B$20*INDEX(Cum_TILC,1,DO$77)+LeasingCommissionPct*$E$20*$B$20*INDEX(Cum_TILC,1,DO$77),0)+IF(Assumptions!DO$72=$D$21+RetailDowntime,((1-RetailRenewalProb)*NewLeaseTI+RetailRenewalProb*RenewalTI)*$B$21*INDEX(Cum_TILC,1,DO$77)+LeasingCommissionPct*$E$21*$B$21*INDEX(Cum_TILC,1,DO$77),0)+IF(Assumptions!DO$72=$D$22+RetailDowntime,((1-RetailRenewalProb)*NewLeaseTI+RetailRenewalProb*RenewalTI)*$B$22*INDEX(Cum_TILC,1,DO$77)+LeasingCommissionPct*$E$22*$B$22*INDEX(Cum_TILC,1,DO$77),0))*Assumptions!DO$74</f>
        <v/>
      </c>
      <c r="DP41" s="50">
        <f>(IF(Assumptions!DP$72=$D$17+RetailDowntime,((1-RetailRenewalProb)*NewLeaseTI+RetailRenewalProb*RenewalTI)*$B$17*INDEX(Cum_TILC,1,DP$77)+LeasingCommissionPct*$E$17*$B$17*INDEX(Cum_TILC,1,DP$77),0)+IF(Assumptions!DP$72=$D$18+RetailDowntime,((1-RetailRenewalProb)*NewLeaseTI+RetailRenewalProb*RenewalTI)*$B$18*INDEX(Cum_TILC,1,DP$77)+LeasingCommissionPct*$E$18*$B$18*INDEX(Cum_TILC,1,DP$77),0)+IF(Assumptions!DP$72=$D$19+RetailDowntime,((1-RetailRenewalProb)*NewLeaseTI+RetailRenewalProb*RenewalTI)*$B$19*INDEX(Cum_TILC,1,DP$77)+LeasingCommissionPct*$E$19*$B$19*INDEX(Cum_TILC,1,DP$77),0)+IF(Assumptions!DP$72=$D$20+RetailDowntime,((1-RetailRenewalProb)*NewLeaseTI+RetailRenewalProb*RenewalTI)*$B$20*INDEX(Cum_TILC,1,DP$77)+LeasingCommissionPct*$E$20*$B$20*INDEX(Cum_TILC,1,DP$77),0)+IF(Assumptions!DP$72=$D$21+RetailDowntime,((1-RetailRenewalProb)*NewLeaseTI+RetailRenewalProb*RenewalTI)*$B$21*INDEX(Cum_TILC,1,DP$77)+LeasingCommissionPct*$E$21*$B$21*INDEX(Cum_TILC,1,DP$77),0)+IF(Assumptions!DP$72=$D$22+RetailDowntime,((1-RetailRenewalProb)*NewLeaseTI+RetailRenewalProb*RenewalTI)*$B$22*INDEX(Cum_TILC,1,DP$77)+LeasingCommissionPct*$E$22*$B$22*INDEX(Cum_TILC,1,DP$77),0))*Assumptions!DP$74</f>
        <v/>
      </c>
      <c r="DQ41" s="50">
        <f>(IF(Assumptions!DQ$72=$D$17+RetailDowntime,((1-RetailRenewalProb)*NewLeaseTI+RetailRenewalProb*RenewalTI)*$B$17*INDEX(Cum_TILC,1,DQ$77)+LeasingCommissionPct*$E$17*$B$17*INDEX(Cum_TILC,1,DQ$77),0)+IF(Assumptions!DQ$72=$D$18+RetailDowntime,((1-RetailRenewalProb)*NewLeaseTI+RetailRenewalProb*RenewalTI)*$B$18*INDEX(Cum_TILC,1,DQ$77)+LeasingCommissionPct*$E$18*$B$18*INDEX(Cum_TILC,1,DQ$77),0)+IF(Assumptions!DQ$72=$D$19+RetailDowntime,((1-RetailRenewalProb)*NewLeaseTI+RetailRenewalProb*RenewalTI)*$B$19*INDEX(Cum_TILC,1,DQ$77)+LeasingCommissionPct*$E$19*$B$19*INDEX(Cum_TILC,1,DQ$77),0)+IF(Assumptions!DQ$72=$D$20+RetailDowntime,((1-RetailRenewalProb)*NewLeaseTI+RetailRenewalProb*RenewalTI)*$B$20*INDEX(Cum_TILC,1,DQ$77)+LeasingCommissionPct*$E$20*$B$20*INDEX(Cum_TILC,1,DQ$77),0)+IF(Assumptions!DQ$72=$D$21+RetailDowntime,((1-RetailRenewalProb)*NewLeaseTI+RetailRenewalProb*RenewalTI)*$B$21*INDEX(Cum_TILC,1,DQ$77)+LeasingCommissionPct*$E$21*$B$21*INDEX(Cum_TILC,1,DQ$77),0)+IF(Assumptions!DQ$72=$D$22+RetailDowntime,((1-RetailRenewalProb)*NewLeaseTI+RetailRenewalProb*RenewalTI)*$B$22*INDEX(Cum_TILC,1,DQ$77)+LeasingCommissionPct*$E$22*$B$22*INDEX(Cum_TILC,1,DQ$77),0))*Assumptions!DQ$74</f>
        <v/>
      </c>
      <c r="DR41" s="50">
        <f>(IF(Assumptions!DR$72=$D$17+RetailDowntime,((1-RetailRenewalProb)*NewLeaseTI+RetailRenewalProb*RenewalTI)*$B$17*INDEX(Cum_TILC,1,DR$77)+LeasingCommissionPct*$E$17*$B$17*INDEX(Cum_TILC,1,DR$77),0)+IF(Assumptions!DR$72=$D$18+RetailDowntime,((1-RetailRenewalProb)*NewLeaseTI+RetailRenewalProb*RenewalTI)*$B$18*INDEX(Cum_TILC,1,DR$77)+LeasingCommissionPct*$E$18*$B$18*INDEX(Cum_TILC,1,DR$77),0)+IF(Assumptions!DR$72=$D$19+RetailDowntime,((1-RetailRenewalProb)*NewLeaseTI+RetailRenewalProb*RenewalTI)*$B$19*INDEX(Cum_TILC,1,DR$77)+LeasingCommissionPct*$E$19*$B$19*INDEX(Cum_TILC,1,DR$77),0)+IF(Assumptions!DR$72=$D$20+RetailDowntime,((1-RetailRenewalProb)*NewLeaseTI+RetailRenewalProb*RenewalTI)*$B$20*INDEX(Cum_TILC,1,DR$77)+LeasingCommissionPct*$E$20*$B$20*INDEX(Cum_TILC,1,DR$77),0)+IF(Assumptions!DR$72=$D$21+RetailDowntime,((1-RetailRenewalProb)*NewLeaseTI+RetailRenewalProb*RenewalTI)*$B$21*INDEX(Cum_TILC,1,DR$77)+LeasingCommissionPct*$E$21*$B$21*INDEX(Cum_TILC,1,DR$77),0)+IF(Assumptions!DR$72=$D$22+RetailDowntime,((1-RetailRenewalProb)*NewLeaseTI+RetailRenewalProb*RenewalTI)*$B$22*INDEX(Cum_TILC,1,DR$77)+LeasingCommissionPct*$E$22*$B$22*INDEX(Cum_TILC,1,DR$77),0))*Assumptions!DR$74</f>
        <v/>
      </c>
      <c r="DS41" s="50">
        <f>(IF(Assumptions!DS$72=$D$17+RetailDowntime,((1-RetailRenewalProb)*NewLeaseTI+RetailRenewalProb*RenewalTI)*$B$17*INDEX(Cum_TILC,1,DS$77)+LeasingCommissionPct*$E$17*$B$17*INDEX(Cum_TILC,1,DS$77),0)+IF(Assumptions!DS$72=$D$18+RetailDowntime,((1-RetailRenewalProb)*NewLeaseTI+RetailRenewalProb*RenewalTI)*$B$18*INDEX(Cum_TILC,1,DS$77)+LeasingCommissionPct*$E$18*$B$18*INDEX(Cum_TILC,1,DS$77),0)+IF(Assumptions!DS$72=$D$19+RetailDowntime,((1-RetailRenewalProb)*NewLeaseTI+RetailRenewalProb*RenewalTI)*$B$19*INDEX(Cum_TILC,1,DS$77)+LeasingCommissionPct*$E$19*$B$19*INDEX(Cum_TILC,1,DS$77),0)+IF(Assumptions!DS$72=$D$20+RetailDowntime,((1-RetailRenewalProb)*NewLeaseTI+RetailRenewalProb*RenewalTI)*$B$20*INDEX(Cum_TILC,1,DS$77)+LeasingCommissionPct*$E$20*$B$20*INDEX(Cum_TILC,1,DS$77),0)+IF(Assumptions!DS$72=$D$21+RetailDowntime,((1-RetailRenewalProb)*NewLeaseTI+RetailRenewalProb*RenewalTI)*$B$21*INDEX(Cum_TILC,1,DS$77)+LeasingCommissionPct*$E$21*$B$21*INDEX(Cum_TILC,1,DS$77),0)+IF(Assumptions!DS$72=$D$22+RetailDowntime,((1-RetailRenewalProb)*NewLeaseTI+RetailRenewalProb*RenewalTI)*$B$22*INDEX(Cum_TILC,1,DS$77)+LeasingCommissionPct*$E$22*$B$22*INDEX(Cum_TILC,1,DS$77),0))*Assumptions!DS$74</f>
        <v/>
      </c>
      <c r="DT41" s="50">
        <f>(IF(Assumptions!DT$72=$D$17+RetailDowntime,((1-RetailRenewalProb)*NewLeaseTI+RetailRenewalProb*RenewalTI)*$B$17*INDEX(Cum_TILC,1,DT$77)+LeasingCommissionPct*$E$17*$B$17*INDEX(Cum_TILC,1,DT$77),0)+IF(Assumptions!DT$72=$D$18+RetailDowntime,((1-RetailRenewalProb)*NewLeaseTI+RetailRenewalProb*RenewalTI)*$B$18*INDEX(Cum_TILC,1,DT$77)+LeasingCommissionPct*$E$18*$B$18*INDEX(Cum_TILC,1,DT$77),0)+IF(Assumptions!DT$72=$D$19+RetailDowntime,((1-RetailRenewalProb)*NewLeaseTI+RetailRenewalProb*RenewalTI)*$B$19*INDEX(Cum_TILC,1,DT$77)+LeasingCommissionPct*$E$19*$B$19*INDEX(Cum_TILC,1,DT$77),0)+IF(Assumptions!DT$72=$D$20+RetailDowntime,((1-RetailRenewalProb)*NewLeaseTI+RetailRenewalProb*RenewalTI)*$B$20*INDEX(Cum_TILC,1,DT$77)+LeasingCommissionPct*$E$20*$B$20*INDEX(Cum_TILC,1,DT$77),0)+IF(Assumptions!DT$72=$D$21+RetailDowntime,((1-RetailRenewalProb)*NewLeaseTI+RetailRenewalProb*RenewalTI)*$B$21*INDEX(Cum_TILC,1,DT$77)+LeasingCommissionPct*$E$21*$B$21*INDEX(Cum_TILC,1,DT$77),0)+IF(Assumptions!DT$72=$D$22+RetailDowntime,((1-RetailRenewalProb)*NewLeaseTI+RetailRenewalProb*RenewalTI)*$B$22*INDEX(Cum_TILC,1,DT$77)+LeasingCommissionPct*$E$22*$B$22*INDEX(Cum_TILC,1,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3" t="n">
        <v>1400</v>
      </c>
    </row>
    <row r="7">
      <c r="A7" s="11" t="inlineStr">
        <is>
          <t>R&amp;M</t>
        </is>
      </c>
      <c r="B7" s="53" t="n">
        <v>900</v>
      </c>
    </row>
    <row r="8">
      <c r="A8" s="11" t="inlineStr">
        <is>
          <t>Utilities</t>
        </is>
      </c>
      <c r="B8" s="53" t="n">
        <v>1100</v>
      </c>
    </row>
    <row r="9">
      <c r="A9" s="11" t="inlineStr">
        <is>
          <t>G&amp;A</t>
        </is>
      </c>
      <c r="B9" s="53" t="n">
        <v>500</v>
      </c>
    </row>
    <row r="10">
      <c r="A10" s="11" t="inlineStr">
        <is>
          <t>Marketing</t>
        </is>
      </c>
      <c r="B10" s="53" t="n">
        <v>250</v>
      </c>
    </row>
    <row r="11">
      <c r="A11" s="11" t="inlineStr">
        <is>
          <t>Insurance</t>
        </is>
      </c>
      <c r="B11" s="53" t="n">
        <v>600</v>
      </c>
    </row>
    <row r="12">
      <c r="A12" s="11" t="inlineStr">
        <is>
          <t>Other</t>
        </is>
      </c>
      <c r="B12" s="53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0">
        <f>-SUM($B$6:$B$12)*MF_UnitCount/12*INDEX(Cum_OpEx,1,E$77)*Assumptions!E$74</f>
        <v/>
      </c>
      <c r="F16" s="50">
        <f>-SUM($B$6:$B$12)*MF_UnitCount/12*INDEX(Cum_OpEx,1,F$77)*Assumptions!F$74</f>
        <v/>
      </c>
      <c r="G16" s="50">
        <f>-SUM($B$6:$B$12)*MF_UnitCount/12*INDEX(Cum_OpEx,1,G$77)*Assumptions!G$74</f>
        <v/>
      </c>
      <c r="H16" s="50">
        <f>-SUM($B$6:$B$12)*MF_UnitCount/12*INDEX(Cum_OpEx,1,H$77)*Assumptions!H$74</f>
        <v/>
      </c>
      <c r="I16" s="50">
        <f>-SUM($B$6:$B$12)*MF_UnitCount/12*INDEX(Cum_OpEx,1,I$77)*Assumptions!I$74</f>
        <v/>
      </c>
      <c r="J16" s="50">
        <f>-SUM($B$6:$B$12)*MF_UnitCount/12*INDEX(Cum_OpEx,1,J$77)*Assumptions!J$74</f>
        <v/>
      </c>
      <c r="K16" s="50">
        <f>-SUM($B$6:$B$12)*MF_UnitCount/12*INDEX(Cum_OpEx,1,K$77)*Assumptions!K$74</f>
        <v/>
      </c>
      <c r="L16" s="50">
        <f>-SUM($B$6:$B$12)*MF_UnitCount/12*INDEX(Cum_OpEx,1,L$77)*Assumptions!L$74</f>
        <v/>
      </c>
      <c r="M16" s="50">
        <f>-SUM($B$6:$B$12)*MF_UnitCount/12*INDEX(Cum_OpEx,1,M$77)*Assumptions!M$74</f>
        <v/>
      </c>
      <c r="N16" s="50">
        <f>-SUM($B$6:$B$12)*MF_UnitCount/12*INDEX(Cum_OpEx,1,N$77)*Assumptions!N$74</f>
        <v/>
      </c>
      <c r="O16" s="50">
        <f>-SUM($B$6:$B$12)*MF_UnitCount/12*INDEX(Cum_OpEx,1,O$77)*Assumptions!O$74</f>
        <v/>
      </c>
      <c r="P16" s="50">
        <f>-SUM($B$6:$B$12)*MF_UnitCount/12*INDEX(Cum_OpEx,1,P$77)*Assumptions!P$74</f>
        <v/>
      </c>
      <c r="Q16" s="50">
        <f>-SUM($B$6:$B$12)*MF_UnitCount/12*INDEX(Cum_OpEx,1,Q$77)*Assumptions!Q$74</f>
        <v/>
      </c>
      <c r="R16" s="50">
        <f>-SUM($B$6:$B$12)*MF_UnitCount/12*INDEX(Cum_OpEx,1,R$77)*Assumptions!R$74</f>
        <v/>
      </c>
      <c r="S16" s="50">
        <f>-SUM($B$6:$B$12)*MF_UnitCount/12*INDEX(Cum_OpEx,1,S$77)*Assumptions!S$74</f>
        <v/>
      </c>
      <c r="T16" s="50">
        <f>-SUM($B$6:$B$12)*MF_UnitCount/12*INDEX(Cum_OpEx,1,T$77)*Assumptions!T$74</f>
        <v/>
      </c>
      <c r="U16" s="50">
        <f>-SUM($B$6:$B$12)*MF_UnitCount/12*INDEX(Cum_OpEx,1,U$77)*Assumptions!U$74</f>
        <v/>
      </c>
      <c r="V16" s="50">
        <f>-SUM($B$6:$B$12)*MF_UnitCount/12*INDEX(Cum_OpEx,1,V$77)*Assumptions!V$74</f>
        <v/>
      </c>
      <c r="W16" s="50">
        <f>-SUM($B$6:$B$12)*MF_UnitCount/12*INDEX(Cum_OpEx,1,W$77)*Assumptions!W$74</f>
        <v/>
      </c>
      <c r="X16" s="50">
        <f>-SUM($B$6:$B$12)*MF_UnitCount/12*INDEX(Cum_OpEx,1,X$77)*Assumptions!X$74</f>
        <v/>
      </c>
      <c r="Y16" s="50">
        <f>-SUM($B$6:$B$12)*MF_UnitCount/12*INDEX(Cum_OpEx,1,Y$77)*Assumptions!Y$74</f>
        <v/>
      </c>
      <c r="Z16" s="50">
        <f>-SUM($B$6:$B$12)*MF_UnitCount/12*INDEX(Cum_OpEx,1,Z$77)*Assumptions!Z$74</f>
        <v/>
      </c>
      <c r="AA16" s="50">
        <f>-SUM($B$6:$B$12)*MF_UnitCount/12*INDEX(Cum_OpEx,1,AA$77)*Assumptions!AA$74</f>
        <v/>
      </c>
      <c r="AB16" s="50">
        <f>-SUM($B$6:$B$12)*MF_UnitCount/12*INDEX(Cum_OpEx,1,AB$77)*Assumptions!AB$74</f>
        <v/>
      </c>
      <c r="AC16" s="50">
        <f>-SUM($B$6:$B$12)*MF_UnitCount/12*INDEX(Cum_OpEx,1,AC$77)*Assumptions!AC$74</f>
        <v/>
      </c>
      <c r="AD16" s="50">
        <f>-SUM($B$6:$B$12)*MF_UnitCount/12*INDEX(Cum_OpEx,1,AD$77)*Assumptions!AD$74</f>
        <v/>
      </c>
      <c r="AE16" s="50">
        <f>-SUM($B$6:$B$12)*MF_UnitCount/12*INDEX(Cum_OpEx,1,AE$77)*Assumptions!AE$74</f>
        <v/>
      </c>
      <c r="AF16" s="50">
        <f>-SUM($B$6:$B$12)*MF_UnitCount/12*INDEX(Cum_OpEx,1,AF$77)*Assumptions!AF$74</f>
        <v/>
      </c>
      <c r="AG16" s="50">
        <f>-SUM($B$6:$B$12)*MF_UnitCount/12*INDEX(Cum_OpEx,1,AG$77)*Assumptions!AG$74</f>
        <v/>
      </c>
      <c r="AH16" s="50">
        <f>-SUM($B$6:$B$12)*MF_UnitCount/12*INDEX(Cum_OpEx,1,AH$77)*Assumptions!AH$74</f>
        <v/>
      </c>
      <c r="AI16" s="50">
        <f>-SUM($B$6:$B$12)*MF_UnitCount/12*INDEX(Cum_OpEx,1,AI$77)*Assumptions!AI$74</f>
        <v/>
      </c>
      <c r="AJ16" s="50">
        <f>-SUM($B$6:$B$12)*MF_UnitCount/12*INDEX(Cum_OpEx,1,AJ$77)*Assumptions!AJ$74</f>
        <v/>
      </c>
      <c r="AK16" s="50">
        <f>-SUM($B$6:$B$12)*MF_UnitCount/12*INDEX(Cum_OpEx,1,AK$77)*Assumptions!AK$74</f>
        <v/>
      </c>
      <c r="AL16" s="50">
        <f>-SUM($B$6:$B$12)*MF_UnitCount/12*INDEX(Cum_OpEx,1,AL$77)*Assumptions!AL$74</f>
        <v/>
      </c>
      <c r="AM16" s="50">
        <f>-SUM($B$6:$B$12)*MF_UnitCount/12*INDEX(Cum_OpEx,1,AM$77)*Assumptions!AM$74</f>
        <v/>
      </c>
      <c r="AN16" s="50">
        <f>-SUM($B$6:$B$12)*MF_UnitCount/12*INDEX(Cum_OpEx,1,AN$77)*Assumptions!AN$74</f>
        <v/>
      </c>
      <c r="AO16" s="50">
        <f>-SUM($B$6:$B$12)*MF_UnitCount/12*INDEX(Cum_OpEx,1,AO$77)*Assumptions!AO$74</f>
        <v/>
      </c>
      <c r="AP16" s="50">
        <f>-SUM($B$6:$B$12)*MF_UnitCount/12*INDEX(Cum_OpEx,1,AP$77)*Assumptions!AP$74</f>
        <v/>
      </c>
      <c r="AQ16" s="50">
        <f>-SUM($B$6:$B$12)*MF_UnitCount/12*INDEX(Cum_OpEx,1,AQ$77)*Assumptions!AQ$74</f>
        <v/>
      </c>
      <c r="AR16" s="50">
        <f>-SUM($B$6:$B$12)*MF_UnitCount/12*INDEX(Cum_OpEx,1,AR$77)*Assumptions!AR$74</f>
        <v/>
      </c>
      <c r="AS16" s="50">
        <f>-SUM($B$6:$B$12)*MF_UnitCount/12*INDEX(Cum_OpEx,1,AS$77)*Assumptions!AS$74</f>
        <v/>
      </c>
      <c r="AT16" s="50">
        <f>-SUM($B$6:$B$12)*MF_UnitCount/12*INDEX(Cum_OpEx,1,AT$77)*Assumptions!AT$74</f>
        <v/>
      </c>
      <c r="AU16" s="50">
        <f>-SUM($B$6:$B$12)*MF_UnitCount/12*INDEX(Cum_OpEx,1,AU$77)*Assumptions!AU$74</f>
        <v/>
      </c>
      <c r="AV16" s="50">
        <f>-SUM($B$6:$B$12)*MF_UnitCount/12*INDEX(Cum_OpEx,1,AV$77)*Assumptions!AV$74</f>
        <v/>
      </c>
      <c r="AW16" s="50">
        <f>-SUM($B$6:$B$12)*MF_UnitCount/12*INDEX(Cum_OpEx,1,AW$77)*Assumptions!AW$74</f>
        <v/>
      </c>
      <c r="AX16" s="50">
        <f>-SUM($B$6:$B$12)*MF_UnitCount/12*INDEX(Cum_OpEx,1,AX$77)*Assumptions!AX$74</f>
        <v/>
      </c>
      <c r="AY16" s="50">
        <f>-SUM($B$6:$B$12)*MF_UnitCount/12*INDEX(Cum_OpEx,1,AY$77)*Assumptions!AY$74</f>
        <v/>
      </c>
      <c r="AZ16" s="50">
        <f>-SUM($B$6:$B$12)*MF_UnitCount/12*INDEX(Cum_OpEx,1,AZ$77)*Assumptions!AZ$74</f>
        <v/>
      </c>
      <c r="BA16" s="50">
        <f>-SUM($B$6:$B$12)*MF_UnitCount/12*INDEX(Cum_OpEx,1,BA$77)*Assumptions!BA$74</f>
        <v/>
      </c>
      <c r="BB16" s="50">
        <f>-SUM($B$6:$B$12)*MF_UnitCount/12*INDEX(Cum_OpEx,1,BB$77)*Assumptions!BB$74</f>
        <v/>
      </c>
      <c r="BC16" s="50">
        <f>-SUM($B$6:$B$12)*MF_UnitCount/12*INDEX(Cum_OpEx,1,BC$77)*Assumptions!BC$74</f>
        <v/>
      </c>
      <c r="BD16" s="50">
        <f>-SUM($B$6:$B$12)*MF_UnitCount/12*INDEX(Cum_OpEx,1,BD$77)*Assumptions!BD$74</f>
        <v/>
      </c>
      <c r="BE16" s="50">
        <f>-SUM($B$6:$B$12)*MF_UnitCount/12*INDEX(Cum_OpEx,1,BE$77)*Assumptions!BE$74</f>
        <v/>
      </c>
      <c r="BF16" s="50">
        <f>-SUM($B$6:$B$12)*MF_UnitCount/12*INDEX(Cum_OpEx,1,BF$77)*Assumptions!BF$74</f>
        <v/>
      </c>
      <c r="BG16" s="50">
        <f>-SUM($B$6:$B$12)*MF_UnitCount/12*INDEX(Cum_OpEx,1,BG$77)*Assumptions!BG$74</f>
        <v/>
      </c>
      <c r="BH16" s="50">
        <f>-SUM($B$6:$B$12)*MF_UnitCount/12*INDEX(Cum_OpEx,1,BH$77)*Assumptions!BH$74</f>
        <v/>
      </c>
      <c r="BI16" s="50">
        <f>-SUM($B$6:$B$12)*MF_UnitCount/12*INDEX(Cum_OpEx,1,BI$77)*Assumptions!BI$74</f>
        <v/>
      </c>
      <c r="BJ16" s="50">
        <f>-SUM($B$6:$B$12)*MF_UnitCount/12*INDEX(Cum_OpEx,1,BJ$77)*Assumptions!BJ$74</f>
        <v/>
      </c>
      <c r="BK16" s="50">
        <f>-SUM($B$6:$B$12)*MF_UnitCount/12*INDEX(Cum_OpEx,1,BK$77)*Assumptions!BK$74</f>
        <v/>
      </c>
      <c r="BL16" s="50">
        <f>-SUM($B$6:$B$12)*MF_UnitCount/12*INDEX(Cum_OpEx,1,BL$77)*Assumptions!BL$74</f>
        <v/>
      </c>
      <c r="BM16" s="50">
        <f>-SUM($B$6:$B$12)*MF_UnitCount/12*INDEX(Cum_OpEx,1,BM$77)*Assumptions!BM$74</f>
        <v/>
      </c>
      <c r="BN16" s="50">
        <f>-SUM($B$6:$B$12)*MF_UnitCount/12*INDEX(Cum_OpEx,1,BN$77)*Assumptions!BN$74</f>
        <v/>
      </c>
      <c r="BO16" s="50">
        <f>-SUM($B$6:$B$12)*MF_UnitCount/12*INDEX(Cum_OpEx,1,BO$77)*Assumptions!BO$74</f>
        <v/>
      </c>
      <c r="BP16" s="50">
        <f>-SUM($B$6:$B$12)*MF_UnitCount/12*INDEX(Cum_OpEx,1,BP$77)*Assumptions!BP$74</f>
        <v/>
      </c>
      <c r="BQ16" s="50">
        <f>-SUM($B$6:$B$12)*MF_UnitCount/12*INDEX(Cum_OpEx,1,BQ$77)*Assumptions!BQ$74</f>
        <v/>
      </c>
      <c r="BR16" s="50">
        <f>-SUM($B$6:$B$12)*MF_UnitCount/12*INDEX(Cum_OpEx,1,BR$77)*Assumptions!BR$74</f>
        <v/>
      </c>
      <c r="BS16" s="50">
        <f>-SUM($B$6:$B$12)*MF_UnitCount/12*INDEX(Cum_OpEx,1,BS$77)*Assumptions!BS$74</f>
        <v/>
      </c>
      <c r="BT16" s="50">
        <f>-SUM($B$6:$B$12)*MF_UnitCount/12*INDEX(Cum_OpEx,1,BT$77)*Assumptions!BT$74</f>
        <v/>
      </c>
      <c r="BU16" s="50">
        <f>-SUM($B$6:$B$12)*MF_UnitCount/12*INDEX(Cum_OpEx,1,BU$77)*Assumptions!BU$74</f>
        <v/>
      </c>
      <c r="BV16" s="50">
        <f>-SUM($B$6:$B$12)*MF_UnitCount/12*INDEX(Cum_OpEx,1,BV$77)*Assumptions!BV$74</f>
        <v/>
      </c>
      <c r="BW16" s="50">
        <f>-SUM($B$6:$B$12)*MF_UnitCount/12*INDEX(Cum_OpEx,1,BW$77)*Assumptions!BW$74</f>
        <v/>
      </c>
      <c r="BX16" s="50">
        <f>-SUM($B$6:$B$12)*MF_UnitCount/12*INDEX(Cum_OpEx,1,BX$77)*Assumptions!BX$74</f>
        <v/>
      </c>
      <c r="BY16" s="50">
        <f>-SUM($B$6:$B$12)*MF_UnitCount/12*INDEX(Cum_OpEx,1,BY$77)*Assumptions!BY$74</f>
        <v/>
      </c>
      <c r="BZ16" s="50">
        <f>-SUM($B$6:$B$12)*MF_UnitCount/12*INDEX(Cum_OpEx,1,BZ$77)*Assumptions!BZ$74</f>
        <v/>
      </c>
      <c r="CA16" s="50">
        <f>-SUM($B$6:$B$12)*MF_UnitCount/12*INDEX(Cum_OpEx,1,CA$77)*Assumptions!CA$74</f>
        <v/>
      </c>
      <c r="CB16" s="50">
        <f>-SUM($B$6:$B$12)*MF_UnitCount/12*INDEX(Cum_OpEx,1,CB$77)*Assumptions!CB$74</f>
        <v/>
      </c>
      <c r="CC16" s="50">
        <f>-SUM($B$6:$B$12)*MF_UnitCount/12*INDEX(Cum_OpEx,1,CC$77)*Assumptions!CC$74</f>
        <v/>
      </c>
      <c r="CD16" s="50">
        <f>-SUM($B$6:$B$12)*MF_UnitCount/12*INDEX(Cum_OpEx,1,CD$77)*Assumptions!CD$74</f>
        <v/>
      </c>
      <c r="CE16" s="50">
        <f>-SUM($B$6:$B$12)*MF_UnitCount/12*INDEX(Cum_OpEx,1,CE$77)*Assumptions!CE$74</f>
        <v/>
      </c>
      <c r="CF16" s="50">
        <f>-SUM($B$6:$B$12)*MF_UnitCount/12*INDEX(Cum_OpEx,1,CF$77)*Assumptions!CF$74</f>
        <v/>
      </c>
      <c r="CG16" s="50">
        <f>-SUM($B$6:$B$12)*MF_UnitCount/12*INDEX(Cum_OpEx,1,CG$77)*Assumptions!CG$74</f>
        <v/>
      </c>
      <c r="CH16" s="50">
        <f>-SUM($B$6:$B$12)*MF_UnitCount/12*INDEX(Cum_OpEx,1,CH$77)*Assumptions!CH$74</f>
        <v/>
      </c>
      <c r="CI16" s="50">
        <f>-SUM($B$6:$B$12)*MF_UnitCount/12*INDEX(Cum_OpEx,1,CI$77)*Assumptions!CI$74</f>
        <v/>
      </c>
      <c r="CJ16" s="50">
        <f>-SUM($B$6:$B$12)*MF_UnitCount/12*INDEX(Cum_OpEx,1,CJ$77)*Assumptions!CJ$74</f>
        <v/>
      </c>
      <c r="CK16" s="50">
        <f>-SUM($B$6:$B$12)*MF_UnitCount/12*INDEX(Cum_OpEx,1,CK$77)*Assumptions!CK$74</f>
        <v/>
      </c>
      <c r="CL16" s="50">
        <f>-SUM($B$6:$B$12)*MF_UnitCount/12*INDEX(Cum_OpEx,1,CL$77)*Assumptions!CL$74</f>
        <v/>
      </c>
      <c r="CM16" s="50">
        <f>-SUM($B$6:$B$12)*MF_UnitCount/12*INDEX(Cum_OpEx,1,CM$77)*Assumptions!CM$74</f>
        <v/>
      </c>
      <c r="CN16" s="50">
        <f>-SUM($B$6:$B$12)*MF_UnitCount/12*INDEX(Cum_OpEx,1,CN$77)*Assumptions!CN$74</f>
        <v/>
      </c>
      <c r="CO16" s="50">
        <f>-SUM($B$6:$B$12)*MF_UnitCount/12*INDEX(Cum_OpEx,1,CO$77)*Assumptions!CO$74</f>
        <v/>
      </c>
      <c r="CP16" s="50">
        <f>-SUM($B$6:$B$12)*MF_UnitCount/12*INDEX(Cum_OpEx,1,CP$77)*Assumptions!CP$74</f>
        <v/>
      </c>
      <c r="CQ16" s="50">
        <f>-SUM($B$6:$B$12)*MF_UnitCount/12*INDEX(Cum_OpEx,1,CQ$77)*Assumptions!CQ$74</f>
        <v/>
      </c>
      <c r="CR16" s="50">
        <f>-SUM($B$6:$B$12)*MF_UnitCount/12*INDEX(Cum_OpEx,1,CR$77)*Assumptions!CR$74</f>
        <v/>
      </c>
      <c r="CS16" s="50">
        <f>-SUM($B$6:$B$12)*MF_UnitCount/12*INDEX(Cum_OpEx,1,CS$77)*Assumptions!CS$74</f>
        <v/>
      </c>
      <c r="CT16" s="50">
        <f>-SUM($B$6:$B$12)*MF_UnitCount/12*INDEX(Cum_OpEx,1,CT$77)*Assumptions!CT$74</f>
        <v/>
      </c>
      <c r="CU16" s="50">
        <f>-SUM($B$6:$B$12)*MF_UnitCount/12*INDEX(Cum_OpEx,1,CU$77)*Assumptions!CU$74</f>
        <v/>
      </c>
      <c r="CV16" s="50">
        <f>-SUM($B$6:$B$12)*MF_UnitCount/12*INDEX(Cum_OpEx,1,CV$77)*Assumptions!CV$74</f>
        <v/>
      </c>
      <c r="CW16" s="50">
        <f>-SUM($B$6:$B$12)*MF_UnitCount/12*INDEX(Cum_OpEx,1,CW$77)*Assumptions!CW$74</f>
        <v/>
      </c>
      <c r="CX16" s="50">
        <f>-SUM($B$6:$B$12)*MF_UnitCount/12*INDEX(Cum_OpEx,1,CX$77)*Assumptions!CX$74</f>
        <v/>
      </c>
      <c r="CY16" s="50">
        <f>-SUM($B$6:$B$12)*MF_UnitCount/12*INDEX(Cum_OpEx,1,CY$77)*Assumptions!CY$74</f>
        <v/>
      </c>
      <c r="CZ16" s="50">
        <f>-SUM($B$6:$B$12)*MF_UnitCount/12*INDEX(Cum_OpEx,1,CZ$77)*Assumptions!CZ$74</f>
        <v/>
      </c>
      <c r="DA16" s="50">
        <f>-SUM($B$6:$B$12)*MF_UnitCount/12*INDEX(Cum_OpEx,1,DA$77)*Assumptions!DA$74</f>
        <v/>
      </c>
      <c r="DB16" s="50">
        <f>-SUM($B$6:$B$12)*MF_UnitCount/12*INDEX(Cum_OpEx,1,DB$77)*Assumptions!DB$74</f>
        <v/>
      </c>
      <c r="DC16" s="50">
        <f>-SUM($B$6:$B$12)*MF_UnitCount/12*INDEX(Cum_OpEx,1,DC$77)*Assumptions!DC$74</f>
        <v/>
      </c>
      <c r="DD16" s="50">
        <f>-SUM($B$6:$B$12)*MF_UnitCount/12*INDEX(Cum_OpEx,1,DD$77)*Assumptions!DD$74</f>
        <v/>
      </c>
      <c r="DE16" s="50">
        <f>-SUM($B$6:$B$12)*MF_UnitCount/12*INDEX(Cum_OpEx,1,DE$77)*Assumptions!DE$74</f>
        <v/>
      </c>
      <c r="DF16" s="50">
        <f>-SUM($B$6:$B$12)*MF_UnitCount/12*INDEX(Cum_OpEx,1,DF$77)*Assumptions!DF$74</f>
        <v/>
      </c>
      <c r="DG16" s="50">
        <f>-SUM($B$6:$B$12)*MF_UnitCount/12*INDEX(Cum_OpEx,1,DG$77)*Assumptions!DG$74</f>
        <v/>
      </c>
      <c r="DH16" s="50">
        <f>-SUM($B$6:$B$12)*MF_UnitCount/12*INDEX(Cum_OpEx,1,DH$77)*Assumptions!DH$74</f>
        <v/>
      </c>
      <c r="DI16" s="50">
        <f>-SUM($B$6:$B$12)*MF_UnitCount/12*INDEX(Cum_OpEx,1,DI$77)*Assumptions!DI$74</f>
        <v/>
      </c>
      <c r="DJ16" s="50">
        <f>-SUM($B$6:$B$12)*MF_UnitCount/12*INDEX(Cum_OpEx,1,DJ$77)*Assumptions!DJ$74</f>
        <v/>
      </c>
      <c r="DK16" s="50">
        <f>-SUM($B$6:$B$12)*MF_UnitCount/12*INDEX(Cum_OpEx,1,DK$77)*Assumptions!DK$74</f>
        <v/>
      </c>
      <c r="DL16" s="50">
        <f>-SUM($B$6:$B$12)*MF_UnitCount/12*INDEX(Cum_OpEx,1,DL$77)*Assumptions!DL$74</f>
        <v/>
      </c>
      <c r="DM16" s="50">
        <f>-SUM($B$6:$B$12)*MF_UnitCount/12*INDEX(Cum_OpEx,1,DM$77)*Assumptions!DM$74</f>
        <v/>
      </c>
      <c r="DN16" s="50">
        <f>-SUM($B$6:$B$12)*MF_UnitCount/12*INDEX(Cum_OpEx,1,DN$77)*Assumptions!DN$74</f>
        <v/>
      </c>
      <c r="DO16" s="50">
        <f>-SUM($B$6:$B$12)*MF_UnitCount/12*INDEX(Cum_OpEx,1,DO$77)*Assumptions!DO$74</f>
        <v/>
      </c>
      <c r="DP16" s="50">
        <f>-SUM($B$6:$B$12)*MF_UnitCount/12*INDEX(Cum_OpEx,1,DP$77)*Assumptions!DP$74</f>
        <v/>
      </c>
      <c r="DQ16" s="50">
        <f>-SUM($B$6:$B$12)*MF_UnitCount/12*INDEX(Cum_OpEx,1,DQ$77)*Assumptions!DQ$74</f>
        <v/>
      </c>
      <c r="DR16" s="50">
        <f>-SUM($B$6:$B$12)*MF_UnitCount/12*INDEX(Cum_OpEx,1,DR$77)*Assumptions!DR$74</f>
        <v/>
      </c>
      <c r="DS16" s="50">
        <f>-SUM($B$6:$B$12)*MF_UnitCount/12*INDEX(Cum_OpEx,1,DS$77)*Assumptions!DS$74</f>
        <v/>
      </c>
      <c r="DT16" s="50">
        <f>-SUM($B$6:$B$12)*MF_UnitCount/12*INDEX(Cum_OpEx,1,DT$77)*Assumptions!DT$74</f>
        <v/>
      </c>
    </row>
    <row r="17">
      <c r="A17" s="10" t="inlineStr">
        <is>
          <t>Management fee ($/mo, neg)</t>
        </is>
      </c>
      <c r="E17" s="48">
        <f>-('MF Revenue'!E$114+'Retail Revenue'!E$40)*MgmtFeePct</f>
        <v/>
      </c>
      <c r="F17" s="48">
        <f>-('MF Revenue'!F$114+'Retail Revenue'!F$40)*MgmtFeePct</f>
        <v/>
      </c>
      <c r="G17" s="48">
        <f>-('MF Revenue'!G$114+'Retail Revenue'!G$40)*MgmtFeePct</f>
        <v/>
      </c>
      <c r="H17" s="48">
        <f>-('MF Revenue'!H$114+'Retail Revenue'!H$40)*MgmtFeePct</f>
        <v/>
      </c>
      <c r="I17" s="48">
        <f>-('MF Revenue'!I$114+'Retail Revenue'!I$40)*MgmtFeePct</f>
        <v/>
      </c>
      <c r="J17" s="48">
        <f>-('MF Revenue'!J$114+'Retail Revenue'!J$40)*MgmtFeePct</f>
        <v/>
      </c>
      <c r="K17" s="48">
        <f>-('MF Revenue'!K$114+'Retail Revenue'!K$40)*MgmtFeePct</f>
        <v/>
      </c>
      <c r="L17" s="48">
        <f>-('MF Revenue'!L$114+'Retail Revenue'!L$40)*MgmtFeePct</f>
        <v/>
      </c>
      <c r="M17" s="48">
        <f>-('MF Revenue'!M$114+'Retail Revenue'!M$40)*MgmtFeePct</f>
        <v/>
      </c>
      <c r="N17" s="48">
        <f>-('MF Revenue'!N$114+'Retail Revenue'!N$40)*MgmtFeePct</f>
        <v/>
      </c>
      <c r="O17" s="48">
        <f>-('MF Revenue'!O$114+'Retail Revenue'!O$40)*MgmtFeePct</f>
        <v/>
      </c>
      <c r="P17" s="48">
        <f>-('MF Revenue'!P$114+'Retail Revenue'!P$40)*MgmtFeePct</f>
        <v/>
      </c>
      <c r="Q17" s="48">
        <f>-('MF Revenue'!Q$114+'Retail Revenue'!Q$40)*MgmtFeePct</f>
        <v/>
      </c>
      <c r="R17" s="48">
        <f>-('MF Revenue'!R$114+'Retail Revenue'!R$40)*MgmtFeePct</f>
        <v/>
      </c>
      <c r="S17" s="48">
        <f>-('MF Revenue'!S$114+'Retail Revenue'!S$40)*MgmtFeePct</f>
        <v/>
      </c>
      <c r="T17" s="48">
        <f>-('MF Revenue'!T$114+'Retail Revenue'!T$40)*MgmtFeePct</f>
        <v/>
      </c>
      <c r="U17" s="48">
        <f>-('MF Revenue'!U$114+'Retail Revenue'!U$40)*MgmtFeePct</f>
        <v/>
      </c>
      <c r="V17" s="48">
        <f>-('MF Revenue'!V$114+'Retail Revenue'!V$40)*MgmtFeePct</f>
        <v/>
      </c>
      <c r="W17" s="48">
        <f>-('MF Revenue'!W$114+'Retail Revenue'!W$40)*MgmtFeePct</f>
        <v/>
      </c>
      <c r="X17" s="48">
        <f>-('MF Revenue'!X$114+'Retail Revenue'!X$40)*MgmtFeePct</f>
        <v/>
      </c>
      <c r="Y17" s="48">
        <f>-('MF Revenue'!Y$114+'Retail Revenue'!Y$40)*MgmtFeePct</f>
        <v/>
      </c>
      <c r="Z17" s="48">
        <f>-('MF Revenue'!Z$114+'Retail Revenue'!Z$40)*MgmtFeePct</f>
        <v/>
      </c>
      <c r="AA17" s="48">
        <f>-('MF Revenue'!AA$114+'Retail Revenue'!AA$40)*MgmtFeePct</f>
        <v/>
      </c>
      <c r="AB17" s="48">
        <f>-('MF Revenue'!AB$114+'Retail Revenue'!AB$40)*MgmtFeePct</f>
        <v/>
      </c>
      <c r="AC17" s="48">
        <f>-('MF Revenue'!AC$114+'Retail Revenue'!AC$40)*MgmtFeePct</f>
        <v/>
      </c>
      <c r="AD17" s="48">
        <f>-('MF Revenue'!AD$114+'Retail Revenue'!AD$40)*MgmtFeePct</f>
        <v/>
      </c>
      <c r="AE17" s="48">
        <f>-('MF Revenue'!AE$114+'Retail Revenue'!AE$40)*MgmtFeePct</f>
        <v/>
      </c>
      <c r="AF17" s="48">
        <f>-('MF Revenue'!AF$114+'Retail Revenue'!AF$40)*MgmtFeePct</f>
        <v/>
      </c>
      <c r="AG17" s="48">
        <f>-('MF Revenue'!AG$114+'Retail Revenue'!AG$40)*MgmtFeePct</f>
        <v/>
      </c>
      <c r="AH17" s="48">
        <f>-('MF Revenue'!AH$114+'Retail Revenue'!AH$40)*MgmtFeePct</f>
        <v/>
      </c>
      <c r="AI17" s="48">
        <f>-('MF Revenue'!AI$114+'Retail Revenue'!AI$40)*MgmtFeePct</f>
        <v/>
      </c>
      <c r="AJ17" s="48">
        <f>-('MF Revenue'!AJ$114+'Retail Revenue'!AJ$40)*MgmtFeePct</f>
        <v/>
      </c>
      <c r="AK17" s="48">
        <f>-('MF Revenue'!AK$114+'Retail Revenue'!AK$40)*MgmtFeePct</f>
        <v/>
      </c>
      <c r="AL17" s="48">
        <f>-('MF Revenue'!AL$114+'Retail Revenue'!AL$40)*MgmtFeePct</f>
        <v/>
      </c>
      <c r="AM17" s="48">
        <f>-('MF Revenue'!AM$114+'Retail Revenue'!AM$40)*MgmtFeePct</f>
        <v/>
      </c>
      <c r="AN17" s="48">
        <f>-('MF Revenue'!AN$114+'Retail Revenue'!AN$40)*MgmtFeePct</f>
        <v/>
      </c>
      <c r="AO17" s="48">
        <f>-('MF Revenue'!AO$114+'Retail Revenue'!AO$40)*MgmtFeePct</f>
        <v/>
      </c>
      <c r="AP17" s="48">
        <f>-('MF Revenue'!AP$114+'Retail Revenue'!AP$40)*MgmtFeePct</f>
        <v/>
      </c>
      <c r="AQ17" s="48">
        <f>-('MF Revenue'!AQ$114+'Retail Revenue'!AQ$40)*MgmtFeePct</f>
        <v/>
      </c>
      <c r="AR17" s="48">
        <f>-('MF Revenue'!AR$114+'Retail Revenue'!AR$40)*MgmtFeePct</f>
        <v/>
      </c>
      <c r="AS17" s="48">
        <f>-('MF Revenue'!AS$114+'Retail Revenue'!AS$40)*MgmtFeePct</f>
        <v/>
      </c>
      <c r="AT17" s="48">
        <f>-('MF Revenue'!AT$114+'Retail Revenue'!AT$40)*MgmtFeePct</f>
        <v/>
      </c>
      <c r="AU17" s="48">
        <f>-('MF Revenue'!AU$114+'Retail Revenue'!AU$40)*MgmtFeePct</f>
        <v/>
      </c>
      <c r="AV17" s="48">
        <f>-('MF Revenue'!AV$114+'Retail Revenue'!AV$40)*MgmtFeePct</f>
        <v/>
      </c>
      <c r="AW17" s="48">
        <f>-('MF Revenue'!AW$114+'Retail Revenue'!AW$40)*MgmtFeePct</f>
        <v/>
      </c>
      <c r="AX17" s="48">
        <f>-('MF Revenue'!AX$114+'Retail Revenue'!AX$40)*MgmtFeePct</f>
        <v/>
      </c>
      <c r="AY17" s="48">
        <f>-('MF Revenue'!AY$114+'Retail Revenue'!AY$40)*MgmtFeePct</f>
        <v/>
      </c>
      <c r="AZ17" s="48">
        <f>-('MF Revenue'!AZ$114+'Retail Revenue'!AZ$40)*MgmtFeePct</f>
        <v/>
      </c>
      <c r="BA17" s="48">
        <f>-('MF Revenue'!BA$114+'Retail Revenue'!BA$40)*MgmtFeePct</f>
        <v/>
      </c>
      <c r="BB17" s="48">
        <f>-('MF Revenue'!BB$114+'Retail Revenue'!BB$40)*MgmtFeePct</f>
        <v/>
      </c>
      <c r="BC17" s="48">
        <f>-('MF Revenue'!BC$114+'Retail Revenue'!BC$40)*MgmtFeePct</f>
        <v/>
      </c>
      <c r="BD17" s="48">
        <f>-('MF Revenue'!BD$114+'Retail Revenue'!BD$40)*MgmtFeePct</f>
        <v/>
      </c>
      <c r="BE17" s="48">
        <f>-('MF Revenue'!BE$114+'Retail Revenue'!BE$40)*MgmtFeePct</f>
        <v/>
      </c>
      <c r="BF17" s="48">
        <f>-('MF Revenue'!BF$114+'Retail Revenue'!BF$40)*MgmtFeePct</f>
        <v/>
      </c>
      <c r="BG17" s="48">
        <f>-('MF Revenue'!BG$114+'Retail Revenue'!BG$40)*MgmtFeePct</f>
        <v/>
      </c>
      <c r="BH17" s="48">
        <f>-('MF Revenue'!BH$114+'Retail Revenue'!BH$40)*MgmtFeePct</f>
        <v/>
      </c>
      <c r="BI17" s="48">
        <f>-('MF Revenue'!BI$114+'Retail Revenue'!BI$40)*MgmtFeePct</f>
        <v/>
      </c>
      <c r="BJ17" s="48">
        <f>-('MF Revenue'!BJ$114+'Retail Revenue'!BJ$40)*MgmtFeePct</f>
        <v/>
      </c>
      <c r="BK17" s="48">
        <f>-('MF Revenue'!BK$114+'Retail Revenue'!BK$40)*MgmtFeePct</f>
        <v/>
      </c>
      <c r="BL17" s="48">
        <f>-('MF Revenue'!BL$114+'Retail Revenue'!BL$40)*MgmtFeePct</f>
        <v/>
      </c>
      <c r="BM17" s="48">
        <f>-('MF Revenue'!BM$114+'Retail Revenue'!BM$40)*MgmtFeePct</f>
        <v/>
      </c>
      <c r="BN17" s="48">
        <f>-('MF Revenue'!BN$114+'Retail Revenue'!BN$40)*MgmtFeePct</f>
        <v/>
      </c>
      <c r="BO17" s="48">
        <f>-('MF Revenue'!BO$114+'Retail Revenue'!BO$40)*MgmtFeePct</f>
        <v/>
      </c>
      <c r="BP17" s="48">
        <f>-('MF Revenue'!BP$114+'Retail Revenue'!BP$40)*MgmtFeePct</f>
        <v/>
      </c>
      <c r="BQ17" s="48">
        <f>-('MF Revenue'!BQ$114+'Retail Revenue'!BQ$40)*MgmtFeePct</f>
        <v/>
      </c>
      <c r="BR17" s="48">
        <f>-('MF Revenue'!BR$114+'Retail Revenue'!BR$40)*MgmtFeePct</f>
        <v/>
      </c>
      <c r="BS17" s="48">
        <f>-('MF Revenue'!BS$114+'Retail Revenue'!BS$40)*MgmtFeePct</f>
        <v/>
      </c>
      <c r="BT17" s="48">
        <f>-('MF Revenue'!BT$114+'Retail Revenue'!BT$40)*MgmtFeePct</f>
        <v/>
      </c>
      <c r="BU17" s="48">
        <f>-('MF Revenue'!BU$114+'Retail Revenue'!BU$40)*MgmtFeePct</f>
        <v/>
      </c>
      <c r="BV17" s="48">
        <f>-('MF Revenue'!BV$114+'Retail Revenue'!BV$40)*MgmtFeePct</f>
        <v/>
      </c>
      <c r="BW17" s="48">
        <f>-('MF Revenue'!BW$114+'Retail Revenue'!BW$40)*MgmtFeePct</f>
        <v/>
      </c>
      <c r="BX17" s="48">
        <f>-('MF Revenue'!BX$114+'Retail Revenue'!BX$40)*MgmtFeePct</f>
        <v/>
      </c>
      <c r="BY17" s="48">
        <f>-('MF Revenue'!BY$114+'Retail Revenue'!BY$40)*MgmtFeePct</f>
        <v/>
      </c>
      <c r="BZ17" s="48">
        <f>-('MF Revenue'!BZ$114+'Retail Revenue'!BZ$40)*MgmtFeePct</f>
        <v/>
      </c>
      <c r="CA17" s="48">
        <f>-('MF Revenue'!CA$114+'Retail Revenue'!CA$40)*MgmtFeePct</f>
        <v/>
      </c>
      <c r="CB17" s="48">
        <f>-('MF Revenue'!CB$114+'Retail Revenue'!CB$40)*MgmtFeePct</f>
        <v/>
      </c>
      <c r="CC17" s="48">
        <f>-('MF Revenue'!CC$114+'Retail Revenue'!CC$40)*MgmtFeePct</f>
        <v/>
      </c>
      <c r="CD17" s="48">
        <f>-('MF Revenue'!CD$114+'Retail Revenue'!CD$40)*MgmtFeePct</f>
        <v/>
      </c>
      <c r="CE17" s="48">
        <f>-('MF Revenue'!CE$114+'Retail Revenue'!CE$40)*MgmtFeePct</f>
        <v/>
      </c>
      <c r="CF17" s="48">
        <f>-('MF Revenue'!CF$114+'Retail Revenue'!CF$40)*MgmtFeePct</f>
        <v/>
      </c>
      <c r="CG17" s="48">
        <f>-('MF Revenue'!CG$114+'Retail Revenue'!CG$40)*MgmtFeePct</f>
        <v/>
      </c>
      <c r="CH17" s="48">
        <f>-('MF Revenue'!CH$114+'Retail Revenue'!CH$40)*MgmtFeePct</f>
        <v/>
      </c>
      <c r="CI17" s="48">
        <f>-('MF Revenue'!CI$114+'Retail Revenue'!CI$40)*MgmtFeePct</f>
        <v/>
      </c>
      <c r="CJ17" s="48">
        <f>-('MF Revenue'!CJ$114+'Retail Revenue'!CJ$40)*MgmtFeePct</f>
        <v/>
      </c>
      <c r="CK17" s="48">
        <f>-('MF Revenue'!CK$114+'Retail Revenue'!CK$40)*MgmtFeePct</f>
        <v/>
      </c>
      <c r="CL17" s="48">
        <f>-('MF Revenue'!CL$114+'Retail Revenue'!CL$40)*MgmtFeePct</f>
        <v/>
      </c>
      <c r="CM17" s="48">
        <f>-('MF Revenue'!CM$114+'Retail Revenue'!CM$40)*MgmtFeePct</f>
        <v/>
      </c>
      <c r="CN17" s="48">
        <f>-('MF Revenue'!CN$114+'Retail Revenue'!CN$40)*MgmtFeePct</f>
        <v/>
      </c>
      <c r="CO17" s="48">
        <f>-('MF Revenue'!CO$114+'Retail Revenue'!CO$40)*MgmtFeePct</f>
        <v/>
      </c>
      <c r="CP17" s="48">
        <f>-('MF Revenue'!CP$114+'Retail Revenue'!CP$40)*MgmtFeePct</f>
        <v/>
      </c>
      <c r="CQ17" s="48">
        <f>-('MF Revenue'!CQ$114+'Retail Revenue'!CQ$40)*MgmtFeePct</f>
        <v/>
      </c>
      <c r="CR17" s="48">
        <f>-('MF Revenue'!CR$114+'Retail Revenue'!CR$40)*MgmtFeePct</f>
        <v/>
      </c>
      <c r="CS17" s="48">
        <f>-('MF Revenue'!CS$114+'Retail Revenue'!CS$40)*MgmtFeePct</f>
        <v/>
      </c>
      <c r="CT17" s="48">
        <f>-('MF Revenue'!CT$114+'Retail Revenue'!CT$40)*MgmtFeePct</f>
        <v/>
      </c>
      <c r="CU17" s="48">
        <f>-('MF Revenue'!CU$114+'Retail Revenue'!CU$40)*MgmtFeePct</f>
        <v/>
      </c>
      <c r="CV17" s="48">
        <f>-('MF Revenue'!CV$114+'Retail Revenue'!CV$40)*MgmtFeePct</f>
        <v/>
      </c>
      <c r="CW17" s="48">
        <f>-('MF Revenue'!CW$114+'Retail Revenue'!CW$40)*MgmtFeePct</f>
        <v/>
      </c>
      <c r="CX17" s="48">
        <f>-('MF Revenue'!CX$114+'Retail Revenue'!CX$40)*MgmtFeePct</f>
        <v/>
      </c>
      <c r="CY17" s="48">
        <f>-('MF Revenue'!CY$114+'Retail Revenue'!CY$40)*MgmtFeePct</f>
        <v/>
      </c>
      <c r="CZ17" s="48">
        <f>-('MF Revenue'!CZ$114+'Retail Revenue'!CZ$40)*MgmtFeePct</f>
        <v/>
      </c>
      <c r="DA17" s="48">
        <f>-('MF Revenue'!DA$114+'Retail Revenue'!DA$40)*MgmtFeePct</f>
        <v/>
      </c>
      <c r="DB17" s="48">
        <f>-('MF Revenue'!DB$114+'Retail Revenue'!DB$40)*MgmtFeePct</f>
        <v/>
      </c>
      <c r="DC17" s="48">
        <f>-('MF Revenue'!DC$114+'Retail Revenue'!DC$40)*MgmtFeePct</f>
        <v/>
      </c>
      <c r="DD17" s="48">
        <f>-('MF Revenue'!DD$114+'Retail Revenue'!DD$40)*MgmtFeePct</f>
        <v/>
      </c>
      <c r="DE17" s="48">
        <f>-('MF Revenue'!DE$114+'Retail Revenue'!DE$40)*MgmtFeePct</f>
        <v/>
      </c>
      <c r="DF17" s="48">
        <f>-('MF Revenue'!DF$114+'Retail Revenue'!DF$40)*MgmtFeePct</f>
        <v/>
      </c>
      <c r="DG17" s="48">
        <f>-('MF Revenue'!DG$114+'Retail Revenue'!DG$40)*MgmtFeePct</f>
        <v/>
      </c>
      <c r="DH17" s="48">
        <f>-('MF Revenue'!DH$114+'Retail Revenue'!DH$40)*MgmtFeePct</f>
        <v/>
      </c>
      <c r="DI17" s="48">
        <f>-('MF Revenue'!DI$114+'Retail Revenue'!DI$40)*MgmtFeePct</f>
        <v/>
      </c>
      <c r="DJ17" s="48">
        <f>-('MF Revenue'!DJ$114+'Retail Revenue'!DJ$40)*MgmtFeePct</f>
        <v/>
      </c>
      <c r="DK17" s="48">
        <f>-('MF Revenue'!DK$114+'Retail Revenue'!DK$40)*MgmtFeePct</f>
        <v/>
      </c>
      <c r="DL17" s="48">
        <f>-('MF Revenue'!DL$114+'Retail Revenue'!DL$40)*MgmtFeePct</f>
        <v/>
      </c>
      <c r="DM17" s="48">
        <f>-('MF Revenue'!DM$114+'Retail Revenue'!DM$40)*MgmtFeePct</f>
        <v/>
      </c>
      <c r="DN17" s="48">
        <f>-('MF Revenue'!DN$114+'Retail Revenue'!DN$40)*MgmtFeePct</f>
        <v/>
      </c>
      <c r="DO17" s="48">
        <f>-('MF Revenue'!DO$114+'Retail Revenue'!DO$40)*MgmtFeePct</f>
        <v/>
      </c>
      <c r="DP17" s="48">
        <f>-('MF Revenue'!DP$114+'Retail Revenue'!DP$40)*MgmtFeePct</f>
        <v/>
      </c>
      <c r="DQ17" s="48">
        <f>-('MF Revenue'!DQ$114+'Retail Revenue'!DQ$40)*MgmtFeePct</f>
        <v/>
      </c>
      <c r="DR17" s="48">
        <f>-('MF Revenue'!DR$114+'Retail Revenue'!DR$40)*MgmtFeePct</f>
        <v/>
      </c>
      <c r="DS17" s="48">
        <f>-('MF Revenue'!DS$114+'Retail Revenue'!DS$40)*MgmtFeePct</f>
        <v/>
      </c>
      <c r="DT17" s="48">
        <f>-('MF Revenue'!DT$114+'Retail Revenue'!DT$40)*MgmtFeePct</f>
        <v/>
      </c>
    </row>
    <row r="18">
      <c r="A18" s="10" t="inlineStr">
        <is>
          <t>Replacement reserves ($/mo, neg)</t>
        </is>
      </c>
      <c r="E18" s="50">
        <f>-ReplReservePU*MF_UnitCount/12*Assumptions!E$74</f>
        <v/>
      </c>
      <c r="F18" s="50">
        <f>-ReplReservePU*MF_UnitCount/12*Assumptions!F$74</f>
        <v/>
      </c>
      <c r="G18" s="50">
        <f>-ReplReservePU*MF_UnitCount/12*Assumptions!G$74</f>
        <v/>
      </c>
      <c r="H18" s="50">
        <f>-ReplReservePU*MF_UnitCount/12*Assumptions!H$74</f>
        <v/>
      </c>
      <c r="I18" s="50">
        <f>-ReplReservePU*MF_UnitCount/12*Assumptions!I$74</f>
        <v/>
      </c>
      <c r="J18" s="50">
        <f>-ReplReservePU*MF_UnitCount/12*Assumptions!J$74</f>
        <v/>
      </c>
      <c r="K18" s="50">
        <f>-ReplReservePU*MF_UnitCount/12*Assumptions!K$74</f>
        <v/>
      </c>
      <c r="L18" s="50">
        <f>-ReplReservePU*MF_UnitCount/12*Assumptions!L$74</f>
        <v/>
      </c>
      <c r="M18" s="50">
        <f>-ReplReservePU*MF_UnitCount/12*Assumptions!M$74</f>
        <v/>
      </c>
      <c r="N18" s="50">
        <f>-ReplReservePU*MF_UnitCount/12*Assumptions!N$74</f>
        <v/>
      </c>
      <c r="O18" s="50">
        <f>-ReplReservePU*MF_UnitCount/12*Assumptions!O$74</f>
        <v/>
      </c>
      <c r="P18" s="50">
        <f>-ReplReservePU*MF_UnitCount/12*Assumptions!P$74</f>
        <v/>
      </c>
      <c r="Q18" s="50">
        <f>-ReplReservePU*MF_UnitCount/12*Assumptions!Q$74</f>
        <v/>
      </c>
      <c r="R18" s="50">
        <f>-ReplReservePU*MF_UnitCount/12*Assumptions!R$74</f>
        <v/>
      </c>
      <c r="S18" s="50">
        <f>-ReplReservePU*MF_UnitCount/12*Assumptions!S$74</f>
        <v/>
      </c>
      <c r="T18" s="50">
        <f>-ReplReservePU*MF_UnitCount/12*Assumptions!T$74</f>
        <v/>
      </c>
      <c r="U18" s="50">
        <f>-ReplReservePU*MF_UnitCount/12*Assumptions!U$74</f>
        <v/>
      </c>
      <c r="V18" s="50">
        <f>-ReplReservePU*MF_UnitCount/12*Assumptions!V$74</f>
        <v/>
      </c>
      <c r="W18" s="50">
        <f>-ReplReservePU*MF_UnitCount/12*Assumptions!W$74</f>
        <v/>
      </c>
      <c r="X18" s="50">
        <f>-ReplReservePU*MF_UnitCount/12*Assumptions!X$74</f>
        <v/>
      </c>
      <c r="Y18" s="50">
        <f>-ReplReservePU*MF_UnitCount/12*Assumptions!Y$74</f>
        <v/>
      </c>
      <c r="Z18" s="50">
        <f>-ReplReservePU*MF_UnitCount/12*Assumptions!Z$74</f>
        <v/>
      </c>
      <c r="AA18" s="50">
        <f>-ReplReservePU*MF_UnitCount/12*Assumptions!AA$74</f>
        <v/>
      </c>
      <c r="AB18" s="50">
        <f>-ReplReservePU*MF_UnitCount/12*Assumptions!AB$74</f>
        <v/>
      </c>
      <c r="AC18" s="50">
        <f>-ReplReservePU*MF_UnitCount/12*Assumptions!AC$74</f>
        <v/>
      </c>
      <c r="AD18" s="50">
        <f>-ReplReservePU*MF_UnitCount/12*Assumptions!AD$74</f>
        <v/>
      </c>
      <c r="AE18" s="50">
        <f>-ReplReservePU*MF_UnitCount/12*Assumptions!AE$74</f>
        <v/>
      </c>
      <c r="AF18" s="50">
        <f>-ReplReservePU*MF_UnitCount/12*Assumptions!AF$74</f>
        <v/>
      </c>
      <c r="AG18" s="50">
        <f>-ReplReservePU*MF_UnitCount/12*Assumptions!AG$74</f>
        <v/>
      </c>
      <c r="AH18" s="50">
        <f>-ReplReservePU*MF_UnitCount/12*Assumptions!AH$74</f>
        <v/>
      </c>
      <c r="AI18" s="50">
        <f>-ReplReservePU*MF_UnitCount/12*Assumptions!AI$74</f>
        <v/>
      </c>
      <c r="AJ18" s="50">
        <f>-ReplReservePU*MF_UnitCount/12*Assumptions!AJ$74</f>
        <v/>
      </c>
      <c r="AK18" s="50">
        <f>-ReplReservePU*MF_UnitCount/12*Assumptions!AK$74</f>
        <v/>
      </c>
      <c r="AL18" s="50">
        <f>-ReplReservePU*MF_UnitCount/12*Assumptions!AL$74</f>
        <v/>
      </c>
      <c r="AM18" s="50">
        <f>-ReplReservePU*MF_UnitCount/12*Assumptions!AM$74</f>
        <v/>
      </c>
      <c r="AN18" s="50">
        <f>-ReplReservePU*MF_UnitCount/12*Assumptions!AN$74</f>
        <v/>
      </c>
      <c r="AO18" s="50">
        <f>-ReplReservePU*MF_UnitCount/12*Assumptions!AO$74</f>
        <v/>
      </c>
      <c r="AP18" s="50">
        <f>-ReplReservePU*MF_UnitCount/12*Assumptions!AP$74</f>
        <v/>
      </c>
      <c r="AQ18" s="50">
        <f>-ReplReservePU*MF_UnitCount/12*Assumptions!AQ$74</f>
        <v/>
      </c>
      <c r="AR18" s="50">
        <f>-ReplReservePU*MF_UnitCount/12*Assumptions!AR$74</f>
        <v/>
      </c>
      <c r="AS18" s="50">
        <f>-ReplReservePU*MF_UnitCount/12*Assumptions!AS$74</f>
        <v/>
      </c>
      <c r="AT18" s="50">
        <f>-ReplReservePU*MF_UnitCount/12*Assumptions!AT$74</f>
        <v/>
      </c>
      <c r="AU18" s="50">
        <f>-ReplReservePU*MF_UnitCount/12*Assumptions!AU$74</f>
        <v/>
      </c>
      <c r="AV18" s="50">
        <f>-ReplReservePU*MF_UnitCount/12*Assumptions!AV$74</f>
        <v/>
      </c>
      <c r="AW18" s="50">
        <f>-ReplReservePU*MF_UnitCount/12*Assumptions!AW$74</f>
        <v/>
      </c>
      <c r="AX18" s="50">
        <f>-ReplReservePU*MF_UnitCount/12*Assumptions!AX$74</f>
        <v/>
      </c>
      <c r="AY18" s="50">
        <f>-ReplReservePU*MF_UnitCount/12*Assumptions!AY$74</f>
        <v/>
      </c>
      <c r="AZ18" s="50">
        <f>-ReplReservePU*MF_UnitCount/12*Assumptions!AZ$74</f>
        <v/>
      </c>
      <c r="BA18" s="50">
        <f>-ReplReservePU*MF_UnitCount/12*Assumptions!BA$74</f>
        <v/>
      </c>
      <c r="BB18" s="50">
        <f>-ReplReservePU*MF_UnitCount/12*Assumptions!BB$74</f>
        <v/>
      </c>
      <c r="BC18" s="50">
        <f>-ReplReservePU*MF_UnitCount/12*Assumptions!BC$74</f>
        <v/>
      </c>
      <c r="BD18" s="50">
        <f>-ReplReservePU*MF_UnitCount/12*Assumptions!BD$74</f>
        <v/>
      </c>
      <c r="BE18" s="50">
        <f>-ReplReservePU*MF_UnitCount/12*Assumptions!BE$74</f>
        <v/>
      </c>
      <c r="BF18" s="50">
        <f>-ReplReservePU*MF_UnitCount/12*Assumptions!BF$74</f>
        <v/>
      </c>
      <c r="BG18" s="50">
        <f>-ReplReservePU*MF_UnitCount/12*Assumptions!BG$74</f>
        <v/>
      </c>
      <c r="BH18" s="50">
        <f>-ReplReservePU*MF_UnitCount/12*Assumptions!BH$74</f>
        <v/>
      </c>
      <c r="BI18" s="50">
        <f>-ReplReservePU*MF_UnitCount/12*Assumptions!BI$74</f>
        <v/>
      </c>
      <c r="BJ18" s="50">
        <f>-ReplReservePU*MF_UnitCount/12*Assumptions!BJ$74</f>
        <v/>
      </c>
      <c r="BK18" s="50">
        <f>-ReplReservePU*MF_UnitCount/12*Assumptions!BK$74</f>
        <v/>
      </c>
      <c r="BL18" s="50">
        <f>-ReplReservePU*MF_UnitCount/12*Assumptions!BL$74</f>
        <v/>
      </c>
      <c r="BM18" s="50">
        <f>-ReplReservePU*MF_UnitCount/12*Assumptions!BM$74</f>
        <v/>
      </c>
      <c r="BN18" s="50">
        <f>-ReplReservePU*MF_UnitCount/12*Assumptions!BN$74</f>
        <v/>
      </c>
      <c r="BO18" s="50">
        <f>-ReplReservePU*MF_UnitCount/12*Assumptions!BO$74</f>
        <v/>
      </c>
      <c r="BP18" s="50">
        <f>-ReplReservePU*MF_UnitCount/12*Assumptions!BP$74</f>
        <v/>
      </c>
      <c r="BQ18" s="50">
        <f>-ReplReservePU*MF_UnitCount/12*Assumptions!BQ$74</f>
        <v/>
      </c>
      <c r="BR18" s="50">
        <f>-ReplReservePU*MF_UnitCount/12*Assumptions!BR$74</f>
        <v/>
      </c>
      <c r="BS18" s="50">
        <f>-ReplReservePU*MF_UnitCount/12*Assumptions!BS$74</f>
        <v/>
      </c>
      <c r="BT18" s="50">
        <f>-ReplReservePU*MF_UnitCount/12*Assumptions!BT$74</f>
        <v/>
      </c>
      <c r="BU18" s="50">
        <f>-ReplReservePU*MF_UnitCount/12*Assumptions!BU$74</f>
        <v/>
      </c>
      <c r="BV18" s="50">
        <f>-ReplReservePU*MF_UnitCount/12*Assumptions!BV$74</f>
        <v/>
      </c>
      <c r="BW18" s="50">
        <f>-ReplReservePU*MF_UnitCount/12*Assumptions!BW$74</f>
        <v/>
      </c>
      <c r="BX18" s="50">
        <f>-ReplReservePU*MF_UnitCount/12*Assumptions!BX$74</f>
        <v/>
      </c>
      <c r="BY18" s="50">
        <f>-ReplReservePU*MF_UnitCount/12*Assumptions!BY$74</f>
        <v/>
      </c>
      <c r="BZ18" s="50">
        <f>-ReplReservePU*MF_UnitCount/12*Assumptions!BZ$74</f>
        <v/>
      </c>
      <c r="CA18" s="50">
        <f>-ReplReservePU*MF_UnitCount/12*Assumptions!CA$74</f>
        <v/>
      </c>
      <c r="CB18" s="50">
        <f>-ReplReservePU*MF_UnitCount/12*Assumptions!CB$74</f>
        <v/>
      </c>
      <c r="CC18" s="50">
        <f>-ReplReservePU*MF_UnitCount/12*Assumptions!CC$74</f>
        <v/>
      </c>
      <c r="CD18" s="50">
        <f>-ReplReservePU*MF_UnitCount/12*Assumptions!CD$74</f>
        <v/>
      </c>
      <c r="CE18" s="50">
        <f>-ReplReservePU*MF_UnitCount/12*Assumptions!CE$74</f>
        <v/>
      </c>
      <c r="CF18" s="50">
        <f>-ReplReservePU*MF_UnitCount/12*Assumptions!CF$74</f>
        <v/>
      </c>
      <c r="CG18" s="50">
        <f>-ReplReservePU*MF_UnitCount/12*Assumptions!CG$74</f>
        <v/>
      </c>
      <c r="CH18" s="50">
        <f>-ReplReservePU*MF_UnitCount/12*Assumptions!CH$74</f>
        <v/>
      </c>
      <c r="CI18" s="50">
        <f>-ReplReservePU*MF_UnitCount/12*Assumptions!CI$74</f>
        <v/>
      </c>
      <c r="CJ18" s="50">
        <f>-ReplReservePU*MF_UnitCount/12*Assumptions!CJ$74</f>
        <v/>
      </c>
      <c r="CK18" s="50">
        <f>-ReplReservePU*MF_UnitCount/12*Assumptions!CK$74</f>
        <v/>
      </c>
      <c r="CL18" s="50">
        <f>-ReplReservePU*MF_UnitCount/12*Assumptions!CL$74</f>
        <v/>
      </c>
      <c r="CM18" s="50">
        <f>-ReplReservePU*MF_UnitCount/12*Assumptions!CM$74</f>
        <v/>
      </c>
      <c r="CN18" s="50">
        <f>-ReplReservePU*MF_UnitCount/12*Assumptions!CN$74</f>
        <v/>
      </c>
      <c r="CO18" s="50">
        <f>-ReplReservePU*MF_UnitCount/12*Assumptions!CO$74</f>
        <v/>
      </c>
      <c r="CP18" s="50">
        <f>-ReplReservePU*MF_UnitCount/12*Assumptions!CP$74</f>
        <v/>
      </c>
      <c r="CQ18" s="50">
        <f>-ReplReservePU*MF_UnitCount/12*Assumptions!CQ$74</f>
        <v/>
      </c>
      <c r="CR18" s="50">
        <f>-ReplReservePU*MF_UnitCount/12*Assumptions!CR$74</f>
        <v/>
      </c>
      <c r="CS18" s="50">
        <f>-ReplReservePU*MF_UnitCount/12*Assumptions!CS$74</f>
        <v/>
      </c>
      <c r="CT18" s="50">
        <f>-ReplReservePU*MF_UnitCount/12*Assumptions!CT$74</f>
        <v/>
      </c>
      <c r="CU18" s="50">
        <f>-ReplReservePU*MF_UnitCount/12*Assumptions!CU$74</f>
        <v/>
      </c>
      <c r="CV18" s="50">
        <f>-ReplReservePU*MF_UnitCount/12*Assumptions!CV$74</f>
        <v/>
      </c>
      <c r="CW18" s="50">
        <f>-ReplReservePU*MF_UnitCount/12*Assumptions!CW$74</f>
        <v/>
      </c>
      <c r="CX18" s="50">
        <f>-ReplReservePU*MF_UnitCount/12*Assumptions!CX$74</f>
        <v/>
      </c>
      <c r="CY18" s="50">
        <f>-ReplReservePU*MF_UnitCount/12*Assumptions!CY$74</f>
        <v/>
      </c>
      <c r="CZ18" s="50">
        <f>-ReplReservePU*MF_UnitCount/12*Assumptions!CZ$74</f>
        <v/>
      </c>
      <c r="DA18" s="50">
        <f>-ReplReservePU*MF_UnitCount/12*Assumptions!DA$74</f>
        <v/>
      </c>
      <c r="DB18" s="50">
        <f>-ReplReservePU*MF_UnitCount/12*Assumptions!DB$74</f>
        <v/>
      </c>
      <c r="DC18" s="50">
        <f>-ReplReservePU*MF_UnitCount/12*Assumptions!DC$74</f>
        <v/>
      </c>
      <c r="DD18" s="50">
        <f>-ReplReservePU*MF_UnitCount/12*Assumptions!DD$74</f>
        <v/>
      </c>
      <c r="DE18" s="50">
        <f>-ReplReservePU*MF_UnitCount/12*Assumptions!DE$74</f>
        <v/>
      </c>
      <c r="DF18" s="50">
        <f>-ReplReservePU*MF_UnitCount/12*Assumptions!DF$74</f>
        <v/>
      </c>
      <c r="DG18" s="50">
        <f>-ReplReservePU*MF_UnitCount/12*Assumptions!DG$74</f>
        <v/>
      </c>
      <c r="DH18" s="50">
        <f>-ReplReservePU*MF_UnitCount/12*Assumptions!DH$74</f>
        <v/>
      </c>
      <c r="DI18" s="50">
        <f>-ReplReservePU*MF_UnitCount/12*Assumptions!DI$74</f>
        <v/>
      </c>
      <c r="DJ18" s="50">
        <f>-ReplReservePU*MF_UnitCount/12*Assumptions!DJ$74</f>
        <v/>
      </c>
      <c r="DK18" s="50">
        <f>-ReplReservePU*MF_UnitCount/12*Assumptions!DK$74</f>
        <v/>
      </c>
      <c r="DL18" s="50">
        <f>-ReplReservePU*MF_UnitCount/12*Assumptions!DL$74</f>
        <v/>
      </c>
      <c r="DM18" s="50">
        <f>-ReplReservePU*MF_UnitCount/12*Assumptions!DM$74</f>
        <v/>
      </c>
      <c r="DN18" s="50">
        <f>-ReplReservePU*MF_UnitCount/12*Assumptions!DN$74</f>
        <v/>
      </c>
      <c r="DO18" s="50">
        <f>-ReplReservePU*MF_UnitCount/12*Assumptions!DO$74</f>
        <v/>
      </c>
      <c r="DP18" s="50">
        <f>-ReplReservePU*MF_UnitCount/12*Assumptions!DP$74</f>
        <v/>
      </c>
      <c r="DQ18" s="50">
        <f>-ReplReservePU*MF_UnitCount/12*Assumptions!DQ$74</f>
        <v/>
      </c>
      <c r="DR18" s="50">
        <f>-ReplReservePU*MF_UnitCount/12*Assumptions!DR$74</f>
        <v/>
      </c>
      <c r="DS18" s="50">
        <f>-ReplReservePU*MF_UnitCount/12*Assumptions!DS$74</f>
        <v/>
      </c>
      <c r="DT18" s="50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0">
        <f>E$16+E$17</f>
        <v/>
      </c>
      <c r="F19" s="60">
        <f>F$16+F$17</f>
        <v/>
      </c>
      <c r="G19" s="60">
        <f>G$16+G$17</f>
        <v/>
      </c>
      <c r="H19" s="60">
        <f>H$16+H$17</f>
        <v/>
      </c>
      <c r="I19" s="60">
        <f>I$16+I$17</f>
        <v/>
      </c>
      <c r="J19" s="60">
        <f>J$16+J$17</f>
        <v/>
      </c>
      <c r="K19" s="60">
        <f>K$16+K$17</f>
        <v/>
      </c>
      <c r="L19" s="60">
        <f>L$16+L$17</f>
        <v/>
      </c>
      <c r="M19" s="60">
        <f>M$16+M$17</f>
        <v/>
      </c>
      <c r="N19" s="60">
        <f>N$16+N$17</f>
        <v/>
      </c>
      <c r="O19" s="60">
        <f>O$16+O$17</f>
        <v/>
      </c>
      <c r="P19" s="60">
        <f>P$16+P$17</f>
        <v/>
      </c>
      <c r="Q19" s="60">
        <f>Q$16+Q$17</f>
        <v/>
      </c>
      <c r="R19" s="60">
        <f>R$16+R$17</f>
        <v/>
      </c>
      <c r="S19" s="60">
        <f>S$16+S$17</f>
        <v/>
      </c>
      <c r="T19" s="60">
        <f>T$16+T$17</f>
        <v/>
      </c>
      <c r="U19" s="60">
        <f>U$16+U$17</f>
        <v/>
      </c>
      <c r="V19" s="60">
        <f>V$16+V$17</f>
        <v/>
      </c>
      <c r="W19" s="60">
        <f>W$16+W$17</f>
        <v/>
      </c>
      <c r="X19" s="60">
        <f>X$16+X$17</f>
        <v/>
      </c>
      <c r="Y19" s="60">
        <f>Y$16+Y$17</f>
        <v/>
      </c>
      <c r="Z19" s="60">
        <f>Z$16+Z$17</f>
        <v/>
      </c>
      <c r="AA19" s="60">
        <f>AA$16+AA$17</f>
        <v/>
      </c>
      <c r="AB19" s="60">
        <f>AB$16+AB$17</f>
        <v/>
      </c>
      <c r="AC19" s="60">
        <f>AC$16+AC$17</f>
        <v/>
      </c>
      <c r="AD19" s="60">
        <f>AD$16+AD$17</f>
        <v/>
      </c>
      <c r="AE19" s="60">
        <f>AE$16+AE$17</f>
        <v/>
      </c>
      <c r="AF19" s="60">
        <f>AF$16+AF$17</f>
        <v/>
      </c>
      <c r="AG19" s="60">
        <f>AG$16+AG$17</f>
        <v/>
      </c>
      <c r="AH19" s="60">
        <f>AH$16+AH$17</f>
        <v/>
      </c>
      <c r="AI19" s="60">
        <f>AI$16+AI$17</f>
        <v/>
      </c>
      <c r="AJ19" s="60">
        <f>AJ$16+AJ$17</f>
        <v/>
      </c>
      <c r="AK19" s="60">
        <f>AK$16+AK$17</f>
        <v/>
      </c>
      <c r="AL19" s="60">
        <f>AL$16+AL$17</f>
        <v/>
      </c>
      <c r="AM19" s="60">
        <f>AM$16+AM$17</f>
        <v/>
      </c>
      <c r="AN19" s="60">
        <f>AN$16+AN$17</f>
        <v/>
      </c>
      <c r="AO19" s="60">
        <f>AO$16+AO$17</f>
        <v/>
      </c>
      <c r="AP19" s="60">
        <f>AP$16+AP$17</f>
        <v/>
      </c>
      <c r="AQ19" s="60">
        <f>AQ$16+AQ$17</f>
        <v/>
      </c>
      <c r="AR19" s="60">
        <f>AR$16+AR$17</f>
        <v/>
      </c>
      <c r="AS19" s="60">
        <f>AS$16+AS$17</f>
        <v/>
      </c>
      <c r="AT19" s="60">
        <f>AT$16+AT$17</f>
        <v/>
      </c>
      <c r="AU19" s="60">
        <f>AU$16+AU$17</f>
        <v/>
      </c>
      <c r="AV19" s="60">
        <f>AV$16+AV$17</f>
        <v/>
      </c>
      <c r="AW19" s="60">
        <f>AW$16+AW$17</f>
        <v/>
      </c>
      <c r="AX19" s="60">
        <f>AX$16+AX$17</f>
        <v/>
      </c>
      <c r="AY19" s="60">
        <f>AY$16+AY$17</f>
        <v/>
      </c>
      <c r="AZ19" s="60">
        <f>AZ$16+AZ$17</f>
        <v/>
      </c>
      <c r="BA19" s="60">
        <f>BA$16+BA$17</f>
        <v/>
      </c>
      <c r="BB19" s="60">
        <f>BB$16+BB$17</f>
        <v/>
      </c>
      <c r="BC19" s="60">
        <f>BC$16+BC$17</f>
        <v/>
      </c>
      <c r="BD19" s="60">
        <f>BD$16+BD$17</f>
        <v/>
      </c>
      <c r="BE19" s="60">
        <f>BE$16+BE$17</f>
        <v/>
      </c>
      <c r="BF19" s="60">
        <f>BF$16+BF$17</f>
        <v/>
      </c>
      <c r="BG19" s="60">
        <f>BG$16+BG$17</f>
        <v/>
      </c>
      <c r="BH19" s="60">
        <f>BH$16+BH$17</f>
        <v/>
      </c>
      <c r="BI19" s="60">
        <f>BI$16+BI$17</f>
        <v/>
      </c>
      <c r="BJ19" s="60">
        <f>BJ$16+BJ$17</f>
        <v/>
      </c>
      <c r="BK19" s="60">
        <f>BK$16+BK$17</f>
        <v/>
      </c>
      <c r="BL19" s="60">
        <f>BL$16+BL$17</f>
        <v/>
      </c>
      <c r="BM19" s="60">
        <f>BM$16+BM$17</f>
        <v/>
      </c>
      <c r="BN19" s="60">
        <f>BN$16+BN$17</f>
        <v/>
      </c>
      <c r="BO19" s="60">
        <f>BO$16+BO$17</f>
        <v/>
      </c>
      <c r="BP19" s="60">
        <f>BP$16+BP$17</f>
        <v/>
      </c>
      <c r="BQ19" s="60">
        <f>BQ$16+BQ$17</f>
        <v/>
      </c>
      <c r="BR19" s="60">
        <f>BR$16+BR$17</f>
        <v/>
      </c>
      <c r="BS19" s="60">
        <f>BS$16+BS$17</f>
        <v/>
      </c>
      <c r="BT19" s="60">
        <f>BT$16+BT$17</f>
        <v/>
      </c>
      <c r="BU19" s="60">
        <f>BU$16+BU$17</f>
        <v/>
      </c>
      <c r="BV19" s="60">
        <f>BV$16+BV$17</f>
        <v/>
      </c>
      <c r="BW19" s="60">
        <f>BW$16+BW$17</f>
        <v/>
      </c>
      <c r="BX19" s="60">
        <f>BX$16+BX$17</f>
        <v/>
      </c>
      <c r="BY19" s="60">
        <f>BY$16+BY$17</f>
        <v/>
      </c>
      <c r="BZ19" s="60">
        <f>BZ$16+BZ$17</f>
        <v/>
      </c>
      <c r="CA19" s="60">
        <f>CA$16+CA$17</f>
        <v/>
      </c>
      <c r="CB19" s="60">
        <f>CB$16+CB$17</f>
        <v/>
      </c>
      <c r="CC19" s="60">
        <f>CC$16+CC$17</f>
        <v/>
      </c>
      <c r="CD19" s="60">
        <f>CD$16+CD$17</f>
        <v/>
      </c>
      <c r="CE19" s="60">
        <f>CE$16+CE$17</f>
        <v/>
      </c>
      <c r="CF19" s="60">
        <f>CF$16+CF$17</f>
        <v/>
      </c>
      <c r="CG19" s="60">
        <f>CG$16+CG$17</f>
        <v/>
      </c>
      <c r="CH19" s="60">
        <f>CH$16+CH$17</f>
        <v/>
      </c>
      <c r="CI19" s="60">
        <f>CI$16+CI$17</f>
        <v/>
      </c>
      <c r="CJ19" s="60">
        <f>CJ$16+CJ$17</f>
        <v/>
      </c>
      <c r="CK19" s="60">
        <f>CK$16+CK$17</f>
        <v/>
      </c>
      <c r="CL19" s="60">
        <f>CL$16+CL$17</f>
        <v/>
      </c>
      <c r="CM19" s="60">
        <f>CM$16+CM$17</f>
        <v/>
      </c>
      <c r="CN19" s="60">
        <f>CN$16+CN$17</f>
        <v/>
      </c>
      <c r="CO19" s="60">
        <f>CO$16+CO$17</f>
        <v/>
      </c>
      <c r="CP19" s="60">
        <f>CP$16+CP$17</f>
        <v/>
      </c>
      <c r="CQ19" s="60">
        <f>CQ$16+CQ$17</f>
        <v/>
      </c>
      <c r="CR19" s="60">
        <f>CR$16+CR$17</f>
        <v/>
      </c>
      <c r="CS19" s="60">
        <f>CS$16+CS$17</f>
        <v/>
      </c>
      <c r="CT19" s="60">
        <f>CT$16+CT$17</f>
        <v/>
      </c>
      <c r="CU19" s="60">
        <f>CU$16+CU$17</f>
        <v/>
      </c>
      <c r="CV19" s="60">
        <f>CV$16+CV$17</f>
        <v/>
      </c>
      <c r="CW19" s="60">
        <f>CW$16+CW$17</f>
        <v/>
      </c>
      <c r="CX19" s="60">
        <f>CX$16+CX$17</f>
        <v/>
      </c>
      <c r="CY19" s="60">
        <f>CY$16+CY$17</f>
        <v/>
      </c>
      <c r="CZ19" s="60">
        <f>CZ$16+CZ$17</f>
        <v/>
      </c>
      <c r="DA19" s="60">
        <f>DA$16+DA$17</f>
        <v/>
      </c>
      <c r="DB19" s="60">
        <f>DB$16+DB$17</f>
        <v/>
      </c>
      <c r="DC19" s="60">
        <f>DC$16+DC$17</f>
        <v/>
      </c>
      <c r="DD19" s="60">
        <f>DD$16+DD$17</f>
        <v/>
      </c>
      <c r="DE19" s="60">
        <f>DE$16+DE$17</f>
        <v/>
      </c>
      <c r="DF19" s="60">
        <f>DF$16+DF$17</f>
        <v/>
      </c>
      <c r="DG19" s="60">
        <f>DG$16+DG$17</f>
        <v/>
      </c>
      <c r="DH19" s="60">
        <f>DH$16+DH$17</f>
        <v/>
      </c>
      <c r="DI19" s="60">
        <f>DI$16+DI$17</f>
        <v/>
      </c>
      <c r="DJ19" s="60">
        <f>DJ$16+DJ$17</f>
        <v/>
      </c>
      <c r="DK19" s="60">
        <f>DK$16+DK$17</f>
        <v/>
      </c>
      <c r="DL19" s="60">
        <f>DL$16+DL$17</f>
        <v/>
      </c>
      <c r="DM19" s="60">
        <f>DM$16+DM$17</f>
        <v/>
      </c>
      <c r="DN19" s="60">
        <f>DN$16+DN$17</f>
        <v/>
      </c>
      <c r="DO19" s="60">
        <f>DO$16+DO$17</f>
        <v/>
      </c>
      <c r="DP19" s="60">
        <f>DP$16+DP$17</f>
        <v/>
      </c>
      <c r="DQ19" s="60">
        <f>DQ$16+DQ$17</f>
        <v/>
      </c>
      <c r="DR19" s="60">
        <f>DR$16+DR$17</f>
        <v/>
      </c>
      <c r="DS19" s="60">
        <f>DS$16+DS$17</f>
        <v/>
      </c>
      <c r="DT19" s="60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MONTHLY TAX BUILD (method per toggle #13)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Month index</t>
        </is>
      </c>
      <c r="E6" s="6">
        <f>Assumptions!E$72</f>
        <v/>
      </c>
      <c r="F6" s="6">
        <f>Assumptions!F$72</f>
        <v/>
      </c>
      <c r="G6" s="6">
        <f>Assumptions!G$72</f>
        <v/>
      </c>
      <c r="H6" s="6">
        <f>Assumptions!H$72</f>
        <v/>
      </c>
      <c r="I6" s="6">
        <f>Assumptions!I$72</f>
        <v/>
      </c>
      <c r="J6" s="6">
        <f>Assumptions!J$72</f>
        <v/>
      </c>
      <c r="K6" s="6">
        <f>Assumptions!K$72</f>
        <v/>
      </c>
      <c r="L6" s="6">
        <f>Assumptions!L$72</f>
        <v/>
      </c>
      <c r="M6" s="6">
        <f>Assumptions!M$72</f>
        <v/>
      </c>
      <c r="N6" s="6">
        <f>Assumptions!N$72</f>
        <v/>
      </c>
      <c r="O6" s="6">
        <f>Assumptions!O$72</f>
        <v/>
      </c>
      <c r="P6" s="6">
        <f>Assumptions!P$72</f>
        <v/>
      </c>
      <c r="Q6" s="6">
        <f>Assumptions!Q$72</f>
        <v/>
      </c>
      <c r="R6" s="6">
        <f>Assumptions!R$72</f>
        <v/>
      </c>
      <c r="S6" s="6">
        <f>Assumptions!S$72</f>
        <v/>
      </c>
      <c r="T6" s="6">
        <f>Assumptions!T$72</f>
        <v/>
      </c>
      <c r="U6" s="6">
        <f>Assumptions!U$72</f>
        <v/>
      </c>
      <c r="V6" s="6">
        <f>Assumptions!V$72</f>
        <v/>
      </c>
      <c r="W6" s="6">
        <f>Assumptions!W$72</f>
        <v/>
      </c>
      <c r="X6" s="6">
        <f>Assumptions!X$72</f>
        <v/>
      </c>
      <c r="Y6" s="6">
        <f>Assumptions!Y$72</f>
        <v/>
      </c>
      <c r="Z6" s="6">
        <f>Assumptions!Z$72</f>
        <v/>
      </c>
      <c r="AA6" s="6">
        <f>Assumptions!AA$72</f>
        <v/>
      </c>
      <c r="AB6" s="6">
        <f>Assumptions!AB$72</f>
        <v/>
      </c>
      <c r="AC6" s="6">
        <f>Assumptions!AC$72</f>
        <v/>
      </c>
      <c r="AD6" s="6">
        <f>Assumptions!AD$72</f>
        <v/>
      </c>
      <c r="AE6" s="6">
        <f>Assumptions!AE$72</f>
        <v/>
      </c>
      <c r="AF6" s="6">
        <f>Assumptions!AF$72</f>
        <v/>
      </c>
      <c r="AG6" s="6">
        <f>Assumptions!AG$72</f>
        <v/>
      </c>
      <c r="AH6" s="6">
        <f>Assumptions!AH$72</f>
        <v/>
      </c>
      <c r="AI6" s="6">
        <f>Assumptions!AI$72</f>
        <v/>
      </c>
      <c r="AJ6" s="6">
        <f>Assumptions!AJ$72</f>
        <v/>
      </c>
      <c r="AK6" s="6">
        <f>Assumptions!AK$72</f>
        <v/>
      </c>
      <c r="AL6" s="6">
        <f>Assumptions!AL$72</f>
        <v/>
      </c>
      <c r="AM6" s="6">
        <f>Assumptions!AM$72</f>
        <v/>
      </c>
      <c r="AN6" s="6">
        <f>Assumptions!AN$72</f>
        <v/>
      </c>
      <c r="AO6" s="6">
        <f>Assumptions!AO$72</f>
        <v/>
      </c>
      <c r="AP6" s="6">
        <f>Assumptions!AP$72</f>
        <v/>
      </c>
      <c r="AQ6" s="6">
        <f>Assumptions!AQ$72</f>
        <v/>
      </c>
      <c r="AR6" s="6">
        <f>Assumptions!AR$72</f>
        <v/>
      </c>
      <c r="AS6" s="6">
        <f>Assumptions!AS$72</f>
        <v/>
      </c>
      <c r="AT6" s="6">
        <f>Assumptions!AT$72</f>
        <v/>
      </c>
      <c r="AU6" s="6">
        <f>Assumptions!AU$72</f>
        <v/>
      </c>
      <c r="AV6" s="6">
        <f>Assumptions!AV$72</f>
        <v/>
      </c>
      <c r="AW6" s="6">
        <f>Assumptions!AW$72</f>
        <v/>
      </c>
      <c r="AX6" s="6">
        <f>Assumptions!AX$72</f>
        <v/>
      </c>
      <c r="AY6" s="6">
        <f>Assumptions!AY$72</f>
        <v/>
      </c>
      <c r="AZ6" s="6">
        <f>Assumptions!AZ$72</f>
        <v/>
      </c>
      <c r="BA6" s="6">
        <f>Assumptions!BA$72</f>
        <v/>
      </c>
      <c r="BB6" s="6">
        <f>Assumptions!BB$72</f>
        <v/>
      </c>
      <c r="BC6" s="6">
        <f>Assumptions!BC$72</f>
        <v/>
      </c>
      <c r="BD6" s="6">
        <f>Assumptions!BD$72</f>
        <v/>
      </c>
      <c r="BE6" s="6">
        <f>Assumptions!BE$72</f>
        <v/>
      </c>
      <c r="BF6" s="6">
        <f>Assumptions!BF$72</f>
        <v/>
      </c>
      <c r="BG6" s="6">
        <f>Assumptions!BG$72</f>
        <v/>
      </c>
      <c r="BH6" s="6">
        <f>Assumptions!BH$72</f>
        <v/>
      </c>
      <c r="BI6" s="6">
        <f>Assumptions!BI$72</f>
        <v/>
      </c>
      <c r="BJ6" s="6">
        <f>Assumptions!BJ$72</f>
        <v/>
      </c>
      <c r="BK6" s="6">
        <f>Assumptions!BK$72</f>
        <v/>
      </c>
      <c r="BL6" s="6">
        <f>Assumptions!BL$72</f>
        <v/>
      </c>
      <c r="BM6" s="6">
        <f>Assumptions!BM$72</f>
        <v/>
      </c>
      <c r="BN6" s="6">
        <f>Assumptions!BN$72</f>
        <v/>
      </c>
      <c r="BO6" s="6">
        <f>Assumptions!BO$72</f>
        <v/>
      </c>
      <c r="BP6" s="6">
        <f>Assumptions!BP$72</f>
        <v/>
      </c>
      <c r="BQ6" s="6">
        <f>Assumptions!BQ$72</f>
        <v/>
      </c>
      <c r="BR6" s="6">
        <f>Assumptions!BR$72</f>
        <v/>
      </c>
      <c r="BS6" s="6">
        <f>Assumptions!BS$72</f>
        <v/>
      </c>
      <c r="BT6" s="6">
        <f>Assumptions!BT$72</f>
        <v/>
      </c>
      <c r="BU6" s="6">
        <f>Assumptions!BU$72</f>
        <v/>
      </c>
      <c r="BV6" s="6">
        <f>Assumptions!BV$72</f>
        <v/>
      </c>
      <c r="BW6" s="6">
        <f>Assumptions!BW$72</f>
        <v/>
      </c>
      <c r="BX6" s="6">
        <f>Assumptions!BX$72</f>
        <v/>
      </c>
      <c r="BY6" s="6">
        <f>Assumptions!BY$72</f>
        <v/>
      </c>
      <c r="BZ6" s="6">
        <f>Assumptions!BZ$72</f>
        <v/>
      </c>
      <c r="CA6" s="6">
        <f>Assumptions!CA$72</f>
        <v/>
      </c>
      <c r="CB6" s="6">
        <f>Assumptions!CB$72</f>
        <v/>
      </c>
      <c r="CC6" s="6">
        <f>Assumptions!CC$72</f>
        <v/>
      </c>
      <c r="CD6" s="6">
        <f>Assumptions!CD$72</f>
        <v/>
      </c>
      <c r="CE6" s="6">
        <f>Assumptions!CE$72</f>
        <v/>
      </c>
      <c r="CF6" s="6">
        <f>Assumptions!CF$72</f>
        <v/>
      </c>
      <c r="CG6" s="6">
        <f>Assumptions!CG$72</f>
        <v/>
      </c>
      <c r="CH6" s="6">
        <f>Assumptions!CH$72</f>
        <v/>
      </c>
      <c r="CI6" s="6">
        <f>Assumptions!CI$72</f>
        <v/>
      </c>
      <c r="CJ6" s="6">
        <f>Assumptions!CJ$72</f>
        <v/>
      </c>
      <c r="CK6" s="6">
        <f>Assumptions!CK$72</f>
        <v/>
      </c>
      <c r="CL6" s="6">
        <f>Assumptions!CL$72</f>
        <v/>
      </c>
      <c r="CM6" s="6">
        <f>Assumptions!CM$72</f>
        <v/>
      </c>
      <c r="CN6" s="6">
        <f>Assumptions!CN$72</f>
        <v/>
      </c>
      <c r="CO6" s="6">
        <f>Assumptions!CO$72</f>
        <v/>
      </c>
      <c r="CP6" s="6">
        <f>Assumptions!CP$72</f>
        <v/>
      </c>
      <c r="CQ6" s="6">
        <f>Assumptions!CQ$72</f>
        <v/>
      </c>
      <c r="CR6" s="6">
        <f>Assumptions!CR$72</f>
        <v/>
      </c>
      <c r="CS6" s="6">
        <f>Assumptions!CS$72</f>
        <v/>
      </c>
      <c r="CT6" s="6">
        <f>Assumptions!CT$72</f>
        <v/>
      </c>
      <c r="CU6" s="6">
        <f>Assumptions!CU$72</f>
        <v/>
      </c>
      <c r="CV6" s="6">
        <f>Assumptions!CV$72</f>
        <v/>
      </c>
      <c r="CW6" s="6">
        <f>Assumptions!CW$72</f>
        <v/>
      </c>
      <c r="CX6" s="6">
        <f>Assumptions!CX$72</f>
        <v/>
      </c>
      <c r="CY6" s="6">
        <f>Assumptions!CY$72</f>
        <v/>
      </c>
      <c r="CZ6" s="6">
        <f>Assumptions!CZ$72</f>
        <v/>
      </c>
      <c r="DA6" s="6">
        <f>Assumptions!DA$72</f>
        <v/>
      </c>
      <c r="DB6" s="6">
        <f>Assumptions!DB$72</f>
        <v/>
      </c>
      <c r="DC6" s="6">
        <f>Assumptions!DC$72</f>
        <v/>
      </c>
      <c r="DD6" s="6">
        <f>Assumptions!DD$72</f>
        <v/>
      </c>
      <c r="DE6" s="6">
        <f>Assumptions!DE$72</f>
        <v/>
      </c>
      <c r="DF6" s="6">
        <f>Assumptions!DF$72</f>
        <v/>
      </c>
      <c r="DG6" s="6">
        <f>Assumptions!DG$72</f>
        <v/>
      </c>
      <c r="DH6" s="6">
        <f>Assumptions!DH$72</f>
        <v/>
      </c>
      <c r="DI6" s="6">
        <f>Assumptions!DI$72</f>
        <v/>
      </c>
      <c r="DJ6" s="6">
        <f>Assumptions!DJ$72</f>
        <v/>
      </c>
      <c r="DK6" s="6">
        <f>Assumptions!DK$72</f>
        <v/>
      </c>
      <c r="DL6" s="6">
        <f>Assumptions!DL$72</f>
        <v/>
      </c>
      <c r="DM6" s="6">
        <f>Assumptions!DM$72</f>
        <v/>
      </c>
      <c r="DN6" s="6">
        <f>Assumptions!DN$72</f>
        <v/>
      </c>
      <c r="DO6" s="6">
        <f>Assumptions!DO$72</f>
        <v/>
      </c>
      <c r="DP6" s="6">
        <f>Assumptions!DP$72</f>
        <v/>
      </c>
      <c r="DQ6" s="6">
        <f>Assumptions!DQ$72</f>
        <v/>
      </c>
      <c r="DR6" s="6">
        <f>Assumptions!DR$72</f>
        <v/>
      </c>
      <c r="DS6" s="6">
        <f>Assumptions!DS$72</f>
        <v/>
      </c>
      <c r="DT6" s="6">
        <f>Assumptions!DT$72</f>
        <v/>
      </c>
    </row>
    <row r="7">
      <c r="A7" s="10" t="inlineStr">
        <is>
          <t>Annual tax (method-driven $)</t>
        </is>
      </c>
      <c r="E7" s="50">
        <f>IF(TaxMethod="Flat Growth",BaseAnnualTax*(1+TaxFlatGrowth)^(MAX(Assumptions!E$75-1,0)),IF(TaxMethod="PILOT / Abatement",PILOTAnnualTax,PurchasePrice*AssessRatio*MillRate*(1+TaxFlatGrowth)^(MAX(Assumptions!E$75-1,0))))</f>
        <v/>
      </c>
      <c r="F7" s="50">
        <f>IF(TaxMethod="Flat Growth",BaseAnnualTax*(1+TaxFlatGrowth)^(MAX(Assumptions!F$75-1,0)),IF(TaxMethod="PILOT / Abatement",PILOTAnnualTax,PurchasePrice*AssessRatio*MillRate*(1+TaxFlatGrowth)^(MAX(Assumptions!F$75-1,0))))</f>
        <v/>
      </c>
      <c r="G7" s="50">
        <f>IF(TaxMethod="Flat Growth",BaseAnnualTax*(1+TaxFlatGrowth)^(MAX(Assumptions!G$75-1,0)),IF(TaxMethod="PILOT / Abatement",PILOTAnnualTax,PurchasePrice*AssessRatio*MillRate*(1+TaxFlatGrowth)^(MAX(Assumptions!G$75-1,0))))</f>
        <v/>
      </c>
      <c r="H7" s="50">
        <f>IF(TaxMethod="Flat Growth",BaseAnnualTax*(1+TaxFlatGrowth)^(MAX(Assumptions!H$75-1,0)),IF(TaxMethod="PILOT / Abatement",PILOTAnnualTax,PurchasePrice*AssessRatio*MillRate*(1+TaxFlatGrowth)^(MAX(Assumptions!H$75-1,0))))</f>
        <v/>
      </c>
      <c r="I7" s="50">
        <f>IF(TaxMethod="Flat Growth",BaseAnnualTax*(1+TaxFlatGrowth)^(MAX(Assumptions!I$75-1,0)),IF(TaxMethod="PILOT / Abatement",PILOTAnnualTax,PurchasePrice*AssessRatio*MillRate*(1+TaxFlatGrowth)^(MAX(Assumptions!I$75-1,0))))</f>
        <v/>
      </c>
      <c r="J7" s="50">
        <f>IF(TaxMethod="Flat Growth",BaseAnnualTax*(1+TaxFlatGrowth)^(MAX(Assumptions!J$75-1,0)),IF(TaxMethod="PILOT / Abatement",PILOTAnnualTax,PurchasePrice*AssessRatio*MillRate*(1+TaxFlatGrowth)^(MAX(Assumptions!J$75-1,0))))</f>
        <v/>
      </c>
      <c r="K7" s="50">
        <f>IF(TaxMethod="Flat Growth",BaseAnnualTax*(1+TaxFlatGrowth)^(MAX(Assumptions!K$75-1,0)),IF(TaxMethod="PILOT / Abatement",PILOTAnnualTax,PurchasePrice*AssessRatio*MillRate*(1+TaxFlatGrowth)^(MAX(Assumptions!K$75-1,0))))</f>
        <v/>
      </c>
      <c r="L7" s="50">
        <f>IF(TaxMethod="Flat Growth",BaseAnnualTax*(1+TaxFlatGrowth)^(MAX(Assumptions!L$75-1,0)),IF(TaxMethod="PILOT / Abatement",PILOTAnnualTax,PurchasePrice*AssessRatio*MillRate*(1+TaxFlatGrowth)^(MAX(Assumptions!L$75-1,0))))</f>
        <v/>
      </c>
      <c r="M7" s="50">
        <f>IF(TaxMethod="Flat Growth",BaseAnnualTax*(1+TaxFlatGrowth)^(MAX(Assumptions!M$75-1,0)),IF(TaxMethod="PILOT / Abatement",PILOTAnnualTax,PurchasePrice*AssessRatio*MillRate*(1+TaxFlatGrowth)^(MAX(Assumptions!M$75-1,0))))</f>
        <v/>
      </c>
      <c r="N7" s="50">
        <f>IF(TaxMethod="Flat Growth",BaseAnnualTax*(1+TaxFlatGrowth)^(MAX(Assumptions!N$75-1,0)),IF(TaxMethod="PILOT / Abatement",PILOTAnnualTax,PurchasePrice*AssessRatio*MillRate*(1+TaxFlatGrowth)^(MAX(Assumptions!N$75-1,0))))</f>
        <v/>
      </c>
      <c r="O7" s="50">
        <f>IF(TaxMethod="Flat Growth",BaseAnnualTax*(1+TaxFlatGrowth)^(MAX(Assumptions!O$75-1,0)),IF(TaxMethod="PILOT / Abatement",PILOTAnnualTax,PurchasePrice*AssessRatio*MillRate*(1+TaxFlatGrowth)^(MAX(Assumptions!O$75-1,0))))</f>
        <v/>
      </c>
      <c r="P7" s="50">
        <f>IF(TaxMethod="Flat Growth",BaseAnnualTax*(1+TaxFlatGrowth)^(MAX(Assumptions!P$75-1,0)),IF(TaxMethod="PILOT / Abatement",PILOTAnnualTax,PurchasePrice*AssessRatio*MillRate*(1+TaxFlatGrowth)^(MAX(Assumptions!P$75-1,0))))</f>
        <v/>
      </c>
      <c r="Q7" s="50">
        <f>IF(TaxMethod="Flat Growth",BaseAnnualTax*(1+TaxFlatGrowth)^(MAX(Assumptions!Q$75-1,0)),IF(TaxMethod="PILOT / Abatement",PILOTAnnualTax,PurchasePrice*AssessRatio*MillRate*(1+TaxFlatGrowth)^(MAX(Assumptions!Q$75-1,0))))</f>
        <v/>
      </c>
      <c r="R7" s="50">
        <f>IF(TaxMethod="Flat Growth",BaseAnnualTax*(1+TaxFlatGrowth)^(MAX(Assumptions!R$75-1,0)),IF(TaxMethod="PILOT / Abatement",PILOTAnnualTax,PurchasePrice*AssessRatio*MillRate*(1+TaxFlatGrowth)^(MAX(Assumptions!R$75-1,0))))</f>
        <v/>
      </c>
      <c r="S7" s="50">
        <f>IF(TaxMethod="Flat Growth",BaseAnnualTax*(1+TaxFlatGrowth)^(MAX(Assumptions!S$75-1,0)),IF(TaxMethod="PILOT / Abatement",PILOTAnnualTax,PurchasePrice*AssessRatio*MillRate*(1+TaxFlatGrowth)^(MAX(Assumptions!S$75-1,0))))</f>
        <v/>
      </c>
      <c r="T7" s="50">
        <f>IF(TaxMethod="Flat Growth",BaseAnnualTax*(1+TaxFlatGrowth)^(MAX(Assumptions!T$75-1,0)),IF(TaxMethod="PILOT / Abatement",PILOTAnnualTax,PurchasePrice*AssessRatio*MillRate*(1+TaxFlatGrowth)^(MAX(Assumptions!T$75-1,0))))</f>
        <v/>
      </c>
      <c r="U7" s="50">
        <f>IF(TaxMethod="Flat Growth",BaseAnnualTax*(1+TaxFlatGrowth)^(MAX(Assumptions!U$75-1,0)),IF(TaxMethod="PILOT / Abatement",PILOTAnnualTax,PurchasePrice*AssessRatio*MillRate*(1+TaxFlatGrowth)^(MAX(Assumptions!U$75-1,0))))</f>
        <v/>
      </c>
      <c r="V7" s="50">
        <f>IF(TaxMethod="Flat Growth",BaseAnnualTax*(1+TaxFlatGrowth)^(MAX(Assumptions!V$75-1,0)),IF(TaxMethod="PILOT / Abatement",PILOTAnnualTax,PurchasePrice*AssessRatio*MillRate*(1+TaxFlatGrowth)^(MAX(Assumptions!V$75-1,0))))</f>
        <v/>
      </c>
      <c r="W7" s="50">
        <f>IF(TaxMethod="Flat Growth",BaseAnnualTax*(1+TaxFlatGrowth)^(MAX(Assumptions!W$75-1,0)),IF(TaxMethod="PILOT / Abatement",PILOTAnnualTax,PurchasePrice*AssessRatio*MillRate*(1+TaxFlatGrowth)^(MAX(Assumptions!W$75-1,0))))</f>
        <v/>
      </c>
      <c r="X7" s="50">
        <f>IF(TaxMethod="Flat Growth",BaseAnnualTax*(1+TaxFlatGrowth)^(MAX(Assumptions!X$75-1,0)),IF(TaxMethod="PILOT / Abatement",PILOTAnnualTax,PurchasePrice*AssessRatio*MillRate*(1+TaxFlatGrowth)^(MAX(Assumptions!X$75-1,0))))</f>
        <v/>
      </c>
      <c r="Y7" s="50">
        <f>IF(TaxMethod="Flat Growth",BaseAnnualTax*(1+TaxFlatGrowth)^(MAX(Assumptions!Y$75-1,0)),IF(TaxMethod="PILOT / Abatement",PILOTAnnualTax,PurchasePrice*AssessRatio*MillRate*(1+TaxFlatGrowth)^(MAX(Assumptions!Y$75-1,0))))</f>
        <v/>
      </c>
      <c r="Z7" s="50">
        <f>IF(TaxMethod="Flat Growth",BaseAnnualTax*(1+TaxFlatGrowth)^(MAX(Assumptions!Z$75-1,0)),IF(TaxMethod="PILOT / Abatement",PILOTAnnualTax,PurchasePrice*AssessRatio*MillRate*(1+TaxFlatGrowth)^(MAX(Assumptions!Z$75-1,0))))</f>
        <v/>
      </c>
      <c r="AA7" s="50">
        <f>IF(TaxMethod="Flat Growth",BaseAnnualTax*(1+TaxFlatGrowth)^(MAX(Assumptions!AA$75-1,0)),IF(TaxMethod="PILOT / Abatement",PILOTAnnualTax,PurchasePrice*AssessRatio*MillRate*(1+TaxFlatGrowth)^(MAX(Assumptions!AA$75-1,0))))</f>
        <v/>
      </c>
      <c r="AB7" s="50">
        <f>IF(TaxMethod="Flat Growth",BaseAnnualTax*(1+TaxFlatGrowth)^(MAX(Assumptions!AB$75-1,0)),IF(TaxMethod="PILOT / Abatement",PILOTAnnualTax,PurchasePrice*AssessRatio*MillRate*(1+TaxFlatGrowth)^(MAX(Assumptions!AB$75-1,0))))</f>
        <v/>
      </c>
      <c r="AC7" s="50">
        <f>IF(TaxMethod="Flat Growth",BaseAnnualTax*(1+TaxFlatGrowth)^(MAX(Assumptions!AC$75-1,0)),IF(TaxMethod="PILOT / Abatement",PILOTAnnualTax,PurchasePrice*AssessRatio*MillRate*(1+TaxFlatGrowth)^(MAX(Assumptions!AC$75-1,0))))</f>
        <v/>
      </c>
      <c r="AD7" s="50">
        <f>IF(TaxMethod="Flat Growth",BaseAnnualTax*(1+TaxFlatGrowth)^(MAX(Assumptions!AD$75-1,0)),IF(TaxMethod="PILOT / Abatement",PILOTAnnualTax,PurchasePrice*AssessRatio*MillRate*(1+TaxFlatGrowth)^(MAX(Assumptions!AD$75-1,0))))</f>
        <v/>
      </c>
      <c r="AE7" s="50">
        <f>IF(TaxMethod="Flat Growth",BaseAnnualTax*(1+TaxFlatGrowth)^(MAX(Assumptions!AE$75-1,0)),IF(TaxMethod="PILOT / Abatement",PILOTAnnualTax,PurchasePrice*AssessRatio*MillRate*(1+TaxFlatGrowth)^(MAX(Assumptions!AE$75-1,0))))</f>
        <v/>
      </c>
      <c r="AF7" s="50">
        <f>IF(TaxMethod="Flat Growth",BaseAnnualTax*(1+TaxFlatGrowth)^(MAX(Assumptions!AF$75-1,0)),IF(TaxMethod="PILOT / Abatement",PILOTAnnualTax,PurchasePrice*AssessRatio*MillRate*(1+TaxFlatGrowth)^(MAX(Assumptions!AF$75-1,0))))</f>
        <v/>
      </c>
      <c r="AG7" s="50">
        <f>IF(TaxMethod="Flat Growth",BaseAnnualTax*(1+TaxFlatGrowth)^(MAX(Assumptions!AG$75-1,0)),IF(TaxMethod="PILOT / Abatement",PILOTAnnualTax,PurchasePrice*AssessRatio*MillRate*(1+TaxFlatGrowth)^(MAX(Assumptions!AG$75-1,0))))</f>
        <v/>
      </c>
      <c r="AH7" s="50">
        <f>IF(TaxMethod="Flat Growth",BaseAnnualTax*(1+TaxFlatGrowth)^(MAX(Assumptions!AH$75-1,0)),IF(TaxMethod="PILOT / Abatement",PILOTAnnualTax,PurchasePrice*AssessRatio*MillRate*(1+TaxFlatGrowth)^(MAX(Assumptions!AH$75-1,0))))</f>
        <v/>
      </c>
      <c r="AI7" s="50">
        <f>IF(TaxMethod="Flat Growth",BaseAnnualTax*(1+TaxFlatGrowth)^(MAX(Assumptions!AI$75-1,0)),IF(TaxMethod="PILOT / Abatement",PILOTAnnualTax,PurchasePrice*AssessRatio*MillRate*(1+TaxFlatGrowth)^(MAX(Assumptions!AI$75-1,0))))</f>
        <v/>
      </c>
      <c r="AJ7" s="50">
        <f>IF(TaxMethod="Flat Growth",BaseAnnualTax*(1+TaxFlatGrowth)^(MAX(Assumptions!AJ$75-1,0)),IF(TaxMethod="PILOT / Abatement",PILOTAnnualTax,PurchasePrice*AssessRatio*MillRate*(1+TaxFlatGrowth)^(MAX(Assumptions!AJ$75-1,0))))</f>
        <v/>
      </c>
      <c r="AK7" s="50">
        <f>IF(TaxMethod="Flat Growth",BaseAnnualTax*(1+TaxFlatGrowth)^(MAX(Assumptions!AK$75-1,0)),IF(TaxMethod="PILOT / Abatement",PILOTAnnualTax,PurchasePrice*AssessRatio*MillRate*(1+TaxFlatGrowth)^(MAX(Assumptions!AK$75-1,0))))</f>
        <v/>
      </c>
      <c r="AL7" s="50">
        <f>IF(TaxMethod="Flat Growth",BaseAnnualTax*(1+TaxFlatGrowth)^(MAX(Assumptions!AL$75-1,0)),IF(TaxMethod="PILOT / Abatement",PILOTAnnualTax,PurchasePrice*AssessRatio*MillRate*(1+TaxFlatGrowth)^(MAX(Assumptions!AL$75-1,0))))</f>
        <v/>
      </c>
      <c r="AM7" s="50">
        <f>IF(TaxMethod="Flat Growth",BaseAnnualTax*(1+TaxFlatGrowth)^(MAX(Assumptions!AM$75-1,0)),IF(TaxMethod="PILOT / Abatement",PILOTAnnualTax,PurchasePrice*AssessRatio*MillRate*(1+TaxFlatGrowth)^(MAX(Assumptions!AM$75-1,0))))</f>
        <v/>
      </c>
      <c r="AN7" s="50">
        <f>IF(TaxMethod="Flat Growth",BaseAnnualTax*(1+TaxFlatGrowth)^(MAX(Assumptions!AN$75-1,0)),IF(TaxMethod="PILOT / Abatement",PILOTAnnualTax,PurchasePrice*AssessRatio*MillRate*(1+TaxFlatGrowth)^(MAX(Assumptions!AN$75-1,0))))</f>
        <v/>
      </c>
      <c r="AO7" s="50">
        <f>IF(TaxMethod="Flat Growth",BaseAnnualTax*(1+TaxFlatGrowth)^(MAX(Assumptions!AO$75-1,0)),IF(TaxMethod="PILOT / Abatement",PILOTAnnualTax,PurchasePrice*AssessRatio*MillRate*(1+TaxFlatGrowth)^(MAX(Assumptions!AO$75-1,0))))</f>
        <v/>
      </c>
      <c r="AP7" s="50">
        <f>IF(TaxMethod="Flat Growth",BaseAnnualTax*(1+TaxFlatGrowth)^(MAX(Assumptions!AP$75-1,0)),IF(TaxMethod="PILOT / Abatement",PILOTAnnualTax,PurchasePrice*AssessRatio*MillRate*(1+TaxFlatGrowth)^(MAX(Assumptions!AP$75-1,0))))</f>
        <v/>
      </c>
      <c r="AQ7" s="50">
        <f>IF(TaxMethod="Flat Growth",BaseAnnualTax*(1+TaxFlatGrowth)^(MAX(Assumptions!AQ$75-1,0)),IF(TaxMethod="PILOT / Abatement",PILOTAnnualTax,PurchasePrice*AssessRatio*MillRate*(1+TaxFlatGrowth)^(MAX(Assumptions!AQ$75-1,0))))</f>
        <v/>
      </c>
      <c r="AR7" s="50">
        <f>IF(TaxMethod="Flat Growth",BaseAnnualTax*(1+TaxFlatGrowth)^(MAX(Assumptions!AR$75-1,0)),IF(TaxMethod="PILOT / Abatement",PILOTAnnualTax,PurchasePrice*AssessRatio*MillRate*(1+TaxFlatGrowth)^(MAX(Assumptions!AR$75-1,0))))</f>
        <v/>
      </c>
      <c r="AS7" s="50">
        <f>IF(TaxMethod="Flat Growth",BaseAnnualTax*(1+TaxFlatGrowth)^(MAX(Assumptions!AS$75-1,0)),IF(TaxMethod="PILOT / Abatement",PILOTAnnualTax,PurchasePrice*AssessRatio*MillRate*(1+TaxFlatGrowth)^(MAX(Assumptions!AS$75-1,0))))</f>
        <v/>
      </c>
      <c r="AT7" s="50">
        <f>IF(TaxMethod="Flat Growth",BaseAnnualTax*(1+TaxFlatGrowth)^(MAX(Assumptions!AT$75-1,0)),IF(TaxMethod="PILOT / Abatement",PILOTAnnualTax,PurchasePrice*AssessRatio*MillRate*(1+TaxFlatGrowth)^(MAX(Assumptions!AT$75-1,0))))</f>
        <v/>
      </c>
      <c r="AU7" s="50">
        <f>IF(TaxMethod="Flat Growth",BaseAnnualTax*(1+TaxFlatGrowth)^(MAX(Assumptions!AU$75-1,0)),IF(TaxMethod="PILOT / Abatement",PILOTAnnualTax,PurchasePrice*AssessRatio*MillRate*(1+TaxFlatGrowth)^(MAX(Assumptions!AU$75-1,0))))</f>
        <v/>
      </c>
      <c r="AV7" s="50">
        <f>IF(TaxMethod="Flat Growth",BaseAnnualTax*(1+TaxFlatGrowth)^(MAX(Assumptions!AV$75-1,0)),IF(TaxMethod="PILOT / Abatement",PILOTAnnualTax,PurchasePrice*AssessRatio*MillRate*(1+TaxFlatGrowth)^(MAX(Assumptions!AV$75-1,0))))</f>
        <v/>
      </c>
      <c r="AW7" s="50">
        <f>IF(TaxMethod="Flat Growth",BaseAnnualTax*(1+TaxFlatGrowth)^(MAX(Assumptions!AW$75-1,0)),IF(TaxMethod="PILOT / Abatement",PILOTAnnualTax,PurchasePrice*AssessRatio*MillRate*(1+TaxFlatGrowth)^(MAX(Assumptions!AW$75-1,0))))</f>
        <v/>
      </c>
      <c r="AX7" s="50">
        <f>IF(TaxMethod="Flat Growth",BaseAnnualTax*(1+TaxFlatGrowth)^(MAX(Assumptions!AX$75-1,0)),IF(TaxMethod="PILOT / Abatement",PILOTAnnualTax,PurchasePrice*AssessRatio*MillRate*(1+TaxFlatGrowth)^(MAX(Assumptions!AX$75-1,0))))</f>
        <v/>
      </c>
      <c r="AY7" s="50">
        <f>IF(TaxMethod="Flat Growth",BaseAnnualTax*(1+TaxFlatGrowth)^(MAX(Assumptions!AY$75-1,0)),IF(TaxMethod="PILOT / Abatement",PILOTAnnualTax,PurchasePrice*AssessRatio*MillRate*(1+TaxFlatGrowth)^(MAX(Assumptions!AY$75-1,0))))</f>
        <v/>
      </c>
      <c r="AZ7" s="50">
        <f>IF(TaxMethod="Flat Growth",BaseAnnualTax*(1+TaxFlatGrowth)^(MAX(Assumptions!AZ$75-1,0)),IF(TaxMethod="PILOT / Abatement",PILOTAnnualTax,PurchasePrice*AssessRatio*MillRate*(1+TaxFlatGrowth)^(MAX(Assumptions!AZ$75-1,0))))</f>
        <v/>
      </c>
      <c r="BA7" s="50">
        <f>IF(TaxMethod="Flat Growth",BaseAnnualTax*(1+TaxFlatGrowth)^(MAX(Assumptions!BA$75-1,0)),IF(TaxMethod="PILOT / Abatement",PILOTAnnualTax,PurchasePrice*AssessRatio*MillRate*(1+TaxFlatGrowth)^(MAX(Assumptions!BA$75-1,0))))</f>
        <v/>
      </c>
      <c r="BB7" s="50">
        <f>IF(TaxMethod="Flat Growth",BaseAnnualTax*(1+TaxFlatGrowth)^(MAX(Assumptions!BB$75-1,0)),IF(TaxMethod="PILOT / Abatement",PILOTAnnualTax,PurchasePrice*AssessRatio*MillRate*(1+TaxFlatGrowth)^(MAX(Assumptions!BB$75-1,0))))</f>
        <v/>
      </c>
      <c r="BC7" s="50">
        <f>IF(TaxMethod="Flat Growth",BaseAnnualTax*(1+TaxFlatGrowth)^(MAX(Assumptions!BC$75-1,0)),IF(TaxMethod="PILOT / Abatement",PILOTAnnualTax,PurchasePrice*AssessRatio*MillRate*(1+TaxFlatGrowth)^(MAX(Assumptions!BC$75-1,0))))</f>
        <v/>
      </c>
      <c r="BD7" s="50">
        <f>IF(TaxMethod="Flat Growth",BaseAnnualTax*(1+TaxFlatGrowth)^(MAX(Assumptions!BD$75-1,0)),IF(TaxMethod="PILOT / Abatement",PILOTAnnualTax,PurchasePrice*AssessRatio*MillRate*(1+TaxFlatGrowth)^(MAX(Assumptions!BD$75-1,0))))</f>
        <v/>
      </c>
      <c r="BE7" s="50">
        <f>IF(TaxMethod="Flat Growth",BaseAnnualTax*(1+TaxFlatGrowth)^(MAX(Assumptions!BE$75-1,0)),IF(TaxMethod="PILOT / Abatement",PILOTAnnualTax,PurchasePrice*AssessRatio*MillRate*(1+TaxFlatGrowth)^(MAX(Assumptions!BE$75-1,0))))</f>
        <v/>
      </c>
      <c r="BF7" s="50">
        <f>IF(TaxMethod="Flat Growth",BaseAnnualTax*(1+TaxFlatGrowth)^(MAX(Assumptions!BF$75-1,0)),IF(TaxMethod="PILOT / Abatement",PILOTAnnualTax,PurchasePrice*AssessRatio*MillRate*(1+TaxFlatGrowth)^(MAX(Assumptions!BF$75-1,0))))</f>
        <v/>
      </c>
      <c r="BG7" s="50">
        <f>IF(TaxMethod="Flat Growth",BaseAnnualTax*(1+TaxFlatGrowth)^(MAX(Assumptions!BG$75-1,0)),IF(TaxMethod="PILOT / Abatement",PILOTAnnualTax,PurchasePrice*AssessRatio*MillRate*(1+TaxFlatGrowth)^(MAX(Assumptions!BG$75-1,0))))</f>
        <v/>
      </c>
      <c r="BH7" s="50">
        <f>IF(TaxMethod="Flat Growth",BaseAnnualTax*(1+TaxFlatGrowth)^(MAX(Assumptions!BH$75-1,0)),IF(TaxMethod="PILOT / Abatement",PILOTAnnualTax,PurchasePrice*AssessRatio*MillRate*(1+TaxFlatGrowth)^(MAX(Assumptions!BH$75-1,0))))</f>
        <v/>
      </c>
      <c r="BI7" s="50">
        <f>IF(TaxMethod="Flat Growth",BaseAnnualTax*(1+TaxFlatGrowth)^(MAX(Assumptions!BI$75-1,0)),IF(TaxMethod="PILOT / Abatement",PILOTAnnualTax,PurchasePrice*AssessRatio*MillRate*(1+TaxFlatGrowth)^(MAX(Assumptions!BI$75-1,0))))</f>
        <v/>
      </c>
      <c r="BJ7" s="50">
        <f>IF(TaxMethod="Flat Growth",BaseAnnualTax*(1+TaxFlatGrowth)^(MAX(Assumptions!BJ$75-1,0)),IF(TaxMethod="PILOT / Abatement",PILOTAnnualTax,PurchasePrice*AssessRatio*MillRate*(1+TaxFlatGrowth)^(MAX(Assumptions!BJ$75-1,0))))</f>
        <v/>
      </c>
      <c r="BK7" s="50">
        <f>IF(TaxMethod="Flat Growth",BaseAnnualTax*(1+TaxFlatGrowth)^(MAX(Assumptions!BK$75-1,0)),IF(TaxMethod="PILOT / Abatement",PILOTAnnualTax,PurchasePrice*AssessRatio*MillRate*(1+TaxFlatGrowth)^(MAX(Assumptions!BK$75-1,0))))</f>
        <v/>
      </c>
      <c r="BL7" s="50">
        <f>IF(TaxMethod="Flat Growth",BaseAnnualTax*(1+TaxFlatGrowth)^(MAX(Assumptions!BL$75-1,0)),IF(TaxMethod="PILOT / Abatement",PILOTAnnualTax,PurchasePrice*AssessRatio*MillRate*(1+TaxFlatGrowth)^(MAX(Assumptions!BL$75-1,0))))</f>
        <v/>
      </c>
      <c r="BM7" s="50">
        <f>IF(TaxMethod="Flat Growth",BaseAnnualTax*(1+TaxFlatGrowth)^(MAX(Assumptions!BM$75-1,0)),IF(TaxMethod="PILOT / Abatement",PILOTAnnualTax,PurchasePrice*AssessRatio*MillRate*(1+TaxFlatGrowth)^(MAX(Assumptions!BM$75-1,0))))</f>
        <v/>
      </c>
      <c r="BN7" s="50">
        <f>IF(TaxMethod="Flat Growth",BaseAnnualTax*(1+TaxFlatGrowth)^(MAX(Assumptions!BN$75-1,0)),IF(TaxMethod="PILOT / Abatement",PILOTAnnualTax,PurchasePrice*AssessRatio*MillRate*(1+TaxFlatGrowth)^(MAX(Assumptions!BN$75-1,0))))</f>
        <v/>
      </c>
      <c r="BO7" s="50">
        <f>IF(TaxMethod="Flat Growth",BaseAnnualTax*(1+TaxFlatGrowth)^(MAX(Assumptions!BO$75-1,0)),IF(TaxMethod="PILOT / Abatement",PILOTAnnualTax,PurchasePrice*AssessRatio*MillRate*(1+TaxFlatGrowth)^(MAX(Assumptions!BO$75-1,0))))</f>
        <v/>
      </c>
      <c r="BP7" s="50">
        <f>IF(TaxMethod="Flat Growth",BaseAnnualTax*(1+TaxFlatGrowth)^(MAX(Assumptions!BP$75-1,0)),IF(TaxMethod="PILOT / Abatement",PILOTAnnualTax,PurchasePrice*AssessRatio*MillRate*(1+TaxFlatGrowth)^(MAX(Assumptions!BP$75-1,0))))</f>
        <v/>
      </c>
      <c r="BQ7" s="50">
        <f>IF(TaxMethod="Flat Growth",BaseAnnualTax*(1+TaxFlatGrowth)^(MAX(Assumptions!BQ$75-1,0)),IF(TaxMethod="PILOT / Abatement",PILOTAnnualTax,PurchasePrice*AssessRatio*MillRate*(1+TaxFlatGrowth)^(MAX(Assumptions!BQ$75-1,0))))</f>
        <v/>
      </c>
      <c r="BR7" s="50">
        <f>IF(TaxMethod="Flat Growth",BaseAnnualTax*(1+TaxFlatGrowth)^(MAX(Assumptions!BR$75-1,0)),IF(TaxMethod="PILOT / Abatement",PILOTAnnualTax,PurchasePrice*AssessRatio*MillRate*(1+TaxFlatGrowth)^(MAX(Assumptions!BR$75-1,0))))</f>
        <v/>
      </c>
      <c r="BS7" s="50">
        <f>IF(TaxMethod="Flat Growth",BaseAnnualTax*(1+TaxFlatGrowth)^(MAX(Assumptions!BS$75-1,0)),IF(TaxMethod="PILOT / Abatement",PILOTAnnualTax,PurchasePrice*AssessRatio*MillRate*(1+TaxFlatGrowth)^(MAX(Assumptions!BS$75-1,0))))</f>
        <v/>
      </c>
      <c r="BT7" s="50">
        <f>IF(TaxMethod="Flat Growth",BaseAnnualTax*(1+TaxFlatGrowth)^(MAX(Assumptions!BT$75-1,0)),IF(TaxMethod="PILOT / Abatement",PILOTAnnualTax,PurchasePrice*AssessRatio*MillRate*(1+TaxFlatGrowth)^(MAX(Assumptions!BT$75-1,0))))</f>
        <v/>
      </c>
      <c r="BU7" s="50">
        <f>IF(TaxMethod="Flat Growth",BaseAnnualTax*(1+TaxFlatGrowth)^(MAX(Assumptions!BU$75-1,0)),IF(TaxMethod="PILOT / Abatement",PILOTAnnualTax,PurchasePrice*AssessRatio*MillRate*(1+TaxFlatGrowth)^(MAX(Assumptions!BU$75-1,0))))</f>
        <v/>
      </c>
      <c r="BV7" s="50">
        <f>IF(TaxMethod="Flat Growth",BaseAnnualTax*(1+TaxFlatGrowth)^(MAX(Assumptions!BV$75-1,0)),IF(TaxMethod="PILOT / Abatement",PILOTAnnualTax,PurchasePrice*AssessRatio*MillRate*(1+TaxFlatGrowth)^(MAX(Assumptions!BV$75-1,0))))</f>
        <v/>
      </c>
      <c r="BW7" s="50">
        <f>IF(TaxMethod="Flat Growth",BaseAnnualTax*(1+TaxFlatGrowth)^(MAX(Assumptions!BW$75-1,0)),IF(TaxMethod="PILOT / Abatement",PILOTAnnualTax,PurchasePrice*AssessRatio*MillRate*(1+TaxFlatGrowth)^(MAX(Assumptions!BW$75-1,0))))</f>
        <v/>
      </c>
      <c r="BX7" s="50">
        <f>IF(TaxMethod="Flat Growth",BaseAnnualTax*(1+TaxFlatGrowth)^(MAX(Assumptions!BX$75-1,0)),IF(TaxMethod="PILOT / Abatement",PILOTAnnualTax,PurchasePrice*AssessRatio*MillRate*(1+TaxFlatGrowth)^(MAX(Assumptions!BX$75-1,0))))</f>
        <v/>
      </c>
      <c r="BY7" s="50">
        <f>IF(TaxMethod="Flat Growth",BaseAnnualTax*(1+TaxFlatGrowth)^(MAX(Assumptions!BY$75-1,0)),IF(TaxMethod="PILOT / Abatement",PILOTAnnualTax,PurchasePrice*AssessRatio*MillRate*(1+TaxFlatGrowth)^(MAX(Assumptions!BY$75-1,0))))</f>
        <v/>
      </c>
      <c r="BZ7" s="50">
        <f>IF(TaxMethod="Flat Growth",BaseAnnualTax*(1+TaxFlatGrowth)^(MAX(Assumptions!BZ$75-1,0)),IF(TaxMethod="PILOT / Abatement",PILOTAnnualTax,PurchasePrice*AssessRatio*MillRate*(1+TaxFlatGrowth)^(MAX(Assumptions!BZ$75-1,0))))</f>
        <v/>
      </c>
      <c r="CA7" s="50">
        <f>IF(TaxMethod="Flat Growth",BaseAnnualTax*(1+TaxFlatGrowth)^(MAX(Assumptions!CA$75-1,0)),IF(TaxMethod="PILOT / Abatement",PILOTAnnualTax,PurchasePrice*AssessRatio*MillRate*(1+TaxFlatGrowth)^(MAX(Assumptions!CA$75-1,0))))</f>
        <v/>
      </c>
      <c r="CB7" s="50">
        <f>IF(TaxMethod="Flat Growth",BaseAnnualTax*(1+TaxFlatGrowth)^(MAX(Assumptions!CB$75-1,0)),IF(TaxMethod="PILOT / Abatement",PILOTAnnualTax,PurchasePrice*AssessRatio*MillRate*(1+TaxFlatGrowth)^(MAX(Assumptions!CB$75-1,0))))</f>
        <v/>
      </c>
      <c r="CC7" s="50">
        <f>IF(TaxMethod="Flat Growth",BaseAnnualTax*(1+TaxFlatGrowth)^(MAX(Assumptions!CC$75-1,0)),IF(TaxMethod="PILOT / Abatement",PILOTAnnualTax,PurchasePrice*AssessRatio*MillRate*(1+TaxFlatGrowth)^(MAX(Assumptions!CC$75-1,0))))</f>
        <v/>
      </c>
      <c r="CD7" s="50">
        <f>IF(TaxMethod="Flat Growth",BaseAnnualTax*(1+TaxFlatGrowth)^(MAX(Assumptions!CD$75-1,0)),IF(TaxMethod="PILOT / Abatement",PILOTAnnualTax,PurchasePrice*AssessRatio*MillRate*(1+TaxFlatGrowth)^(MAX(Assumptions!CD$75-1,0))))</f>
        <v/>
      </c>
      <c r="CE7" s="50">
        <f>IF(TaxMethod="Flat Growth",BaseAnnualTax*(1+TaxFlatGrowth)^(MAX(Assumptions!CE$75-1,0)),IF(TaxMethod="PILOT / Abatement",PILOTAnnualTax,PurchasePrice*AssessRatio*MillRate*(1+TaxFlatGrowth)^(MAX(Assumptions!CE$75-1,0))))</f>
        <v/>
      </c>
      <c r="CF7" s="50">
        <f>IF(TaxMethod="Flat Growth",BaseAnnualTax*(1+TaxFlatGrowth)^(MAX(Assumptions!CF$75-1,0)),IF(TaxMethod="PILOT / Abatement",PILOTAnnualTax,PurchasePrice*AssessRatio*MillRate*(1+TaxFlatGrowth)^(MAX(Assumptions!CF$75-1,0))))</f>
        <v/>
      </c>
      <c r="CG7" s="50">
        <f>IF(TaxMethod="Flat Growth",BaseAnnualTax*(1+TaxFlatGrowth)^(MAX(Assumptions!CG$75-1,0)),IF(TaxMethod="PILOT / Abatement",PILOTAnnualTax,PurchasePrice*AssessRatio*MillRate*(1+TaxFlatGrowth)^(MAX(Assumptions!CG$75-1,0))))</f>
        <v/>
      </c>
      <c r="CH7" s="50">
        <f>IF(TaxMethod="Flat Growth",BaseAnnualTax*(1+TaxFlatGrowth)^(MAX(Assumptions!CH$75-1,0)),IF(TaxMethod="PILOT / Abatement",PILOTAnnualTax,PurchasePrice*AssessRatio*MillRate*(1+TaxFlatGrowth)^(MAX(Assumptions!CH$75-1,0))))</f>
        <v/>
      </c>
      <c r="CI7" s="50">
        <f>IF(TaxMethod="Flat Growth",BaseAnnualTax*(1+TaxFlatGrowth)^(MAX(Assumptions!CI$75-1,0)),IF(TaxMethod="PILOT / Abatement",PILOTAnnualTax,PurchasePrice*AssessRatio*MillRate*(1+TaxFlatGrowth)^(MAX(Assumptions!CI$75-1,0))))</f>
        <v/>
      </c>
      <c r="CJ7" s="50">
        <f>IF(TaxMethod="Flat Growth",BaseAnnualTax*(1+TaxFlatGrowth)^(MAX(Assumptions!CJ$75-1,0)),IF(TaxMethod="PILOT / Abatement",PILOTAnnualTax,PurchasePrice*AssessRatio*MillRate*(1+TaxFlatGrowth)^(MAX(Assumptions!CJ$75-1,0))))</f>
        <v/>
      </c>
      <c r="CK7" s="50">
        <f>IF(TaxMethod="Flat Growth",BaseAnnualTax*(1+TaxFlatGrowth)^(MAX(Assumptions!CK$75-1,0)),IF(TaxMethod="PILOT / Abatement",PILOTAnnualTax,PurchasePrice*AssessRatio*MillRate*(1+TaxFlatGrowth)^(MAX(Assumptions!CK$75-1,0))))</f>
        <v/>
      </c>
      <c r="CL7" s="50">
        <f>IF(TaxMethod="Flat Growth",BaseAnnualTax*(1+TaxFlatGrowth)^(MAX(Assumptions!CL$75-1,0)),IF(TaxMethod="PILOT / Abatement",PILOTAnnualTax,PurchasePrice*AssessRatio*MillRate*(1+TaxFlatGrowth)^(MAX(Assumptions!CL$75-1,0))))</f>
        <v/>
      </c>
      <c r="CM7" s="50">
        <f>IF(TaxMethod="Flat Growth",BaseAnnualTax*(1+TaxFlatGrowth)^(MAX(Assumptions!CM$75-1,0)),IF(TaxMethod="PILOT / Abatement",PILOTAnnualTax,PurchasePrice*AssessRatio*MillRate*(1+TaxFlatGrowth)^(MAX(Assumptions!CM$75-1,0))))</f>
        <v/>
      </c>
      <c r="CN7" s="50">
        <f>IF(TaxMethod="Flat Growth",BaseAnnualTax*(1+TaxFlatGrowth)^(MAX(Assumptions!CN$75-1,0)),IF(TaxMethod="PILOT / Abatement",PILOTAnnualTax,PurchasePrice*AssessRatio*MillRate*(1+TaxFlatGrowth)^(MAX(Assumptions!CN$75-1,0))))</f>
        <v/>
      </c>
      <c r="CO7" s="50">
        <f>IF(TaxMethod="Flat Growth",BaseAnnualTax*(1+TaxFlatGrowth)^(MAX(Assumptions!CO$75-1,0)),IF(TaxMethod="PILOT / Abatement",PILOTAnnualTax,PurchasePrice*AssessRatio*MillRate*(1+TaxFlatGrowth)^(MAX(Assumptions!CO$75-1,0))))</f>
        <v/>
      </c>
      <c r="CP7" s="50">
        <f>IF(TaxMethod="Flat Growth",BaseAnnualTax*(1+TaxFlatGrowth)^(MAX(Assumptions!CP$75-1,0)),IF(TaxMethod="PILOT / Abatement",PILOTAnnualTax,PurchasePrice*AssessRatio*MillRate*(1+TaxFlatGrowth)^(MAX(Assumptions!CP$75-1,0))))</f>
        <v/>
      </c>
      <c r="CQ7" s="50">
        <f>IF(TaxMethod="Flat Growth",BaseAnnualTax*(1+TaxFlatGrowth)^(MAX(Assumptions!CQ$75-1,0)),IF(TaxMethod="PILOT / Abatement",PILOTAnnualTax,PurchasePrice*AssessRatio*MillRate*(1+TaxFlatGrowth)^(MAX(Assumptions!CQ$75-1,0))))</f>
        <v/>
      </c>
      <c r="CR7" s="50">
        <f>IF(TaxMethod="Flat Growth",BaseAnnualTax*(1+TaxFlatGrowth)^(MAX(Assumptions!CR$75-1,0)),IF(TaxMethod="PILOT / Abatement",PILOTAnnualTax,PurchasePrice*AssessRatio*MillRate*(1+TaxFlatGrowth)^(MAX(Assumptions!CR$75-1,0))))</f>
        <v/>
      </c>
      <c r="CS7" s="50">
        <f>IF(TaxMethod="Flat Growth",BaseAnnualTax*(1+TaxFlatGrowth)^(MAX(Assumptions!CS$75-1,0)),IF(TaxMethod="PILOT / Abatement",PILOTAnnualTax,PurchasePrice*AssessRatio*MillRate*(1+TaxFlatGrowth)^(MAX(Assumptions!CS$75-1,0))))</f>
        <v/>
      </c>
      <c r="CT7" s="50">
        <f>IF(TaxMethod="Flat Growth",BaseAnnualTax*(1+TaxFlatGrowth)^(MAX(Assumptions!CT$75-1,0)),IF(TaxMethod="PILOT / Abatement",PILOTAnnualTax,PurchasePrice*AssessRatio*MillRate*(1+TaxFlatGrowth)^(MAX(Assumptions!CT$75-1,0))))</f>
        <v/>
      </c>
      <c r="CU7" s="50">
        <f>IF(TaxMethod="Flat Growth",BaseAnnualTax*(1+TaxFlatGrowth)^(MAX(Assumptions!CU$75-1,0)),IF(TaxMethod="PILOT / Abatement",PILOTAnnualTax,PurchasePrice*AssessRatio*MillRate*(1+TaxFlatGrowth)^(MAX(Assumptions!CU$75-1,0))))</f>
        <v/>
      </c>
      <c r="CV7" s="50">
        <f>IF(TaxMethod="Flat Growth",BaseAnnualTax*(1+TaxFlatGrowth)^(MAX(Assumptions!CV$75-1,0)),IF(TaxMethod="PILOT / Abatement",PILOTAnnualTax,PurchasePrice*AssessRatio*MillRate*(1+TaxFlatGrowth)^(MAX(Assumptions!CV$75-1,0))))</f>
        <v/>
      </c>
      <c r="CW7" s="50">
        <f>IF(TaxMethod="Flat Growth",BaseAnnualTax*(1+TaxFlatGrowth)^(MAX(Assumptions!CW$75-1,0)),IF(TaxMethod="PILOT / Abatement",PILOTAnnualTax,PurchasePrice*AssessRatio*MillRate*(1+TaxFlatGrowth)^(MAX(Assumptions!CW$75-1,0))))</f>
        <v/>
      </c>
      <c r="CX7" s="50">
        <f>IF(TaxMethod="Flat Growth",BaseAnnualTax*(1+TaxFlatGrowth)^(MAX(Assumptions!CX$75-1,0)),IF(TaxMethod="PILOT / Abatement",PILOTAnnualTax,PurchasePrice*AssessRatio*MillRate*(1+TaxFlatGrowth)^(MAX(Assumptions!CX$75-1,0))))</f>
        <v/>
      </c>
      <c r="CY7" s="50">
        <f>IF(TaxMethod="Flat Growth",BaseAnnualTax*(1+TaxFlatGrowth)^(MAX(Assumptions!CY$75-1,0)),IF(TaxMethod="PILOT / Abatement",PILOTAnnualTax,PurchasePrice*AssessRatio*MillRate*(1+TaxFlatGrowth)^(MAX(Assumptions!CY$75-1,0))))</f>
        <v/>
      </c>
      <c r="CZ7" s="50">
        <f>IF(TaxMethod="Flat Growth",BaseAnnualTax*(1+TaxFlatGrowth)^(MAX(Assumptions!CZ$75-1,0)),IF(TaxMethod="PILOT / Abatement",PILOTAnnualTax,PurchasePrice*AssessRatio*MillRate*(1+TaxFlatGrowth)^(MAX(Assumptions!CZ$75-1,0))))</f>
        <v/>
      </c>
      <c r="DA7" s="50">
        <f>IF(TaxMethod="Flat Growth",BaseAnnualTax*(1+TaxFlatGrowth)^(MAX(Assumptions!DA$75-1,0)),IF(TaxMethod="PILOT / Abatement",PILOTAnnualTax,PurchasePrice*AssessRatio*MillRate*(1+TaxFlatGrowth)^(MAX(Assumptions!DA$75-1,0))))</f>
        <v/>
      </c>
      <c r="DB7" s="50">
        <f>IF(TaxMethod="Flat Growth",BaseAnnualTax*(1+TaxFlatGrowth)^(MAX(Assumptions!DB$75-1,0)),IF(TaxMethod="PILOT / Abatement",PILOTAnnualTax,PurchasePrice*AssessRatio*MillRate*(1+TaxFlatGrowth)^(MAX(Assumptions!DB$75-1,0))))</f>
        <v/>
      </c>
      <c r="DC7" s="50">
        <f>IF(TaxMethod="Flat Growth",BaseAnnualTax*(1+TaxFlatGrowth)^(MAX(Assumptions!DC$75-1,0)),IF(TaxMethod="PILOT / Abatement",PILOTAnnualTax,PurchasePrice*AssessRatio*MillRate*(1+TaxFlatGrowth)^(MAX(Assumptions!DC$75-1,0))))</f>
        <v/>
      </c>
      <c r="DD7" s="50">
        <f>IF(TaxMethod="Flat Growth",BaseAnnualTax*(1+TaxFlatGrowth)^(MAX(Assumptions!DD$75-1,0)),IF(TaxMethod="PILOT / Abatement",PILOTAnnualTax,PurchasePrice*AssessRatio*MillRate*(1+TaxFlatGrowth)^(MAX(Assumptions!DD$75-1,0))))</f>
        <v/>
      </c>
      <c r="DE7" s="50">
        <f>IF(TaxMethod="Flat Growth",BaseAnnualTax*(1+TaxFlatGrowth)^(MAX(Assumptions!DE$75-1,0)),IF(TaxMethod="PILOT / Abatement",PILOTAnnualTax,PurchasePrice*AssessRatio*MillRate*(1+TaxFlatGrowth)^(MAX(Assumptions!DE$75-1,0))))</f>
        <v/>
      </c>
      <c r="DF7" s="50">
        <f>IF(TaxMethod="Flat Growth",BaseAnnualTax*(1+TaxFlatGrowth)^(MAX(Assumptions!DF$75-1,0)),IF(TaxMethod="PILOT / Abatement",PILOTAnnualTax,PurchasePrice*AssessRatio*MillRate*(1+TaxFlatGrowth)^(MAX(Assumptions!DF$75-1,0))))</f>
        <v/>
      </c>
      <c r="DG7" s="50">
        <f>IF(TaxMethod="Flat Growth",BaseAnnualTax*(1+TaxFlatGrowth)^(MAX(Assumptions!DG$75-1,0)),IF(TaxMethod="PILOT / Abatement",PILOTAnnualTax,PurchasePrice*AssessRatio*MillRate*(1+TaxFlatGrowth)^(MAX(Assumptions!DG$75-1,0))))</f>
        <v/>
      </c>
      <c r="DH7" s="50">
        <f>IF(TaxMethod="Flat Growth",BaseAnnualTax*(1+TaxFlatGrowth)^(MAX(Assumptions!DH$75-1,0)),IF(TaxMethod="PILOT / Abatement",PILOTAnnualTax,PurchasePrice*AssessRatio*MillRate*(1+TaxFlatGrowth)^(MAX(Assumptions!DH$75-1,0))))</f>
        <v/>
      </c>
      <c r="DI7" s="50">
        <f>IF(TaxMethod="Flat Growth",BaseAnnualTax*(1+TaxFlatGrowth)^(MAX(Assumptions!DI$75-1,0)),IF(TaxMethod="PILOT / Abatement",PILOTAnnualTax,PurchasePrice*AssessRatio*MillRate*(1+TaxFlatGrowth)^(MAX(Assumptions!DI$75-1,0))))</f>
        <v/>
      </c>
      <c r="DJ7" s="50">
        <f>IF(TaxMethod="Flat Growth",BaseAnnualTax*(1+TaxFlatGrowth)^(MAX(Assumptions!DJ$75-1,0)),IF(TaxMethod="PILOT / Abatement",PILOTAnnualTax,PurchasePrice*AssessRatio*MillRate*(1+TaxFlatGrowth)^(MAX(Assumptions!DJ$75-1,0))))</f>
        <v/>
      </c>
      <c r="DK7" s="50">
        <f>IF(TaxMethod="Flat Growth",BaseAnnualTax*(1+TaxFlatGrowth)^(MAX(Assumptions!DK$75-1,0)),IF(TaxMethod="PILOT / Abatement",PILOTAnnualTax,PurchasePrice*AssessRatio*MillRate*(1+TaxFlatGrowth)^(MAX(Assumptions!DK$75-1,0))))</f>
        <v/>
      </c>
      <c r="DL7" s="50">
        <f>IF(TaxMethod="Flat Growth",BaseAnnualTax*(1+TaxFlatGrowth)^(MAX(Assumptions!DL$75-1,0)),IF(TaxMethod="PILOT / Abatement",PILOTAnnualTax,PurchasePrice*AssessRatio*MillRate*(1+TaxFlatGrowth)^(MAX(Assumptions!DL$75-1,0))))</f>
        <v/>
      </c>
      <c r="DM7" s="50">
        <f>IF(TaxMethod="Flat Growth",BaseAnnualTax*(1+TaxFlatGrowth)^(MAX(Assumptions!DM$75-1,0)),IF(TaxMethod="PILOT / Abatement",PILOTAnnualTax,PurchasePrice*AssessRatio*MillRate*(1+TaxFlatGrowth)^(MAX(Assumptions!DM$75-1,0))))</f>
        <v/>
      </c>
      <c r="DN7" s="50">
        <f>IF(TaxMethod="Flat Growth",BaseAnnualTax*(1+TaxFlatGrowth)^(MAX(Assumptions!DN$75-1,0)),IF(TaxMethod="PILOT / Abatement",PILOTAnnualTax,PurchasePrice*AssessRatio*MillRate*(1+TaxFlatGrowth)^(MAX(Assumptions!DN$75-1,0))))</f>
        <v/>
      </c>
      <c r="DO7" s="50">
        <f>IF(TaxMethod="Flat Growth",BaseAnnualTax*(1+TaxFlatGrowth)^(MAX(Assumptions!DO$75-1,0)),IF(TaxMethod="PILOT / Abatement",PILOTAnnualTax,PurchasePrice*AssessRatio*MillRate*(1+TaxFlatGrowth)^(MAX(Assumptions!DO$75-1,0))))</f>
        <v/>
      </c>
      <c r="DP7" s="50">
        <f>IF(TaxMethod="Flat Growth",BaseAnnualTax*(1+TaxFlatGrowth)^(MAX(Assumptions!DP$75-1,0)),IF(TaxMethod="PILOT / Abatement",PILOTAnnualTax,PurchasePrice*AssessRatio*MillRate*(1+TaxFlatGrowth)^(MAX(Assumptions!DP$75-1,0))))</f>
        <v/>
      </c>
      <c r="DQ7" s="50">
        <f>IF(TaxMethod="Flat Growth",BaseAnnualTax*(1+TaxFlatGrowth)^(MAX(Assumptions!DQ$75-1,0)),IF(TaxMethod="PILOT / Abatement",PILOTAnnualTax,PurchasePrice*AssessRatio*MillRate*(1+TaxFlatGrowth)^(MAX(Assumptions!DQ$75-1,0))))</f>
        <v/>
      </c>
      <c r="DR7" s="50">
        <f>IF(TaxMethod="Flat Growth",BaseAnnualTax*(1+TaxFlatGrowth)^(MAX(Assumptions!DR$75-1,0)),IF(TaxMethod="PILOT / Abatement",PILOTAnnualTax,PurchasePrice*AssessRatio*MillRate*(1+TaxFlatGrowth)^(MAX(Assumptions!DR$75-1,0))))</f>
        <v/>
      </c>
      <c r="DS7" s="50">
        <f>IF(TaxMethod="Flat Growth",BaseAnnualTax*(1+TaxFlatGrowth)^(MAX(Assumptions!DS$75-1,0)),IF(TaxMethod="PILOT / Abatement",PILOTAnnualTax,PurchasePrice*AssessRatio*MillRate*(1+TaxFlatGrowth)^(MAX(Assumptions!DS$75-1,0))))</f>
        <v/>
      </c>
      <c r="DT7" s="50">
        <f>IF(TaxMethod="Flat Growth",BaseAnnualTax*(1+TaxFlatGrowth)^(MAX(Assumptions!DT$75-1,0)),IF(TaxMethod="PILOT / Abatement",PILOTAnnualTax,PurchasePrice*AssessRatio*MillRate*(1+TaxFlatGrowth)^(MAX(Assumptions!DT$75-1,0))))</f>
        <v/>
      </c>
    </row>
    <row r="8">
      <c r="A8" s="3" t="inlineStr">
        <is>
          <t>Monthly tax ($/mo, neg)</t>
        </is>
      </c>
      <c r="E8" s="60">
        <f>-E$7/12*Assumptions!E$74</f>
        <v/>
      </c>
      <c r="F8" s="60">
        <f>-F$7/12*Assumptions!F$74</f>
        <v/>
      </c>
      <c r="G8" s="60">
        <f>-G$7/12*Assumptions!G$74</f>
        <v/>
      </c>
      <c r="H8" s="60">
        <f>-H$7/12*Assumptions!H$74</f>
        <v/>
      </c>
      <c r="I8" s="60">
        <f>-I$7/12*Assumptions!I$74</f>
        <v/>
      </c>
      <c r="J8" s="60">
        <f>-J$7/12*Assumptions!J$74</f>
        <v/>
      </c>
      <c r="K8" s="60">
        <f>-K$7/12*Assumptions!K$74</f>
        <v/>
      </c>
      <c r="L8" s="60">
        <f>-L$7/12*Assumptions!L$74</f>
        <v/>
      </c>
      <c r="M8" s="60">
        <f>-M$7/12*Assumptions!M$74</f>
        <v/>
      </c>
      <c r="N8" s="60">
        <f>-N$7/12*Assumptions!N$74</f>
        <v/>
      </c>
      <c r="O8" s="60">
        <f>-O$7/12*Assumptions!O$74</f>
        <v/>
      </c>
      <c r="P8" s="60">
        <f>-P$7/12*Assumptions!P$74</f>
        <v/>
      </c>
      <c r="Q8" s="60">
        <f>-Q$7/12*Assumptions!Q$74</f>
        <v/>
      </c>
      <c r="R8" s="60">
        <f>-R$7/12*Assumptions!R$74</f>
        <v/>
      </c>
      <c r="S8" s="60">
        <f>-S$7/12*Assumptions!S$74</f>
        <v/>
      </c>
      <c r="T8" s="60">
        <f>-T$7/12*Assumptions!T$74</f>
        <v/>
      </c>
      <c r="U8" s="60">
        <f>-U$7/12*Assumptions!U$74</f>
        <v/>
      </c>
      <c r="V8" s="60">
        <f>-V$7/12*Assumptions!V$74</f>
        <v/>
      </c>
      <c r="W8" s="60">
        <f>-W$7/12*Assumptions!W$74</f>
        <v/>
      </c>
      <c r="X8" s="60">
        <f>-X$7/12*Assumptions!X$74</f>
        <v/>
      </c>
      <c r="Y8" s="60">
        <f>-Y$7/12*Assumptions!Y$74</f>
        <v/>
      </c>
      <c r="Z8" s="60">
        <f>-Z$7/12*Assumptions!Z$74</f>
        <v/>
      </c>
      <c r="AA8" s="60">
        <f>-AA$7/12*Assumptions!AA$74</f>
        <v/>
      </c>
      <c r="AB8" s="60">
        <f>-AB$7/12*Assumptions!AB$74</f>
        <v/>
      </c>
      <c r="AC8" s="60">
        <f>-AC$7/12*Assumptions!AC$74</f>
        <v/>
      </c>
      <c r="AD8" s="60">
        <f>-AD$7/12*Assumptions!AD$74</f>
        <v/>
      </c>
      <c r="AE8" s="60">
        <f>-AE$7/12*Assumptions!AE$74</f>
        <v/>
      </c>
      <c r="AF8" s="60">
        <f>-AF$7/12*Assumptions!AF$74</f>
        <v/>
      </c>
      <c r="AG8" s="60">
        <f>-AG$7/12*Assumptions!AG$74</f>
        <v/>
      </c>
      <c r="AH8" s="60">
        <f>-AH$7/12*Assumptions!AH$74</f>
        <v/>
      </c>
      <c r="AI8" s="60">
        <f>-AI$7/12*Assumptions!AI$74</f>
        <v/>
      </c>
      <c r="AJ8" s="60">
        <f>-AJ$7/12*Assumptions!AJ$74</f>
        <v/>
      </c>
      <c r="AK8" s="60">
        <f>-AK$7/12*Assumptions!AK$74</f>
        <v/>
      </c>
      <c r="AL8" s="60">
        <f>-AL$7/12*Assumptions!AL$74</f>
        <v/>
      </c>
      <c r="AM8" s="60">
        <f>-AM$7/12*Assumptions!AM$74</f>
        <v/>
      </c>
      <c r="AN8" s="60">
        <f>-AN$7/12*Assumptions!AN$74</f>
        <v/>
      </c>
      <c r="AO8" s="60">
        <f>-AO$7/12*Assumptions!AO$74</f>
        <v/>
      </c>
      <c r="AP8" s="60">
        <f>-AP$7/12*Assumptions!AP$74</f>
        <v/>
      </c>
      <c r="AQ8" s="60">
        <f>-AQ$7/12*Assumptions!AQ$74</f>
        <v/>
      </c>
      <c r="AR8" s="60">
        <f>-AR$7/12*Assumptions!AR$74</f>
        <v/>
      </c>
      <c r="AS8" s="60">
        <f>-AS$7/12*Assumptions!AS$74</f>
        <v/>
      </c>
      <c r="AT8" s="60">
        <f>-AT$7/12*Assumptions!AT$74</f>
        <v/>
      </c>
      <c r="AU8" s="60">
        <f>-AU$7/12*Assumptions!AU$74</f>
        <v/>
      </c>
      <c r="AV8" s="60">
        <f>-AV$7/12*Assumptions!AV$74</f>
        <v/>
      </c>
      <c r="AW8" s="60">
        <f>-AW$7/12*Assumptions!AW$74</f>
        <v/>
      </c>
      <c r="AX8" s="60">
        <f>-AX$7/12*Assumptions!AX$74</f>
        <v/>
      </c>
      <c r="AY8" s="60">
        <f>-AY$7/12*Assumptions!AY$74</f>
        <v/>
      </c>
      <c r="AZ8" s="60">
        <f>-AZ$7/12*Assumptions!AZ$74</f>
        <v/>
      </c>
      <c r="BA8" s="60">
        <f>-BA$7/12*Assumptions!BA$74</f>
        <v/>
      </c>
      <c r="BB8" s="60">
        <f>-BB$7/12*Assumptions!BB$74</f>
        <v/>
      </c>
      <c r="BC8" s="60">
        <f>-BC$7/12*Assumptions!BC$74</f>
        <v/>
      </c>
      <c r="BD8" s="60">
        <f>-BD$7/12*Assumptions!BD$74</f>
        <v/>
      </c>
      <c r="BE8" s="60">
        <f>-BE$7/12*Assumptions!BE$74</f>
        <v/>
      </c>
      <c r="BF8" s="60">
        <f>-BF$7/12*Assumptions!BF$74</f>
        <v/>
      </c>
      <c r="BG8" s="60">
        <f>-BG$7/12*Assumptions!BG$74</f>
        <v/>
      </c>
      <c r="BH8" s="60">
        <f>-BH$7/12*Assumptions!BH$74</f>
        <v/>
      </c>
      <c r="BI8" s="60">
        <f>-BI$7/12*Assumptions!BI$74</f>
        <v/>
      </c>
      <c r="BJ8" s="60">
        <f>-BJ$7/12*Assumptions!BJ$74</f>
        <v/>
      </c>
      <c r="BK8" s="60">
        <f>-BK$7/12*Assumptions!BK$74</f>
        <v/>
      </c>
      <c r="BL8" s="60">
        <f>-BL$7/12*Assumptions!BL$74</f>
        <v/>
      </c>
      <c r="BM8" s="60">
        <f>-BM$7/12*Assumptions!BM$74</f>
        <v/>
      </c>
      <c r="BN8" s="60">
        <f>-BN$7/12*Assumptions!BN$74</f>
        <v/>
      </c>
      <c r="BO8" s="60">
        <f>-BO$7/12*Assumptions!BO$74</f>
        <v/>
      </c>
      <c r="BP8" s="60">
        <f>-BP$7/12*Assumptions!BP$74</f>
        <v/>
      </c>
      <c r="BQ8" s="60">
        <f>-BQ$7/12*Assumptions!BQ$74</f>
        <v/>
      </c>
      <c r="BR8" s="60">
        <f>-BR$7/12*Assumptions!BR$74</f>
        <v/>
      </c>
      <c r="BS8" s="60">
        <f>-BS$7/12*Assumptions!BS$74</f>
        <v/>
      </c>
      <c r="BT8" s="60">
        <f>-BT$7/12*Assumptions!BT$74</f>
        <v/>
      </c>
      <c r="BU8" s="60">
        <f>-BU$7/12*Assumptions!BU$74</f>
        <v/>
      </c>
      <c r="BV8" s="60">
        <f>-BV$7/12*Assumptions!BV$74</f>
        <v/>
      </c>
      <c r="BW8" s="60">
        <f>-BW$7/12*Assumptions!BW$74</f>
        <v/>
      </c>
      <c r="BX8" s="60">
        <f>-BX$7/12*Assumptions!BX$74</f>
        <v/>
      </c>
      <c r="BY8" s="60">
        <f>-BY$7/12*Assumptions!BY$74</f>
        <v/>
      </c>
      <c r="BZ8" s="60">
        <f>-BZ$7/12*Assumptions!BZ$74</f>
        <v/>
      </c>
      <c r="CA8" s="60">
        <f>-CA$7/12*Assumptions!CA$74</f>
        <v/>
      </c>
      <c r="CB8" s="60">
        <f>-CB$7/12*Assumptions!CB$74</f>
        <v/>
      </c>
      <c r="CC8" s="60">
        <f>-CC$7/12*Assumptions!CC$74</f>
        <v/>
      </c>
      <c r="CD8" s="60">
        <f>-CD$7/12*Assumptions!CD$74</f>
        <v/>
      </c>
      <c r="CE8" s="60">
        <f>-CE$7/12*Assumptions!CE$74</f>
        <v/>
      </c>
      <c r="CF8" s="60">
        <f>-CF$7/12*Assumptions!CF$74</f>
        <v/>
      </c>
      <c r="CG8" s="60">
        <f>-CG$7/12*Assumptions!CG$74</f>
        <v/>
      </c>
      <c r="CH8" s="60">
        <f>-CH$7/12*Assumptions!CH$74</f>
        <v/>
      </c>
      <c r="CI8" s="60">
        <f>-CI$7/12*Assumptions!CI$74</f>
        <v/>
      </c>
      <c r="CJ8" s="60">
        <f>-CJ$7/12*Assumptions!CJ$74</f>
        <v/>
      </c>
      <c r="CK8" s="60">
        <f>-CK$7/12*Assumptions!CK$74</f>
        <v/>
      </c>
      <c r="CL8" s="60">
        <f>-CL$7/12*Assumptions!CL$74</f>
        <v/>
      </c>
      <c r="CM8" s="60">
        <f>-CM$7/12*Assumptions!CM$74</f>
        <v/>
      </c>
      <c r="CN8" s="60">
        <f>-CN$7/12*Assumptions!CN$74</f>
        <v/>
      </c>
      <c r="CO8" s="60">
        <f>-CO$7/12*Assumptions!CO$74</f>
        <v/>
      </c>
      <c r="CP8" s="60">
        <f>-CP$7/12*Assumptions!CP$74</f>
        <v/>
      </c>
      <c r="CQ8" s="60">
        <f>-CQ$7/12*Assumptions!CQ$74</f>
        <v/>
      </c>
      <c r="CR8" s="60">
        <f>-CR$7/12*Assumptions!CR$74</f>
        <v/>
      </c>
      <c r="CS8" s="60">
        <f>-CS$7/12*Assumptions!CS$74</f>
        <v/>
      </c>
      <c r="CT8" s="60">
        <f>-CT$7/12*Assumptions!CT$74</f>
        <v/>
      </c>
      <c r="CU8" s="60">
        <f>-CU$7/12*Assumptions!CU$74</f>
        <v/>
      </c>
      <c r="CV8" s="60">
        <f>-CV$7/12*Assumptions!CV$74</f>
        <v/>
      </c>
      <c r="CW8" s="60">
        <f>-CW$7/12*Assumptions!CW$74</f>
        <v/>
      </c>
      <c r="CX8" s="60">
        <f>-CX$7/12*Assumptions!CX$74</f>
        <v/>
      </c>
      <c r="CY8" s="60">
        <f>-CY$7/12*Assumptions!CY$74</f>
        <v/>
      </c>
      <c r="CZ8" s="60">
        <f>-CZ$7/12*Assumptions!CZ$74</f>
        <v/>
      </c>
      <c r="DA8" s="60">
        <f>-DA$7/12*Assumptions!DA$74</f>
        <v/>
      </c>
      <c r="DB8" s="60">
        <f>-DB$7/12*Assumptions!DB$74</f>
        <v/>
      </c>
      <c r="DC8" s="60">
        <f>-DC$7/12*Assumptions!DC$74</f>
        <v/>
      </c>
      <c r="DD8" s="60">
        <f>-DD$7/12*Assumptions!DD$74</f>
        <v/>
      </c>
      <c r="DE8" s="60">
        <f>-DE$7/12*Assumptions!DE$74</f>
        <v/>
      </c>
      <c r="DF8" s="60">
        <f>-DF$7/12*Assumptions!DF$74</f>
        <v/>
      </c>
      <c r="DG8" s="60">
        <f>-DG$7/12*Assumptions!DG$74</f>
        <v/>
      </c>
      <c r="DH8" s="60">
        <f>-DH$7/12*Assumptions!DH$74</f>
        <v/>
      </c>
      <c r="DI8" s="60">
        <f>-DI$7/12*Assumptions!DI$74</f>
        <v/>
      </c>
      <c r="DJ8" s="60">
        <f>-DJ$7/12*Assumptions!DJ$74</f>
        <v/>
      </c>
      <c r="DK8" s="60">
        <f>-DK$7/12*Assumptions!DK$74</f>
        <v/>
      </c>
      <c r="DL8" s="60">
        <f>-DL$7/12*Assumptions!DL$74</f>
        <v/>
      </c>
      <c r="DM8" s="60">
        <f>-DM$7/12*Assumptions!DM$74</f>
        <v/>
      </c>
      <c r="DN8" s="60">
        <f>-DN$7/12*Assumptions!DN$74</f>
        <v/>
      </c>
      <c r="DO8" s="60">
        <f>-DO$7/12*Assumptions!DO$74</f>
        <v/>
      </c>
      <c r="DP8" s="60">
        <f>-DP$7/12*Assumptions!DP$74</f>
        <v/>
      </c>
      <c r="DQ8" s="60">
        <f>-DQ$7/12*Assumptions!DQ$74</f>
        <v/>
      </c>
      <c r="DR8" s="60">
        <f>-DR$7/12*Assumptions!DR$74</f>
        <v/>
      </c>
      <c r="DS8" s="60">
        <f>-DS$7/12*Assumptions!DS$74</f>
        <v/>
      </c>
      <c r="DT8" s="60">
        <f>-DT$7/12*Assumptions!DT$74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3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0">
        <f>RenoCostUnit*MF_UnitCount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3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3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0">
        <f>SUM(B7:B10)</f>
        <v/>
      </c>
    </row>
    <row r="12">
      <c r="A12" s="10" t="inlineStr">
        <is>
          <t>Equity-funded capital</t>
        </is>
      </c>
      <c r="B12" s="50">
        <f>SUMIF(C7:C10,"Equity",B7:B10)</f>
        <v/>
      </c>
    </row>
    <row r="13">
      <c r="A13" s="10" t="inlineStr">
        <is>
          <t>Financed capital (loan holdback)</t>
        </is>
      </c>
      <c r="B13" s="50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0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0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0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0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0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0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0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0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0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0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0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0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0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0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0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0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0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0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0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0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0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0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0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0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0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0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0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0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0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0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0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0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0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0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0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0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0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0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0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0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0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0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0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0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0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0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0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0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0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0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0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0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0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0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0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0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0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0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0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0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0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0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0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0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0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0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0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0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0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0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0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0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0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0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0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0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0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0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0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0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0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0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0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0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0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0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0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0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0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0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0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0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0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0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0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0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0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0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0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0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0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0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0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0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0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0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0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0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0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0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0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0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0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0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0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0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0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0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0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0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Retail rollover TI/LC ($/mo, neg)</t>
        </is>
      </c>
      <c r="E18" s="48">
        <f>-'Retail Revenue'!E$41</f>
        <v/>
      </c>
      <c r="F18" s="48">
        <f>-'Retail Revenue'!F$41</f>
        <v/>
      </c>
      <c r="G18" s="48">
        <f>-'Retail Revenue'!G$41</f>
        <v/>
      </c>
      <c r="H18" s="48">
        <f>-'Retail Revenue'!H$41</f>
        <v/>
      </c>
      <c r="I18" s="48">
        <f>-'Retail Revenue'!I$41</f>
        <v/>
      </c>
      <c r="J18" s="48">
        <f>-'Retail Revenue'!J$41</f>
        <v/>
      </c>
      <c r="K18" s="48">
        <f>-'Retail Revenue'!K$41</f>
        <v/>
      </c>
      <c r="L18" s="48">
        <f>-'Retail Revenue'!L$41</f>
        <v/>
      </c>
      <c r="M18" s="48">
        <f>-'Retail Revenue'!M$41</f>
        <v/>
      </c>
      <c r="N18" s="48">
        <f>-'Retail Revenue'!N$41</f>
        <v/>
      </c>
      <c r="O18" s="48">
        <f>-'Retail Revenue'!O$41</f>
        <v/>
      </c>
      <c r="P18" s="48">
        <f>-'Retail Revenue'!P$41</f>
        <v/>
      </c>
      <c r="Q18" s="48">
        <f>-'Retail Revenue'!Q$41</f>
        <v/>
      </c>
      <c r="R18" s="48">
        <f>-'Retail Revenue'!R$41</f>
        <v/>
      </c>
      <c r="S18" s="48">
        <f>-'Retail Revenue'!S$41</f>
        <v/>
      </c>
      <c r="T18" s="48">
        <f>-'Retail Revenue'!T$41</f>
        <v/>
      </c>
      <c r="U18" s="48">
        <f>-'Retail Revenue'!U$41</f>
        <v/>
      </c>
      <c r="V18" s="48">
        <f>-'Retail Revenue'!V$41</f>
        <v/>
      </c>
      <c r="W18" s="48">
        <f>-'Retail Revenue'!W$41</f>
        <v/>
      </c>
      <c r="X18" s="48">
        <f>-'Retail Revenue'!X$41</f>
        <v/>
      </c>
      <c r="Y18" s="48">
        <f>-'Retail Revenue'!Y$41</f>
        <v/>
      </c>
      <c r="Z18" s="48">
        <f>-'Retail Revenue'!Z$41</f>
        <v/>
      </c>
      <c r="AA18" s="48">
        <f>-'Retail Revenue'!AA$41</f>
        <v/>
      </c>
      <c r="AB18" s="48">
        <f>-'Retail Revenue'!AB$41</f>
        <v/>
      </c>
      <c r="AC18" s="48">
        <f>-'Retail Revenue'!AC$41</f>
        <v/>
      </c>
      <c r="AD18" s="48">
        <f>-'Retail Revenue'!AD$41</f>
        <v/>
      </c>
      <c r="AE18" s="48">
        <f>-'Retail Revenue'!AE$41</f>
        <v/>
      </c>
      <c r="AF18" s="48">
        <f>-'Retail Revenue'!AF$41</f>
        <v/>
      </c>
      <c r="AG18" s="48">
        <f>-'Retail Revenue'!AG$41</f>
        <v/>
      </c>
      <c r="AH18" s="48">
        <f>-'Retail Revenue'!AH$41</f>
        <v/>
      </c>
      <c r="AI18" s="48">
        <f>-'Retail Revenue'!AI$41</f>
        <v/>
      </c>
      <c r="AJ18" s="48">
        <f>-'Retail Revenue'!AJ$41</f>
        <v/>
      </c>
      <c r="AK18" s="48">
        <f>-'Retail Revenue'!AK$41</f>
        <v/>
      </c>
      <c r="AL18" s="48">
        <f>-'Retail Revenue'!AL$41</f>
        <v/>
      </c>
      <c r="AM18" s="48">
        <f>-'Retail Revenue'!AM$41</f>
        <v/>
      </c>
      <c r="AN18" s="48">
        <f>-'Retail Revenue'!AN$41</f>
        <v/>
      </c>
      <c r="AO18" s="48">
        <f>-'Retail Revenue'!AO$41</f>
        <v/>
      </c>
      <c r="AP18" s="48">
        <f>-'Retail Revenue'!AP$41</f>
        <v/>
      </c>
      <c r="AQ18" s="48">
        <f>-'Retail Revenue'!AQ$41</f>
        <v/>
      </c>
      <c r="AR18" s="48">
        <f>-'Retail Revenue'!AR$41</f>
        <v/>
      </c>
      <c r="AS18" s="48">
        <f>-'Retail Revenue'!AS$41</f>
        <v/>
      </c>
      <c r="AT18" s="48">
        <f>-'Retail Revenue'!AT$41</f>
        <v/>
      </c>
      <c r="AU18" s="48">
        <f>-'Retail Revenue'!AU$41</f>
        <v/>
      </c>
      <c r="AV18" s="48">
        <f>-'Retail Revenue'!AV$41</f>
        <v/>
      </c>
      <c r="AW18" s="48">
        <f>-'Retail Revenue'!AW$41</f>
        <v/>
      </c>
      <c r="AX18" s="48">
        <f>-'Retail Revenue'!AX$41</f>
        <v/>
      </c>
      <c r="AY18" s="48">
        <f>-'Retail Revenue'!AY$41</f>
        <v/>
      </c>
      <c r="AZ18" s="48">
        <f>-'Retail Revenue'!AZ$41</f>
        <v/>
      </c>
      <c r="BA18" s="48">
        <f>-'Retail Revenue'!BA$41</f>
        <v/>
      </c>
      <c r="BB18" s="48">
        <f>-'Retail Revenue'!BB$41</f>
        <v/>
      </c>
      <c r="BC18" s="48">
        <f>-'Retail Revenue'!BC$41</f>
        <v/>
      </c>
      <c r="BD18" s="48">
        <f>-'Retail Revenue'!BD$41</f>
        <v/>
      </c>
      <c r="BE18" s="48">
        <f>-'Retail Revenue'!BE$41</f>
        <v/>
      </c>
      <c r="BF18" s="48">
        <f>-'Retail Revenue'!BF$41</f>
        <v/>
      </c>
      <c r="BG18" s="48">
        <f>-'Retail Revenue'!BG$41</f>
        <v/>
      </c>
      <c r="BH18" s="48">
        <f>-'Retail Revenue'!BH$41</f>
        <v/>
      </c>
      <c r="BI18" s="48">
        <f>-'Retail Revenue'!BI$41</f>
        <v/>
      </c>
      <c r="BJ18" s="48">
        <f>-'Retail Revenue'!BJ$41</f>
        <v/>
      </c>
      <c r="BK18" s="48">
        <f>-'Retail Revenue'!BK$41</f>
        <v/>
      </c>
      <c r="BL18" s="48">
        <f>-'Retail Revenue'!BL$41</f>
        <v/>
      </c>
      <c r="BM18" s="48">
        <f>-'Retail Revenue'!BM$41</f>
        <v/>
      </c>
      <c r="BN18" s="48">
        <f>-'Retail Revenue'!BN$41</f>
        <v/>
      </c>
      <c r="BO18" s="48">
        <f>-'Retail Revenue'!BO$41</f>
        <v/>
      </c>
      <c r="BP18" s="48">
        <f>-'Retail Revenue'!BP$41</f>
        <v/>
      </c>
      <c r="BQ18" s="48">
        <f>-'Retail Revenue'!BQ$41</f>
        <v/>
      </c>
      <c r="BR18" s="48">
        <f>-'Retail Revenue'!BR$41</f>
        <v/>
      </c>
      <c r="BS18" s="48">
        <f>-'Retail Revenue'!BS$41</f>
        <v/>
      </c>
      <c r="BT18" s="48">
        <f>-'Retail Revenue'!BT$41</f>
        <v/>
      </c>
      <c r="BU18" s="48">
        <f>-'Retail Revenue'!BU$41</f>
        <v/>
      </c>
      <c r="BV18" s="48">
        <f>-'Retail Revenue'!BV$41</f>
        <v/>
      </c>
      <c r="BW18" s="48">
        <f>-'Retail Revenue'!BW$41</f>
        <v/>
      </c>
      <c r="BX18" s="48">
        <f>-'Retail Revenue'!BX$41</f>
        <v/>
      </c>
      <c r="BY18" s="48">
        <f>-'Retail Revenue'!BY$41</f>
        <v/>
      </c>
      <c r="BZ18" s="48">
        <f>-'Retail Revenue'!BZ$41</f>
        <v/>
      </c>
      <c r="CA18" s="48">
        <f>-'Retail Revenue'!CA$41</f>
        <v/>
      </c>
      <c r="CB18" s="48">
        <f>-'Retail Revenue'!CB$41</f>
        <v/>
      </c>
      <c r="CC18" s="48">
        <f>-'Retail Revenue'!CC$41</f>
        <v/>
      </c>
      <c r="CD18" s="48">
        <f>-'Retail Revenue'!CD$41</f>
        <v/>
      </c>
      <c r="CE18" s="48">
        <f>-'Retail Revenue'!CE$41</f>
        <v/>
      </c>
      <c r="CF18" s="48">
        <f>-'Retail Revenue'!CF$41</f>
        <v/>
      </c>
      <c r="CG18" s="48">
        <f>-'Retail Revenue'!CG$41</f>
        <v/>
      </c>
      <c r="CH18" s="48">
        <f>-'Retail Revenue'!CH$41</f>
        <v/>
      </c>
      <c r="CI18" s="48">
        <f>-'Retail Revenue'!CI$41</f>
        <v/>
      </c>
      <c r="CJ18" s="48">
        <f>-'Retail Revenue'!CJ$41</f>
        <v/>
      </c>
      <c r="CK18" s="48">
        <f>-'Retail Revenue'!CK$41</f>
        <v/>
      </c>
      <c r="CL18" s="48">
        <f>-'Retail Revenue'!CL$41</f>
        <v/>
      </c>
      <c r="CM18" s="48">
        <f>-'Retail Revenue'!CM$41</f>
        <v/>
      </c>
      <c r="CN18" s="48">
        <f>-'Retail Revenue'!CN$41</f>
        <v/>
      </c>
      <c r="CO18" s="48">
        <f>-'Retail Revenue'!CO$41</f>
        <v/>
      </c>
      <c r="CP18" s="48">
        <f>-'Retail Revenue'!CP$41</f>
        <v/>
      </c>
      <c r="CQ18" s="48">
        <f>-'Retail Revenue'!CQ$41</f>
        <v/>
      </c>
      <c r="CR18" s="48">
        <f>-'Retail Revenue'!CR$41</f>
        <v/>
      </c>
      <c r="CS18" s="48">
        <f>-'Retail Revenue'!CS$41</f>
        <v/>
      </c>
      <c r="CT18" s="48">
        <f>-'Retail Revenue'!CT$41</f>
        <v/>
      </c>
      <c r="CU18" s="48">
        <f>-'Retail Revenue'!CU$41</f>
        <v/>
      </c>
      <c r="CV18" s="48">
        <f>-'Retail Revenue'!CV$41</f>
        <v/>
      </c>
      <c r="CW18" s="48">
        <f>-'Retail Revenue'!CW$41</f>
        <v/>
      </c>
      <c r="CX18" s="48">
        <f>-'Retail Revenue'!CX$41</f>
        <v/>
      </c>
      <c r="CY18" s="48">
        <f>-'Retail Revenue'!CY$41</f>
        <v/>
      </c>
      <c r="CZ18" s="48">
        <f>-'Retail Revenue'!CZ$41</f>
        <v/>
      </c>
      <c r="DA18" s="48">
        <f>-'Retail Revenue'!DA$41</f>
        <v/>
      </c>
      <c r="DB18" s="48">
        <f>-'Retail Revenue'!DB$41</f>
        <v/>
      </c>
      <c r="DC18" s="48">
        <f>-'Retail Revenue'!DC$41</f>
        <v/>
      </c>
      <c r="DD18" s="48">
        <f>-'Retail Revenue'!DD$41</f>
        <v/>
      </c>
      <c r="DE18" s="48">
        <f>-'Retail Revenue'!DE$41</f>
        <v/>
      </c>
      <c r="DF18" s="48">
        <f>-'Retail Revenue'!DF$41</f>
        <v/>
      </c>
      <c r="DG18" s="48">
        <f>-'Retail Revenue'!DG$41</f>
        <v/>
      </c>
      <c r="DH18" s="48">
        <f>-'Retail Revenue'!DH$41</f>
        <v/>
      </c>
      <c r="DI18" s="48">
        <f>-'Retail Revenue'!DI$41</f>
        <v/>
      </c>
      <c r="DJ18" s="48">
        <f>-'Retail Revenue'!DJ$41</f>
        <v/>
      </c>
      <c r="DK18" s="48">
        <f>-'Retail Revenue'!DK$41</f>
        <v/>
      </c>
      <c r="DL18" s="48">
        <f>-'Retail Revenue'!DL$41</f>
        <v/>
      </c>
      <c r="DM18" s="48">
        <f>-'Retail Revenue'!DM$41</f>
        <v/>
      </c>
      <c r="DN18" s="48">
        <f>-'Retail Revenue'!DN$41</f>
        <v/>
      </c>
      <c r="DO18" s="48">
        <f>-'Retail Revenue'!DO$41</f>
        <v/>
      </c>
      <c r="DP18" s="48">
        <f>-'Retail Revenue'!DP$41</f>
        <v/>
      </c>
      <c r="DQ18" s="48">
        <f>-'Retail Revenue'!DQ$41</f>
        <v/>
      </c>
      <c r="DR18" s="48">
        <f>-'Retail Revenue'!DR$41</f>
        <v/>
      </c>
      <c r="DS18" s="48">
        <f>-'Retail Revenue'!DS$41</f>
        <v/>
      </c>
      <c r="DT18" s="48">
        <f>-'Retail Revenue'!DT$41</f>
        <v/>
      </c>
    </row>
    <row r="19">
      <c r="A19" s="3" t="inlineStr">
        <is>
          <t>Total capital outflow ($/mo, neg)</t>
        </is>
      </c>
      <c r="E19" s="60">
        <f>E$17+E$18</f>
        <v/>
      </c>
      <c r="F19" s="60">
        <f>F$17+F$18</f>
        <v/>
      </c>
      <c r="G19" s="60">
        <f>G$17+G$18</f>
        <v/>
      </c>
      <c r="H19" s="60">
        <f>H$17+H$18</f>
        <v/>
      </c>
      <c r="I19" s="60">
        <f>I$17+I$18</f>
        <v/>
      </c>
      <c r="J19" s="60">
        <f>J$17+J$18</f>
        <v/>
      </c>
      <c r="K19" s="60">
        <f>K$17+K$18</f>
        <v/>
      </c>
      <c r="L19" s="60">
        <f>L$17+L$18</f>
        <v/>
      </c>
      <c r="M19" s="60">
        <f>M$17+M$18</f>
        <v/>
      </c>
      <c r="N19" s="60">
        <f>N$17+N$18</f>
        <v/>
      </c>
      <c r="O19" s="60">
        <f>O$17+O$18</f>
        <v/>
      </c>
      <c r="P19" s="60">
        <f>P$17+P$18</f>
        <v/>
      </c>
      <c r="Q19" s="60">
        <f>Q$17+Q$18</f>
        <v/>
      </c>
      <c r="R19" s="60">
        <f>R$17+R$18</f>
        <v/>
      </c>
      <c r="S19" s="60">
        <f>S$17+S$18</f>
        <v/>
      </c>
      <c r="T19" s="60">
        <f>T$17+T$18</f>
        <v/>
      </c>
      <c r="U19" s="60">
        <f>U$17+U$18</f>
        <v/>
      </c>
      <c r="V19" s="60">
        <f>V$17+V$18</f>
        <v/>
      </c>
      <c r="W19" s="60">
        <f>W$17+W$18</f>
        <v/>
      </c>
      <c r="X19" s="60">
        <f>X$17+X$18</f>
        <v/>
      </c>
      <c r="Y19" s="60">
        <f>Y$17+Y$18</f>
        <v/>
      </c>
      <c r="Z19" s="60">
        <f>Z$17+Z$18</f>
        <v/>
      </c>
      <c r="AA19" s="60">
        <f>AA$17+AA$18</f>
        <v/>
      </c>
      <c r="AB19" s="60">
        <f>AB$17+AB$18</f>
        <v/>
      </c>
      <c r="AC19" s="60">
        <f>AC$17+AC$18</f>
        <v/>
      </c>
      <c r="AD19" s="60">
        <f>AD$17+AD$18</f>
        <v/>
      </c>
      <c r="AE19" s="60">
        <f>AE$17+AE$18</f>
        <v/>
      </c>
      <c r="AF19" s="60">
        <f>AF$17+AF$18</f>
        <v/>
      </c>
      <c r="AG19" s="60">
        <f>AG$17+AG$18</f>
        <v/>
      </c>
      <c r="AH19" s="60">
        <f>AH$17+AH$18</f>
        <v/>
      </c>
      <c r="AI19" s="60">
        <f>AI$17+AI$18</f>
        <v/>
      </c>
      <c r="AJ19" s="60">
        <f>AJ$17+AJ$18</f>
        <v/>
      </c>
      <c r="AK19" s="60">
        <f>AK$17+AK$18</f>
        <v/>
      </c>
      <c r="AL19" s="60">
        <f>AL$17+AL$18</f>
        <v/>
      </c>
      <c r="AM19" s="60">
        <f>AM$17+AM$18</f>
        <v/>
      </c>
      <c r="AN19" s="60">
        <f>AN$17+AN$18</f>
        <v/>
      </c>
      <c r="AO19" s="60">
        <f>AO$17+AO$18</f>
        <v/>
      </c>
      <c r="AP19" s="60">
        <f>AP$17+AP$18</f>
        <v/>
      </c>
      <c r="AQ19" s="60">
        <f>AQ$17+AQ$18</f>
        <v/>
      </c>
      <c r="AR19" s="60">
        <f>AR$17+AR$18</f>
        <v/>
      </c>
      <c r="AS19" s="60">
        <f>AS$17+AS$18</f>
        <v/>
      </c>
      <c r="AT19" s="60">
        <f>AT$17+AT$18</f>
        <v/>
      </c>
      <c r="AU19" s="60">
        <f>AU$17+AU$18</f>
        <v/>
      </c>
      <c r="AV19" s="60">
        <f>AV$17+AV$18</f>
        <v/>
      </c>
      <c r="AW19" s="60">
        <f>AW$17+AW$18</f>
        <v/>
      </c>
      <c r="AX19" s="60">
        <f>AX$17+AX$18</f>
        <v/>
      </c>
      <c r="AY19" s="60">
        <f>AY$17+AY$18</f>
        <v/>
      </c>
      <c r="AZ19" s="60">
        <f>AZ$17+AZ$18</f>
        <v/>
      </c>
      <c r="BA19" s="60">
        <f>BA$17+BA$18</f>
        <v/>
      </c>
      <c r="BB19" s="60">
        <f>BB$17+BB$18</f>
        <v/>
      </c>
      <c r="BC19" s="60">
        <f>BC$17+BC$18</f>
        <v/>
      </c>
      <c r="BD19" s="60">
        <f>BD$17+BD$18</f>
        <v/>
      </c>
      <c r="BE19" s="60">
        <f>BE$17+BE$18</f>
        <v/>
      </c>
      <c r="BF19" s="60">
        <f>BF$17+BF$18</f>
        <v/>
      </c>
      <c r="BG19" s="60">
        <f>BG$17+BG$18</f>
        <v/>
      </c>
      <c r="BH19" s="60">
        <f>BH$17+BH$18</f>
        <v/>
      </c>
      <c r="BI19" s="60">
        <f>BI$17+BI$18</f>
        <v/>
      </c>
      <c r="BJ19" s="60">
        <f>BJ$17+BJ$18</f>
        <v/>
      </c>
      <c r="BK19" s="60">
        <f>BK$17+BK$18</f>
        <v/>
      </c>
      <c r="BL19" s="60">
        <f>BL$17+BL$18</f>
        <v/>
      </c>
      <c r="BM19" s="60">
        <f>BM$17+BM$18</f>
        <v/>
      </c>
      <c r="BN19" s="60">
        <f>BN$17+BN$18</f>
        <v/>
      </c>
      <c r="BO19" s="60">
        <f>BO$17+BO$18</f>
        <v/>
      </c>
      <c r="BP19" s="60">
        <f>BP$17+BP$18</f>
        <v/>
      </c>
      <c r="BQ19" s="60">
        <f>BQ$17+BQ$18</f>
        <v/>
      </c>
      <c r="BR19" s="60">
        <f>BR$17+BR$18</f>
        <v/>
      </c>
      <c r="BS19" s="60">
        <f>BS$17+BS$18</f>
        <v/>
      </c>
      <c r="BT19" s="60">
        <f>BT$17+BT$18</f>
        <v/>
      </c>
      <c r="BU19" s="60">
        <f>BU$17+BU$18</f>
        <v/>
      </c>
      <c r="BV19" s="60">
        <f>BV$17+BV$18</f>
        <v/>
      </c>
      <c r="BW19" s="60">
        <f>BW$17+BW$18</f>
        <v/>
      </c>
      <c r="BX19" s="60">
        <f>BX$17+BX$18</f>
        <v/>
      </c>
      <c r="BY19" s="60">
        <f>BY$17+BY$18</f>
        <v/>
      </c>
      <c r="BZ19" s="60">
        <f>BZ$17+BZ$18</f>
        <v/>
      </c>
      <c r="CA19" s="60">
        <f>CA$17+CA$18</f>
        <v/>
      </c>
      <c r="CB19" s="60">
        <f>CB$17+CB$18</f>
        <v/>
      </c>
      <c r="CC19" s="60">
        <f>CC$17+CC$18</f>
        <v/>
      </c>
      <c r="CD19" s="60">
        <f>CD$17+CD$18</f>
        <v/>
      </c>
      <c r="CE19" s="60">
        <f>CE$17+CE$18</f>
        <v/>
      </c>
      <c r="CF19" s="60">
        <f>CF$17+CF$18</f>
        <v/>
      </c>
      <c r="CG19" s="60">
        <f>CG$17+CG$18</f>
        <v/>
      </c>
      <c r="CH19" s="60">
        <f>CH$17+CH$18</f>
        <v/>
      </c>
      <c r="CI19" s="60">
        <f>CI$17+CI$18</f>
        <v/>
      </c>
      <c r="CJ19" s="60">
        <f>CJ$17+CJ$18</f>
        <v/>
      </c>
      <c r="CK19" s="60">
        <f>CK$17+CK$18</f>
        <v/>
      </c>
      <c r="CL19" s="60">
        <f>CL$17+CL$18</f>
        <v/>
      </c>
      <c r="CM19" s="60">
        <f>CM$17+CM$18</f>
        <v/>
      </c>
      <c r="CN19" s="60">
        <f>CN$17+CN$18</f>
        <v/>
      </c>
      <c r="CO19" s="60">
        <f>CO$17+CO$18</f>
        <v/>
      </c>
      <c r="CP19" s="60">
        <f>CP$17+CP$18</f>
        <v/>
      </c>
      <c r="CQ19" s="60">
        <f>CQ$17+CQ$18</f>
        <v/>
      </c>
      <c r="CR19" s="60">
        <f>CR$17+CR$18</f>
        <v/>
      </c>
      <c r="CS19" s="60">
        <f>CS$17+CS$18</f>
        <v/>
      </c>
      <c r="CT19" s="60">
        <f>CT$17+CT$18</f>
        <v/>
      </c>
      <c r="CU19" s="60">
        <f>CU$17+CU$18</f>
        <v/>
      </c>
      <c r="CV19" s="60">
        <f>CV$17+CV$18</f>
        <v/>
      </c>
      <c r="CW19" s="60">
        <f>CW$17+CW$18</f>
        <v/>
      </c>
      <c r="CX19" s="60">
        <f>CX$17+CX$18</f>
        <v/>
      </c>
      <c r="CY19" s="60">
        <f>CY$17+CY$18</f>
        <v/>
      </c>
      <c r="CZ19" s="60">
        <f>CZ$17+CZ$18</f>
        <v/>
      </c>
      <c r="DA19" s="60">
        <f>DA$17+DA$18</f>
        <v/>
      </c>
      <c r="DB19" s="60">
        <f>DB$17+DB$18</f>
        <v/>
      </c>
      <c r="DC19" s="60">
        <f>DC$17+DC$18</f>
        <v/>
      </c>
      <c r="DD19" s="60">
        <f>DD$17+DD$18</f>
        <v/>
      </c>
      <c r="DE19" s="60">
        <f>DE$17+DE$18</f>
        <v/>
      </c>
      <c r="DF19" s="60">
        <f>DF$17+DF$18</f>
        <v/>
      </c>
      <c r="DG19" s="60">
        <f>DG$17+DG$18</f>
        <v/>
      </c>
      <c r="DH19" s="60">
        <f>DH$17+DH$18</f>
        <v/>
      </c>
      <c r="DI19" s="60">
        <f>DI$17+DI$18</f>
        <v/>
      </c>
      <c r="DJ19" s="60">
        <f>DJ$17+DJ$18</f>
        <v/>
      </c>
      <c r="DK19" s="60">
        <f>DK$17+DK$18</f>
        <v/>
      </c>
      <c r="DL19" s="60">
        <f>DL$17+DL$18</f>
        <v/>
      </c>
      <c r="DM19" s="60">
        <f>DM$17+DM$18</f>
        <v/>
      </c>
      <c r="DN19" s="60">
        <f>DN$17+DN$18</f>
        <v/>
      </c>
      <c r="DO19" s="60">
        <f>DO$17+DO$18</f>
        <v/>
      </c>
      <c r="DP19" s="60">
        <f>DP$17+DP$18</f>
        <v/>
      </c>
      <c r="DQ19" s="60">
        <f>DQ$17+DQ$18</f>
        <v/>
      </c>
      <c r="DR19" s="60">
        <f>DR$17+DR$18</f>
        <v/>
      </c>
      <c r="DS19" s="60">
        <f>DS$17+DS$18</f>
        <v/>
      </c>
      <c r="DT19" s="60">
        <f>DT$17+DT$18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5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Acquisition Sizing, Min-of Constraints,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Loan terms (inputs)</t>
        </is>
      </c>
      <c r="B5" s="9" t="n"/>
      <c r="C5" s="9" t="n"/>
      <c r="D5" s="9" t="n"/>
    </row>
    <row r="6">
      <c r="A6" s="10" t="inlineStr">
        <is>
          <t>Max LTV (%)</t>
        </is>
      </c>
      <c r="B6" s="54" t="n">
        <v>0.65</v>
      </c>
    </row>
    <row r="7">
      <c r="A7" s="10" t="inlineStr">
        <is>
          <t>Max LTC (%)</t>
        </is>
      </c>
      <c r="B7" s="54" t="n">
        <v>0.7</v>
      </c>
    </row>
    <row r="8">
      <c r="A8" s="10" t="inlineStr">
        <is>
          <t>Min DSCR (x)</t>
        </is>
      </c>
      <c r="B8" s="61" t="n">
        <v>1.25</v>
      </c>
    </row>
    <row r="9">
      <c r="A9" s="10" t="inlineStr">
        <is>
          <t>Min Debt Yield (%)</t>
        </is>
      </c>
      <c r="B9" s="54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2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5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4" t="n">
        <v>0.01</v>
      </c>
    </row>
    <row r="18">
      <c r="A18" s="8" t="inlineStr">
        <is>
          <t>Sizing inputs (NOI &amp; value)</t>
        </is>
      </c>
      <c r="B18" s="9" t="n"/>
      <c r="C18" s="9" t="n"/>
      <c r="D18" s="9" t="n"/>
    </row>
    <row r="19">
      <c r="A19" s="10" t="inlineStr">
        <is>
          <t>Stabilized annual NOI ($) [from CF]</t>
        </is>
      </c>
      <c r="B19" s="48">
        <f>SUM('Monthly CF'!R$12:AC$12)</f>
        <v/>
      </c>
    </row>
    <row r="20">
      <c r="A20" s="10" t="inlineStr">
        <is>
          <t>Going-in annual NOI ($) [yr1 from CF]</t>
        </is>
      </c>
      <c r="B20" s="48">
        <f>'Monthly CF'!F$12*0+SUM('Monthly CF'!F$12:Q$12)</f>
        <v/>
      </c>
    </row>
    <row r="21">
      <c r="A21" s="10" t="inlineStr">
        <is>
          <t>Annual debt constant (amortizing)</t>
        </is>
      </c>
      <c r="B21" s="35">
        <f>LoanRate/12/(1-(1+LoanRate/12)^(-AmortYears*12))*12</f>
        <v/>
      </c>
    </row>
    <row r="23">
      <c r="A23" s="8" t="inlineStr">
        <is>
          <t>Max loan under each active constraint (min-of binds)</t>
        </is>
      </c>
      <c r="B23" s="9" t="n"/>
      <c r="C23" s="9" t="n"/>
      <c r="D23" s="9" t="n"/>
      <c r="E23" s="9" t="n"/>
      <c r="F23" s="9" t="n"/>
    </row>
    <row r="24">
      <c r="A24" s="10" t="inlineStr">
        <is>
          <t>Max loan — LTV</t>
        </is>
      </c>
      <c r="B24" s="50">
        <f>IF(Use_LTV="On",PurchasePrice*MaxLTV,1E15)</f>
        <v/>
      </c>
    </row>
    <row r="25">
      <c r="A25" s="10" t="inlineStr">
        <is>
          <t>Max loan — LTC</t>
        </is>
      </c>
      <c r="B25" s="50">
        <f>IF(Use_LTC="On",TotalCost*MaxLTC,1E15)</f>
        <v/>
      </c>
    </row>
    <row r="26">
      <c r="A26" s="10" t="inlineStr">
        <is>
          <t>Max loan — DSCR</t>
        </is>
      </c>
      <c r="B26" s="50">
        <f>IF(Use_DSCR="On",GoingInNOI/(MinDSCR*DebtConstant),1E15)</f>
        <v/>
      </c>
    </row>
    <row r="27">
      <c r="A27" s="10" t="inlineStr">
        <is>
          <t>Max loan — Debt Yield</t>
        </is>
      </c>
      <c r="B27" s="50">
        <f>IF(Use_DY="On",GoingInNOI/MinDebtYield,1E15)</f>
        <v/>
      </c>
    </row>
    <row r="28">
      <c r="A28" s="3" t="inlineStr">
        <is>
          <t>Loan amount (MIN of active)</t>
        </is>
      </c>
      <c r="B28" s="60">
        <f>MIN(Loan_LTV,Loan_LTC,Loan_DSCR,Loan_DY)+FinancedCapBudget</f>
        <v/>
      </c>
    </row>
    <row r="29">
      <c r="A29" s="10" t="inlineStr">
        <is>
          <t>Binding constraint</t>
        </is>
      </c>
      <c r="B29" s="18">
        <f>IF(LoanAmount-FinancedCapBudget=Loan_LTV,"LTV",IF(LoanAmount-FinancedCapBudget=Loan_LTC,"LTC",IF(LoanAmount-FinancedCapBudget=Loan_DSCR,"DSCR","Debt Yield")))</f>
        <v/>
      </c>
    </row>
    <row r="30">
      <c r="A30" s="10" t="inlineStr">
        <is>
          <t>Financing costs ($)</t>
        </is>
      </c>
      <c r="B30" s="50">
        <f>LoanAmount*FinanceCostPct</f>
        <v/>
      </c>
    </row>
    <row r="32">
      <c r="A32" s="8" t="inlineStr">
        <is>
          <t>Refi (toggle #5)</t>
        </is>
      </c>
      <c r="B32" s="9" t="n"/>
      <c r="C32" s="9" t="n"/>
      <c r="D32" s="9" t="n"/>
    </row>
    <row r="33">
      <c r="A33" s="10" t="inlineStr">
        <is>
          <t>Refi month</t>
        </is>
      </c>
      <c r="B33" s="55" t="n">
        <v>36</v>
      </c>
    </row>
    <row r="34">
      <c r="A34" s="10" t="inlineStr">
        <is>
          <t>Refi cap on stabilized value (%)</t>
        </is>
      </c>
      <c r="B34" s="27" t="n">
        <v>0.055</v>
      </c>
    </row>
    <row r="35">
      <c r="A35" s="10" t="inlineStr">
        <is>
          <t>Refi LTV (%)</t>
        </is>
      </c>
      <c r="B35" s="54" t="n">
        <v>0.65</v>
      </c>
    </row>
    <row r="36">
      <c r="A36" s="10" t="inlineStr">
        <is>
          <t>Refi cost (% of new loan)</t>
        </is>
      </c>
      <c r="B36" s="54" t="n">
        <v>0.01</v>
      </c>
    </row>
    <row r="37">
      <c r="A37" s="10" t="inlineStr">
        <is>
          <t>Stabilized value (for refi)</t>
        </is>
      </c>
      <c r="B37" s="50">
        <f>StabNOI/RefiCap</f>
        <v/>
      </c>
    </row>
    <row r="38">
      <c r="A38" s="10" t="inlineStr">
        <is>
          <t>New refi loan</t>
        </is>
      </c>
      <c r="B38" s="50">
        <f>IF(RefiOn="On",MIN(StabValue*RefiLTV,StabNOI/(MinDSCR*DebtConstant)),0)</f>
        <v/>
      </c>
    </row>
    <row r="41">
      <c r="A41" s="8" t="inlineStr">
        <is>
          <t>MONTHLY DEBT SCHEDULE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3" t="inlineStr">
        <is>
          <t>Month index</t>
        </is>
      </c>
      <c r="E42" s="6">
        <f>Assumptions!E$72</f>
        <v/>
      </c>
      <c r="F42" s="6">
        <f>Assumptions!F$72</f>
        <v/>
      </c>
      <c r="G42" s="6">
        <f>Assumptions!G$72</f>
        <v/>
      </c>
      <c r="H42" s="6">
        <f>Assumptions!H$72</f>
        <v/>
      </c>
      <c r="I42" s="6">
        <f>Assumptions!I$72</f>
        <v/>
      </c>
      <c r="J42" s="6">
        <f>Assumptions!J$72</f>
        <v/>
      </c>
      <c r="K42" s="6">
        <f>Assumptions!K$72</f>
        <v/>
      </c>
      <c r="L42" s="6">
        <f>Assumptions!L$72</f>
        <v/>
      </c>
      <c r="M42" s="6">
        <f>Assumptions!M$72</f>
        <v/>
      </c>
      <c r="N42" s="6">
        <f>Assumptions!N$72</f>
        <v/>
      </c>
      <c r="O42" s="6">
        <f>Assumptions!O$72</f>
        <v/>
      </c>
      <c r="P42" s="6">
        <f>Assumptions!P$72</f>
        <v/>
      </c>
      <c r="Q42" s="6">
        <f>Assumptions!Q$72</f>
        <v/>
      </c>
      <c r="R42" s="6">
        <f>Assumptions!R$72</f>
        <v/>
      </c>
      <c r="S42" s="6">
        <f>Assumptions!S$72</f>
        <v/>
      </c>
      <c r="T42" s="6">
        <f>Assumptions!T$72</f>
        <v/>
      </c>
      <c r="U42" s="6">
        <f>Assumptions!U$72</f>
        <v/>
      </c>
      <c r="V42" s="6">
        <f>Assumptions!V$72</f>
        <v/>
      </c>
      <c r="W42" s="6">
        <f>Assumptions!W$72</f>
        <v/>
      </c>
      <c r="X42" s="6">
        <f>Assumptions!X$72</f>
        <v/>
      </c>
      <c r="Y42" s="6">
        <f>Assumptions!Y$72</f>
        <v/>
      </c>
      <c r="Z42" s="6">
        <f>Assumptions!Z$72</f>
        <v/>
      </c>
      <c r="AA42" s="6">
        <f>Assumptions!AA$72</f>
        <v/>
      </c>
      <c r="AB42" s="6">
        <f>Assumptions!AB$72</f>
        <v/>
      </c>
      <c r="AC42" s="6">
        <f>Assumptions!AC$72</f>
        <v/>
      </c>
      <c r="AD42" s="6">
        <f>Assumptions!AD$72</f>
        <v/>
      </c>
      <c r="AE42" s="6">
        <f>Assumptions!AE$72</f>
        <v/>
      </c>
      <c r="AF42" s="6">
        <f>Assumptions!AF$72</f>
        <v/>
      </c>
      <c r="AG42" s="6">
        <f>Assumptions!AG$72</f>
        <v/>
      </c>
      <c r="AH42" s="6">
        <f>Assumptions!AH$72</f>
        <v/>
      </c>
      <c r="AI42" s="6">
        <f>Assumptions!AI$72</f>
        <v/>
      </c>
      <c r="AJ42" s="6">
        <f>Assumptions!AJ$72</f>
        <v/>
      </c>
      <c r="AK42" s="6">
        <f>Assumptions!AK$72</f>
        <v/>
      </c>
      <c r="AL42" s="6">
        <f>Assumptions!AL$72</f>
        <v/>
      </c>
      <c r="AM42" s="6">
        <f>Assumptions!AM$72</f>
        <v/>
      </c>
      <c r="AN42" s="6">
        <f>Assumptions!AN$72</f>
        <v/>
      </c>
      <c r="AO42" s="6">
        <f>Assumptions!AO$72</f>
        <v/>
      </c>
      <c r="AP42" s="6">
        <f>Assumptions!AP$72</f>
        <v/>
      </c>
      <c r="AQ42" s="6">
        <f>Assumptions!AQ$72</f>
        <v/>
      </c>
      <c r="AR42" s="6">
        <f>Assumptions!AR$72</f>
        <v/>
      </c>
      <c r="AS42" s="6">
        <f>Assumptions!AS$72</f>
        <v/>
      </c>
      <c r="AT42" s="6">
        <f>Assumptions!AT$72</f>
        <v/>
      </c>
      <c r="AU42" s="6">
        <f>Assumptions!AU$72</f>
        <v/>
      </c>
      <c r="AV42" s="6">
        <f>Assumptions!AV$72</f>
        <v/>
      </c>
      <c r="AW42" s="6">
        <f>Assumptions!AW$72</f>
        <v/>
      </c>
      <c r="AX42" s="6">
        <f>Assumptions!AX$72</f>
        <v/>
      </c>
      <c r="AY42" s="6">
        <f>Assumptions!AY$72</f>
        <v/>
      </c>
      <c r="AZ42" s="6">
        <f>Assumptions!AZ$72</f>
        <v/>
      </c>
      <c r="BA42" s="6">
        <f>Assumptions!BA$72</f>
        <v/>
      </c>
      <c r="BB42" s="6">
        <f>Assumptions!BB$72</f>
        <v/>
      </c>
      <c r="BC42" s="6">
        <f>Assumptions!BC$72</f>
        <v/>
      </c>
      <c r="BD42" s="6">
        <f>Assumptions!BD$72</f>
        <v/>
      </c>
      <c r="BE42" s="6">
        <f>Assumptions!BE$72</f>
        <v/>
      </c>
      <c r="BF42" s="6">
        <f>Assumptions!BF$72</f>
        <v/>
      </c>
      <c r="BG42" s="6">
        <f>Assumptions!BG$72</f>
        <v/>
      </c>
      <c r="BH42" s="6">
        <f>Assumptions!BH$72</f>
        <v/>
      </c>
      <c r="BI42" s="6">
        <f>Assumptions!BI$72</f>
        <v/>
      </c>
      <c r="BJ42" s="6">
        <f>Assumptions!BJ$72</f>
        <v/>
      </c>
      <c r="BK42" s="6">
        <f>Assumptions!BK$72</f>
        <v/>
      </c>
      <c r="BL42" s="6">
        <f>Assumptions!BL$72</f>
        <v/>
      </c>
      <c r="BM42" s="6">
        <f>Assumptions!BM$72</f>
        <v/>
      </c>
      <c r="BN42" s="6">
        <f>Assumptions!BN$72</f>
        <v/>
      </c>
      <c r="BO42" s="6">
        <f>Assumptions!BO$72</f>
        <v/>
      </c>
      <c r="BP42" s="6">
        <f>Assumptions!BP$72</f>
        <v/>
      </c>
      <c r="BQ42" s="6">
        <f>Assumptions!BQ$72</f>
        <v/>
      </c>
      <c r="BR42" s="6">
        <f>Assumptions!BR$72</f>
        <v/>
      </c>
      <c r="BS42" s="6">
        <f>Assumptions!BS$72</f>
        <v/>
      </c>
      <c r="BT42" s="6">
        <f>Assumptions!BT$72</f>
        <v/>
      </c>
      <c r="BU42" s="6">
        <f>Assumptions!BU$72</f>
        <v/>
      </c>
      <c r="BV42" s="6">
        <f>Assumptions!BV$72</f>
        <v/>
      </c>
      <c r="BW42" s="6">
        <f>Assumptions!BW$72</f>
        <v/>
      </c>
      <c r="BX42" s="6">
        <f>Assumptions!BX$72</f>
        <v/>
      </c>
      <c r="BY42" s="6">
        <f>Assumptions!BY$72</f>
        <v/>
      </c>
      <c r="BZ42" s="6">
        <f>Assumptions!BZ$72</f>
        <v/>
      </c>
      <c r="CA42" s="6">
        <f>Assumptions!CA$72</f>
        <v/>
      </c>
      <c r="CB42" s="6">
        <f>Assumptions!CB$72</f>
        <v/>
      </c>
      <c r="CC42" s="6">
        <f>Assumptions!CC$72</f>
        <v/>
      </c>
      <c r="CD42" s="6">
        <f>Assumptions!CD$72</f>
        <v/>
      </c>
      <c r="CE42" s="6">
        <f>Assumptions!CE$72</f>
        <v/>
      </c>
      <c r="CF42" s="6">
        <f>Assumptions!CF$72</f>
        <v/>
      </c>
      <c r="CG42" s="6">
        <f>Assumptions!CG$72</f>
        <v/>
      </c>
      <c r="CH42" s="6">
        <f>Assumptions!CH$72</f>
        <v/>
      </c>
      <c r="CI42" s="6">
        <f>Assumptions!CI$72</f>
        <v/>
      </c>
      <c r="CJ42" s="6">
        <f>Assumptions!CJ$72</f>
        <v/>
      </c>
      <c r="CK42" s="6">
        <f>Assumptions!CK$72</f>
        <v/>
      </c>
      <c r="CL42" s="6">
        <f>Assumptions!CL$72</f>
        <v/>
      </c>
      <c r="CM42" s="6">
        <f>Assumptions!CM$72</f>
        <v/>
      </c>
      <c r="CN42" s="6">
        <f>Assumptions!CN$72</f>
        <v/>
      </c>
      <c r="CO42" s="6">
        <f>Assumptions!CO$72</f>
        <v/>
      </c>
      <c r="CP42" s="6">
        <f>Assumptions!CP$72</f>
        <v/>
      </c>
      <c r="CQ42" s="6">
        <f>Assumptions!CQ$72</f>
        <v/>
      </c>
      <c r="CR42" s="6">
        <f>Assumptions!CR$72</f>
        <v/>
      </c>
      <c r="CS42" s="6">
        <f>Assumptions!CS$72</f>
        <v/>
      </c>
      <c r="CT42" s="6">
        <f>Assumptions!CT$72</f>
        <v/>
      </c>
      <c r="CU42" s="6">
        <f>Assumptions!CU$72</f>
        <v/>
      </c>
      <c r="CV42" s="6">
        <f>Assumptions!CV$72</f>
        <v/>
      </c>
      <c r="CW42" s="6">
        <f>Assumptions!CW$72</f>
        <v/>
      </c>
      <c r="CX42" s="6">
        <f>Assumptions!CX$72</f>
        <v/>
      </c>
      <c r="CY42" s="6">
        <f>Assumptions!CY$72</f>
        <v/>
      </c>
      <c r="CZ42" s="6">
        <f>Assumptions!CZ$72</f>
        <v/>
      </c>
      <c r="DA42" s="6">
        <f>Assumptions!DA$72</f>
        <v/>
      </c>
      <c r="DB42" s="6">
        <f>Assumptions!DB$72</f>
        <v/>
      </c>
      <c r="DC42" s="6">
        <f>Assumptions!DC$72</f>
        <v/>
      </c>
      <c r="DD42" s="6">
        <f>Assumptions!DD$72</f>
        <v/>
      </c>
      <c r="DE42" s="6">
        <f>Assumptions!DE$72</f>
        <v/>
      </c>
      <c r="DF42" s="6">
        <f>Assumptions!DF$72</f>
        <v/>
      </c>
      <c r="DG42" s="6">
        <f>Assumptions!DG$72</f>
        <v/>
      </c>
      <c r="DH42" s="6">
        <f>Assumptions!DH$72</f>
        <v/>
      </c>
      <c r="DI42" s="6">
        <f>Assumptions!DI$72</f>
        <v/>
      </c>
      <c r="DJ42" s="6">
        <f>Assumptions!DJ$72</f>
        <v/>
      </c>
      <c r="DK42" s="6">
        <f>Assumptions!DK$72</f>
        <v/>
      </c>
      <c r="DL42" s="6">
        <f>Assumptions!DL$72</f>
        <v/>
      </c>
      <c r="DM42" s="6">
        <f>Assumptions!DM$72</f>
        <v/>
      </c>
      <c r="DN42" s="6">
        <f>Assumptions!DN$72</f>
        <v/>
      </c>
      <c r="DO42" s="6">
        <f>Assumptions!DO$72</f>
        <v/>
      </c>
      <c r="DP42" s="6">
        <f>Assumptions!DP$72</f>
        <v/>
      </c>
      <c r="DQ42" s="6">
        <f>Assumptions!DQ$72</f>
        <v/>
      </c>
      <c r="DR42" s="6">
        <f>Assumptions!DR$72</f>
        <v/>
      </c>
      <c r="DS42" s="6">
        <f>Assumptions!DS$72</f>
        <v/>
      </c>
      <c r="DT42" s="6">
        <f>Assumptions!DT$72</f>
        <v/>
      </c>
    </row>
    <row r="43">
      <c r="A43" s="10" t="inlineStr">
        <is>
          <t>Loan balance — opening ($)</t>
        </is>
      </c>
      <c r="E43" s="50">
        <f>0</f>
        <v/>
      </c>
      <c r="F43" s="50">
        <f>E$44</f>
        <v/>
      </c>
      <c r="G43" s="50">
        <f>F$44</f>
        <v/>
      </c>
      <c r="H43" s="50">
        <f>G$44</f>
        <v/>
      </c>
      <c r="I43" s="50">
        <f>H$44</f>
        <v/>
      </c>
      <c r="J43" s="50">
        <f>I$44</f>
        <v/>
      </c>
      <c r="K43" s="50">
        <f>J$44</f>
        <v/>
      </c>
      <c r="L43" s="50">
        <f>K$44</f>
        <v/>
      </c>
      <c r="M43" s="50">
        <f>L$44</f>
        <v/>
      </c>
      <c r="N43" s="50">
        <f>M$44</f>
        <v/>
      </c>
      <c r="O43" s="50">
        <f>N$44</f>
        <v/>
      </c>
      <c r="P43" s="50">
        <f>O$44</f>
        <v/>
      </c>
      <c r="Q43" s="50">
        <f>P$44</f>
        <v/>
      </c>
      <c r="R43" s="50">
        <f>Q$44</f>
        <v/>
      </c>
      <c r="S43" s="50">
        <f>R$44</f>
        <v/>
      </c>
      <c r="T43" s="50">
        <f>S$44</f>
        <v/>
      </c>
      <c r="U43" s="50">
        <f>T$44</f>
        <v/>
      </c>
      <c r="V43" s="50">
        <f>U$44</f>
        <v/>
      </c>
      <c r="W43" s="50">
        <f>V$44</f>
        <v/>
      </c>
      <c r="X43" s="50">
        <f>W$44</f>
        <v/>
      </c>
      <c r="Y43" s="50">
        <f>X$44</f>
        <v/>
      </c>
      <c r="Z43" s="50">
        <f>Y$44</f>
        <v/>
      </c>
      <c r="AA43" s="50">
        <f>Z$44</f>
        <v/>
      </c>
      <c r="AB43" s="50">
        <f>AA$44</f>
        <v/>
      </c>
      <c r="AC43" s="50">
        <f>AB$44</f>
        <v/>
      </c>
      <c r="AD43" s="50">
        <f>AC$44</f>
        <v/>
      </c>
      <c r="AE43" s="50">
        <f>AD$44</f>
        <v/>
      </c>
      <c r="AF43" s="50">
        <f>AE$44</f>
        <v/>
      </c>
      <c r="AG43" s="50">
        <f>AF$44</f>
        <v/>
      </c>
      <c r="AH43" s="50">
        <f>AG$44</f>
        <v/>
      </c>
      <c r="AI43" s="50">
        <f>AH$44</f>
        <v/>
      </c>
      <c r="AJ43" s="50">
        <f>AI$44</f>
        <v/>
      </c>
      <c r="AK43" s="50">
        <f>AJ$44</f>
        <v/>
      </c>
      <c r="AL43" s="50">
        <f>AK$44</f>
        <v/>
      </c>
      <c r="AM43" s="50">
        <f>AL$44</f>
        <v/>
      </c>
      <c r="AN43" s="50">
        <f>AM$44</f>
        <v/>
      </c>
      <c r="AO43" s="50">
        <f>AN$44</f>
        <v/>
      </c>
      <c r="AP43" s="50">
        <f>AO$44</f>
        <v/>
      </c>
      <c r="AQ43" s="50">
        <f>AP$44</f>
        <v/>
      </c>
      <c r="AR43" s="50">
        <f>AQ$44</f>
        <v/>
      </c>
      <c r="AS43" s="50">
        <f>AR$44</f>
        <v/>
      </c>
      <c r="AT43" s="50">
        <f>AS$44</f>
        <v/>
      </c>
      <c r="AU43" s="50">
        <f>AT$44</f>
        <v/>
      </c>
      <c r="AV43" s="50">
        <f>AU$44</f>
        <v/>
      </c>
      <c r="AW43" s="50">
        <f>AV$44</f>
        <v/>
      </c>
      <c r="AX43" s="50">
        <f>AW$44</f>
        <v/>
      </c>
      <c r="AY43" s="50">
        <f>AX$44</f>
        <v/>
      </c>
      <c r="AZ43" s="50">
        <f>AY$44</f>
        <v/>
      </c>
      <c r="BA43" s="50">
        <f>AZ$44</f>
        <v/>
      </c>
      <c r="BB43" s="50">
        <f>BA$44</f>
        <v/>
      </c>
      <c r="BC43" s="50">
        <f>BB$44</f>
        <v/>
      </c>
      <c r="BD43" s="50">
        <f>BC$44</f>
        <v/>
      </c>
      <c r="BE43" s="50">
        <f>BD$44</f>
        <v/>
      </c>
      <c r="BF43" s="50">
        <f>BE$44</f>
        <v/>
      </c>
      <c r="BG43" s="50">
        <f>BF$44</f>
        <v/>
      </c>
      <c r="BH43" s="50">
        <f>BG$44</f>
        <v/>
      </c>
      <c r="BI43" s="50">
        <f>BH$44</f>
        <v/>
      </c>
      <c r="BJ43" s="50">
        <f>BI$44</f>
        <v/>
      </c>
      <c r="BK43" s="50">
        <f>BJ$44</f>
        <v/>
      </c>
      <c r="BL43" s="50">
        <f>BK$44</f>
        <v/>
      </c>
      <c r="BM43" s="50">
        <f>BL$44</f>
        <v/>
      </c>
      <c r="BN43" s="50">
        <f>BM$44</f>
        <v/>
      </c>
      <c r="BO43" s="50">
        <f>BN$44</f>
        <v/>
      </c>
      <c r="BP43" s="50">
        <f>BO$44</f>
        <v/>
      </c>
      <c r="BQ43" s="50">
        <f>BP$44</f>
        <v/>
      </c>
      <c r="BR43" s="50">
        <f>BQ$44</f>
        <v/>
      </c>
      <c r="BS43" s="50">
        <f>BR$44</f>
        <v/>
      </c>
      <c r="BT43" s="50">
        <f>BS$44</f>
        <v/>
      </c>
      <c r="BU43" s="50">
        <f>BT$44</f>
        <v/>
      </c>
      <c r="BV43" s="50">
        <f>BU$44</f>
        <v/>
      </c>
      <c r="BW43" s="50">
        <f>BV$44</f>
        <v/>
      </c>
      <c r="BX43" s="50">
        <f>BW$44</f>
        <v/>
      </c>
      <c r="BY43" s="50">
        <f>BX$44</f>
        <v/>
      </c>
      <c r="BZ43" s="50">
        <f>BY$44</f>
        <v/>
      </c>
      <c r="CA43" s="50">
        <f>BZ$44</f>
        <v/>
      </c>
      <c r="CB43" s="50">
        <f>CA$44</f>
        <v/>
      </c>
      <c r="CC43" s="50">
        <f>CB$44</f>
        <v/>
      </c>
      <c r="CD43" s="50">
        <f>CC$44</f>
        <v/>
      </c>
      <c r="CE43" s="50">
        <f>CD$44</f>
        <v/>
      </c>
      <c r="CF43" s="50">
        <f>CE$44</f>
        <v/>
      </c>
      <c r="CG43" s="50">
        <f>CF$44</f>
        <v/>
      </c>
      <c r="CH43" s="50">
        <f>CG$44</f>
        <v/>
      </c>
      <c r="CI43" s="50">
        <f>CH$44</f>
        <v/>
      </c>
      <c r="CJ43" s="50">
        <f>CI$44</f>
        <v/>
      </c>
      <c r="CK43" s="50">
        <f>CJ$44</f>
        <v/>
      </c>
      <c r="CL43" s="50">
        <f>CK$44</f>
        <v/>
      </c>
      <c r="CM43" s="50">
        <f>CL$44</f>
        <v/>
      </c>
      <c r="CN43" s="50">
        <f>CM$44</f>
        <v/>
      </c>
      <c r="CO43" s="50">
        <f>CN$44</f>
        <v/>
      </c>
      <c r="CP43" s="50">
        <f>CO$44</f>
        <v/>
      </c>
      <c r="CQ43" s="50">
        <f>CP$44</f>
        <v/>
      </c>
      <c r="CR43" s="50">
        <f>CQ$44</f>
        <v/>
      </c>
      <c r="CS43" s="50">
        <f>CR$44</f>
        <v/>
      </c>
      <c r="CT43" s="50">
        <f>CS$44</f>
        <v/>
      </c>
      <c r="CU43" s="50">
        <f>CT$44</f>
        <v/>
      </c>
      <c r="CV43" s="50">
        <f>CU$44</f>
        <v/>
      </c>
      <c r="CW43" s="50">
        <f>CV$44</f>
        <v/>
      </c>
      <c r="CX43" s="50">
        <f>CW$44</f>
        <v/>
      </c>
      <c r="CY43" s="50">
        <f>CX$44</f>
        <v/>
      </c>
      <c r="CZ43" s="50">
        <f>CY$44</f>
        <v/>
      </c>
      <c r="DA43" s="50">
        <f>CZ$44</f>
        <v/>
      </c>
      <c r="DB43" s="50">
        <f>DA$44</f>
        <v/>
      </c>
      <c r="DC43" s="50">
        <f>DB$44</f>
        <v/>
      </c>
      <c r="DD43" s="50">
        <f>DC$44</f>
        <v/>
      </c>
      <c r="DE43" s="50">
        <f>DD$44</f>
        <v/>
      </c>
      <c r="DF43" s="50">
        <f>DE$44</f>
        <v/>
      </c>
      <c r="DG43" s="50">
        <f>DF$44</f>
        <v/>
      </c>
      <c r="DH43" s="50">
        <f>DG$44</f>
        <v/>
      </c>
      <c r="DI43" s="50">
        <f>DH$44</f>
        <v/>
      </c>
      <c r="DJ43" s="50">
        <f>DI$44</f>
        <v/>
      </c>
      <c r="DK43" s="50">
        <f>DJ$44</f>
        <v/>
      </c>
      <c r="DL43" s="50">
        <f>DK$44</f>
        <v/>
      </c>
      <c r="DM43" s="50">
        <f>DL$44</f>
        <v/>
      </c>
      <c r="DN43" s="50">
        <f>DM$44</f>
        <v/>
      </c>
      <c r="DO43" s="50">
        <f>DN$44</f>
        <v/>
      </c>
      <c r="DP43" s="50">
        <f>DO$44</f>
        <v/>
      </c>
      <c r="DQ43" s="50">
        <f>DP$44</f>
        <v/>
      </c>
      <c r="DR43" s="50">
        <f>DQ$44</f>
        <v/>
      </c>
      <c r="DS43" s="50">
        <f>DR$44</f>
        <v/>
      </c>
      <c r="DT43" s="50">
        <f>DS$44</f>
        <v/>
      </c>
    </row>
    <row r="44">
      <c r="A44" s="10" t="inlineStr">
        <is>
          <t>Loan balance — closing ($)</t>
        </is>
      </c>
      <c r="E44" s="50">
        <f>E$43+E$48-E$46+E$49</f>
        <v/>
      </c>
      <c r="F44" s="50">
        <f>F$43+F$48-F$46+F$49</f>
        <v/>
      </c>
      <c r="G44" s="50">
        <f>G$43+G$48-G$46+G$49</f>
        <v/>
      </c>
      <c r="H44" s="50">
        <f>H$43+H$48-H$46+H$49</f>
        <v/>
      </c>
      <c r="I44" s="50">
        <f>I$43+I$48-I$46+I$49</f>
        <v/>
      </c>
      <c r="J44" s="50">
        <f>J$43+J$48-J$46+J$49</f>
        <v/>
      </c>
      <c r="K44" s="50">
        <f>K$43+K$48-K$46+K$49</f>
        <v/>
      </c>
      <c r="L44" s="50">
        <f>L$43+L$48-L$46+L$49</f>
        <v/>
      </c>
      <c r="M44" s="50">
        <f>M$43+M$48-M$46+M$49</f>
        <v/>
      </c>
      <c r="N44" s="50">
        <f>N$43+N$48-N$46+N$49</f>
        <v/>
      </c>
      <c r="O44" s="50">
        <f>O$43+O$48-O$46+O$49</f>
        <v/>
      </c>
      <c r="P44" s="50">
        <f>P$43+P$48-P$46+P$49</f>
        <v/>
      </c>
      <c r="Q44" s="50">
        <f>Q$43+Q$48-Q$46+Q$49</f>
        <v/>
      </c>
      <c r="R44" s="50">
        <f>R$43+R$48-R$46+R$49</f>
        <v/>
      </c>
      <c r="S44" s="50">
        <f>S$43+S$48-S$46+S$49</f>
        <v/>
      </c>
      <c r="T44" s="50">
        <f>T$43+T$48-T$46+T$49</f>
        <v/>
      </c>
      <c r="U44" s="50">
        <f>U$43+U$48-U$46+U$49</f>
        <v/>
      </c>
      <c r="V44" s="50">
        <f>V$43+V$48-V$46+V$49</f>
        <v/>
      </c>
      <c r="W44" s="50">
        <f>W$43+W$48-W$46+W$49</f>
        <v/>
      </c>
      <c r="X44" s="50">
        <f>X$43+X$48-X$46+X$49</f>
        <v/>
      </c>
      <c r="Y44" s="50">
        <f>Y$43+Y$48-Y$46+Y$49</f>
        <v/>
      </c>
      <c r="Z44" s="50">
        <f>Z$43+Z$48-Z$46+Z$49</f>
        <v/>
      </c>
      <c r="AA44" s="50">
        <f>AA$43+AA$48-AA$46+AA$49</f>
        <v/>
      </c>
      <c r="AB44" s="50">
        <f>AB$43+AB$48-AB$46+AB$49</f>
        <v/>
      </c>
      <c r="AC44" s="50">
        <f>AC$43+AC$48-AC$46+AC$49</f>
        <v/>
      </c>
      <c r="AD44" s="50">
        <f>AD$43+AD$48-AD$46+AD$49</f>
        <v/>
      </c>
      <c r="AE44" s="50">
        <f>AE$43+AE$48-AE$46+AE$49</f>
        <v/>
      </c>
      <c r="AF44" s="50">
        <f>AF$43+AF$48-AF$46+AF$49</f>
        <v/>
      </c>
      <c r="AG44" s="50">
        <f>AG$43+AG$48-AG$46+AG$49</f>
        <v/>
      </c>
      <c r="AH44" s="50">
        <f>AH$43+AH$48-AH$46+AH$49</f>
        <v/>
      </c>
      <c r="AI44" s="50">
        <f>AI$43+AI$48-AI$46+AI$49</f>
        <v/>
      </c>
      <c r="AJ44" s="50">
        <f>AJ$43+AJ$48-AJ$46+AJ$49</f>
        <v/>
      </c>
      <c r="AK44" s="50">
        <f>AK$43+AK$48-AK$46+AK$49</f>
        <v/>
      </c>
      <c r="AL44" s="50">
        <f>AL$43+AL$48-AL$46+AL$49</f>
        <v/>
      </c>
      <c r="AM44" s="50">
        <f>AM$43+AM$48-AM$46+AM$49</f>
        <v/>
      </c>
      <c r="AN44" s="50">
        <f>AN$43+AN$48-AN$46+AN$49</f>
        <v/>
      </c>
      <c r="AO44" s="50">
        <f>AO$43+AO$48-AO$46+AO$49</f>
        <v/>
      </c>
      <c r="AP44" s="50">
        <f>AP$43+AP$48-AP$46+AP$49</f>
        <v/>
      </c>
      <c r="AQ44" s="50">
        <f>AQ$43+AQ$48-AQ$46+AQ$49</f>
        <v/>
      </c>
      <c r="AR44" s="50">
        <f>AR$43+AR$48-AR$46+AR$49</f>
        <v/>
      </c>
      <c r="AS44" s="50">
        <f>AS$43+AS$48-AS$46+AS$49</f>
        <v/>
      </c>
      <c r="AT44" s="50">
        <f>AT$43+AT$48-AT$46+AT$49</f>
        <v/>
      </c>
      <c r="AU44" s="50">
        <f>AU$43+AU$48-AU$46+AU$49</f>
        <v/>
      </c>
      <c r="AV44" s="50">
        <f>AV$43+AV$48-AV$46+AV$49</f>
        <v/>
      </c>
      <c r="AW44" s="50">
        <f>AW$43+AW$48-AW$46+AW$49</f>
        <v/>
      </c>
      <c r="AX44" s="50">
        <f>AX$43+AX$48-AX$46+AX$49</f>
        <v/>
      </c>
      <c r="AY44" s="50">
        <f>AY$43+AY$48-AY$46+AY$49</f>
        <v/>
      </c>
      <c r="AZ44" s="50">
        <f>AZ$43+AZ$48-AZ$46+AZ$49</f>
        <v/>
      </c>
      <c r="BA44" s="50">
        <f>BA$43+BA$48-BA$46+BA$49</f>
        <v/>
      </c>
      <c r="BB44" s="50">
        <f>BB$43+BB$48-BB$46+BB$49</f>
        <v/>
      </c>
      <c r="BC44" s="50">
        <f>BC$43+BC$48-BC$46+BC$49</f>
        <v/>
      </c>
      <c r="BD44" s="50">
        <f>BD$43+BD$48-BD$46+BD$49</f>
        <v/>
      </c>
      <c r="BE44" s="50">
        <f>BE$43+BE$48-BE$46+BE$49</f>
        <v/>
      </c>
      <c r="BF44" s="50">
        <f>BF$43+BF$48-BF$46+BF$49</f>
        <v/>
      </c>
      <c r="BG44" s="50">
        <f>BG$43+BG$48-BG$46+BG$49</f>
        <v/>
      </c>
      <c r="BH44" s="50">
        <f>BH$43+BH$48-BH$46+BH$49</f>
        <v/>
      </c>
      <c r="BI44" s="50">
        <f>BI$43+BI$48-BI$46+BI$49</f>
        <v/>
      </c>
      <c r="BJ44" s="50">
        <f>BJ$43+BJ$48-BJ$46+BJ$49</f>
        <v/>
      </c>
      <c r="BK44" s="50">
        <f>BK$43+BK$48-BK$46+BK$49</f>
        <v/>
      </c>
      <c r="BL44" s="50">
        <f>BL$43+BL$48-BL$46+BL$49</f>
        <v/>
      </c>
      <c r="BM44" s="50">
        <f>BM$43+BM$48-BM$46+BM$49</f>
        <v/>
      </c>
      <c r="BN44" s="50">
        <f>BN$43+BN$48-BN$46+BN$49</f>
        <v/>
      </c>
      <c r="BO44" s="50">
        <f>BO$43+BO$48-BO$46+BO$49</f>
        <v/>
      </c>
      <c r="BP44" s="50">
        <f>BP$43+BP$48-BP$46+BP$49</f>
        <v/>
      </c>
      <c r="BQ44" s="50">
        <f>BQ$43+BQ$48-BQ$46+BQ$49</f>
        <v/>
      </c>
      <c r="BR44" s="50">
        <f>BR$43+BR$48-BR$46+BR$49</f>
        <v/>
      </c>
      <c r="BS44" s="50">
        <f>BS$43+BS$48-BS$46+BS$49</f>
        <v/>
      </c>
      <c r="BT44" s="50">
        <f>BT$43+BT$48-BT$46+BT$49</f>
        <v/>
      </c>
      <c r="BU44" s="50">
        <f>BU$43+BU$48-BU$46+BU$49</f>
        <v/>
      </c>
      <c r="BV44" s="50">
        <f>BV$43+BV$48-BV$46+BV$49</f>
        <v/>
      </c>
      <c r="BW44" s="50">
        <f>BW$43+BW$48-BW$46+BW$49</f>
        <v/>
      </c>
      <c r="BX44" s="50">
        <f>BX$43+BX$48-BX$46+BX$49</f>
        <v/>
      </c>
      <c r="BY44" s="50">
        <f>BY$43+BY$48-BY$46+BY$49</f>
        <v/>
      </c>
      <c r="BZ44" s="50">
        <f>BZ$43+BZ$48-BZ$46+BZ$49</f>
        <v/>
      </c>
      <c r="CA44" s="50">
        <f>CA$43+CA$48-CA$46+CA$49</f>
        <v/>
      </c>
      <c r="CB44" s="50">
        <f>CB$43+CB$48-CB$46+CB$49</f>
        <v/>
      </c>
      <c r="CC44" s="50">
        <f>CC$43+CC$48-CC$46+CC$49</f>
        <v/>
      </c>
      <c r="CD44" s="50">
        <f>CD$43+CD$48-CD$46+CD$49</f>
        <v/>
      </c>
      <c r="CE44" s="50">
        <f>CE$43+CE$48-CE$46+CE$49</f>
        <v/>
      </c>
      <c r="CF44" s="50">
        <f>CF$43+CF$48-CF$46+CF$49</f>
        <v/>
      </c>
      <c r="CG44" s="50">
        <f>CG$43+CG$48-CG$46+CG$49</f>
        <v/>
      </c>
      <c r="CH44" s="50">
        <f>CH$43+CH$48-CH$46+CH$49</f>
        <v/>
      </c>
      <c r="CI44" s="50">
        <f>CI$43+CI$48-CI$46+CI$49</f>
        <v/>
      </c>
      <c r="CJ44" s="50">
        <f>CJ$43+CJ$48-CJ$46+CJ$49</f>
        <v/>
      </c>
      <c r="CK44" s="50">
        <f>CK$43+CK$48-CK$46+CK$49</f>
        <v/>
      </c>
      <c r="CL44" s="50">
        <f>CL$43+CL$48-CL$46+CL$49</f>
        <v/>
      </c>
      <c r="CM44" s="50">
        <f>CM$43+CM$48-CM$46+CM$49</f>
        <v/>
      </c>
      <c r="CN44" s="50">
        <f>CN$43+CN$48-CN$46+CN$49</f>
        <v/>
      </c>
      <c r="CO44" s="50">
        <f>CO$43+CO$48-CO$46+CO$49</f>
        <v/>
      </c>
      <c r="CP44" s="50">
        <f>CP$43+CP$48-CP$46+CP$49</f>
        <v/>
      </c>
      <c r="CQ44" s="50">
        <f>CQ$43+CQ$48-CQ$46+CQ$49</f>
        <v/>
      </c>
      <c r="CR44" s="50">
        <f>CR$43+CR$48-CR$46+CR$49</f>
        <v/>
      </c>
      <c r="CS44" s="50">
        <f>CS$43+CS$48-CS$46+CS$49</f>
        <v/>
      </c>
      <c r="CT44" s="50">
        <f>CT$43+CT$48-CT$46+CT$49</f>
        <v/>
      </c>
      <c r="CU44" s="50">
        <f>CU$43+CU$48-CU$46+CU$49</f>
        <v/>
      </c>
      <c r="CV44" s="50">
        <f>CV$43+CV$48-CV$46+CV$49</f>
        <v/>
      </c>
      <c r="CW44" s="50">
        <f>CW$43+CW$48-CW$46+CW$49</f>
        <v/>
      </c>
      <c r="CX44" s="50">
        <f>CX$43+CX$48-CX$46+CX$49</f>
        <v/>
      </c>
      <c r="CY44" s="50">
        <f>CY$43+CY$48-CY$46+CY$49</f>
        <v/>
      </c>
      <c r="CZ44" s="50">
        <f>CZ$43+CZ$48-CZ$46+CZ$49</f>
        <v/>
      </c>
      <c r="DA44" s="50">
        <f>DA$43+DA$48-DA$46+DA$49</f>
        <v/>
      </c>
      <c r="DB44" s="50">
        <f>DB$43+DB$48-DB$46+DB$49</f>
        <v/>
      </c>
      <c r="DC44" s="50">
        <f>DC$43+DC$48-DC$46+DC$49</f>
        <v/>
      </c>
      <c r="DD44" s="50">
        <f>DD$43+DD$48-DD$46+DD$49</f>
        <v/>
      </c>
      <c r="DE44" s="50">
        <f>DE$43+DE$48-DE$46+DE$49</f>
        <v/>
      </c>
      <c r="DF44" s="50">
        <f>DF$43+DF$48-DF$46+DF$49</f>
        <v/>
      </c>
      <c r="DG44" s="50">
        <f>DG$43+DG$48-DG$46+DG$49</f>
        <v/>
      </c>
      <c r="DH44" s="50">
        <f>DH$43+DH$48-DH$46+DH$49</f>
        <v/>
      </c>
      <c r="DI44" s="50">
        <f>DI$43+DI$48-DI$46+DI$49</f>
        <v/>
      </c>
      <c r="DJ44" s="50">
        <f>DJ$43+DJ$48-DJ$46+DJ$49</f>
        <v/>
      </c>
      <c r="DK44" s="50">
        <f>DK$43+DK$48-DK$46+DK$49</f>
        <v/>
      </c>
      <c r="DL44" s="50">
        <f>DL$43+DL$48-DL$46+DL$49</f>
        <v/>
      </c>
      <c r="DM44" s="50">
        <f>DM$43+DM$48-DM$46+DM$49</f>
        <v/>
      </c>
      <c r="DN44" s="50">
        <f>DN$43+DN$48-DN$46+DN$49</f>
        <v/>
      </c>
      <c r="DO44" s="50">
        <f>DO$43+DO$48-DO$46+DO$49</f>
        <v/>
      </c>
      <c r="DP44" s="50">
        <f>DP$43+DP$48-DP$46+DP$49</f>
        <v/>
      </c>
      <c r="DQ44" s="50">
        <f>DQ$43+DQ$48-DQ$46+DQ$49</f>
        <v/>
      </c>
      <c r="DR44" s="50">
        <f>DR$43+DR$48-DR$46+DR$49</f>
        <v/>
      </c>
      <c r="DS44" s="50">
        <f>DS$43+DS$48-DS$46+DS$49</f>
        <v/>
      </c>
      <c r="DT44" s="50">
        <f>DT$43+DT$48-DT$46+DT$49</f>
        <v/>
      </c>
    </row>
    <row r="45">
      <c r="A45" s="10" t="inlineStr">
        <is>
          <t>Interest ($/mo)</t>
        </is>
      </c>
      <c r="E45" s="50">
        <f>E$43*LoanRate/12*Assumptions!E$74</f>
        <v/>
      </c>
      <c r="F45" s="50">
        <f>F$43*LoanRate/12*Assumptions!F$74</f>
        <v/>
      </c>
      <c r="G45" s="50">
        <f>G$43*LoanRate/12*Assumptions!G$74</f>
        <v/>
      </c>
      <c r="H45" s="50">
        <f>H$43*LoanRate/12*Assumptions!H$74</f>
        <v/>
      </c>
      <c r="I45" s="50">
        <f>I$43*LoanRate/12*Assumptions!I$74</f>
        <v/>
      </c>
      <c r="J45" s="50">
        <f>J$43*LoanRate/12*Assumptions!J$74</f>
        <v/>
      </c>
      <c r="K45" s="50">
        <f>K$43*LoanRate/12*Assumptions!K$74</f>
        <v/>
      </c>
      <c r="L45" s="50">
        <f>L$43*LoanRate/12*Assumptions!L$74</f>
        <v/>
      </c>
      <c r="M45" s="50">
        <f>M$43*LoanRate/12*Assumptions!M$74</f>
        <v/>
      </c>
      <c r="N45" s="50">
        <f>N$43*LoanRate/12*Assumptions!N$74</f>
        <v/>
      </c>
      <c r="O45" s="50">
        <f>O$43*LoanRate/12*Assumptions!O$74</f>
        <v/>
      </c>
      <c r="P45" s="50">
        <f>P$43*LoanRate/12*Assumptions!P$74</f>
        <v/>
      </c>
      <c r="Q45" s="50">
        <f>Q$43*LoanRate/12*Assumptions!Q$74</f>
        <v/>
      </c>
      <c r="R45" s="50">
        <f>R$43*LoanRate/12*Assumptions!R$74</f>
        <v/>
      </c>
      <c r="S45" s="50">
        <f>S$43*LoanRate/12*Assumptions!S$74</f>
        <v/>
      </c>
      <c r="T45" s="50">
        <f>T$43*LoanRate/12*Assumptions!T$74</f>
        <v/>
      </c>
      <c r="U45" s="50">
        <f>U$43*LoanRate/12*Assumptions!U$74</f>
        <v/>
      </c>
      <c r="V45" s="50">
        <f>V$43*LoanRate/12*Assumptions!V$74</f>
        <v/>
      </c>
      <c r="W45" s="50">
        <f>W$43*LoanRate/12*Assumptions!W$74</f>
        <v/>
      </c>
      <c r="X45" s="50">
        <f>X$43*LoanRate/12*Assumptions!X$74</f>
        <v/>
      </c>
      <c r="Y45" s="50">
        <f>Y$43*LoanRate/12*Assumptions!Y$74</f>
        <v/>
      </c>
      <c r="Z45" s="50">
        <f>Z$43*LoanRate/12*Assumptions!Z$74</f>
        <v/>
      </c>
      <c r="AA45" s="50">
        <f>AA$43*LoanRate/12*Assumptions!AA$74</f>
        <v/>
      </c>
      <c r="AB45" s="50">
        <f>AB$43*LoanRate/12*Assumptions!AB$74</f>
        <v/>
      </c>
      <c r="AC45" s="50">
        <f>AC$43*LoanRate/12*Assumptions!AC$74</f>
        <v/>
      </c>
      <c r="AD45" s="50">
        <f>AD$43*LoanRate/12*Assumptions!AD$74</f>
        <v/>
      </c>
      <c r="AE45" s="50">
        <f>AE$43*LoanRate/12*Assumptions!AE$74</f>
        <v/>
      </c>
      <c r="AF45" s="50">
        <f>AF$43*LoanRate/12*Assumptions!AF$74</f>
        <v/>
      </c>
      <c r="AG45" s="50">
        <f>AG$43*LoanRate/12*Assumptions!AG$74</f>
        <v/>
      </c>
      <c r="AH45" s="50">
        <f>AH$43*LoanRate/12*Assumptions!AH$74</f>
        <v/>
      </c>
      <c r="AI45" s="50">
        <f>AI$43*LoanRate/12*Assumptions!AI$74</f>
        <v/>
      </c>
      <c r="AJ45" s="50">
        <f>AJ$43*LoanRate/12*Assumptions!AJ$74</f>
        <v/>
      </c>
      <c r="AK45" s="50">
        <f>AK$43*LoanRate/12*Assumptions!AK$74</f>
        <v/>
      </c>
      <c r="AL45" s="50">
        <f>AL$43*LoanRate/12*Assumptions!AL$74</f>
        <v/>
      </c>
      <c r="AM45" s="50">
        <f>AM$43*LoanRate/12*Assumptions!AM$74</f>
        <v/>
      </c>
      <c r="AN45" s="50">
        <f>AN$43*LoanRate/12*Assumptions!AN$74</f>
        <v/>
      </c>
      <c r="AO45" s="50">
        <f>AO$43*LoanRate/12*Assumptions!AO$74</f>
        <v/>
      </c>
      <c r="AP45" s="50">
        <f>AP$43*LoanRate/12*Assumptions!AP$74</f>
        <v/>
      </c>
      <c r="AQ45" s="50">
        <f>AQ$43*LoanRate/12*Assumptions!AQ$74</f>
        <v/>
      </c>
      <c r="AR45" s="50">
        <f>AR$43*LoanRate/12*Assumptions!AR$74</f>
        <v/>
      </c>
      <c r="AS45" s="50">
        <f>AS$43*LoanRate/12*Assumptions!AS$74</f>
        <v/>
      </c>
      <c r="AT45" s="50">
        <f>AT$43*LoanRate/12*Assumptions!AT$74</f>
        <v/>
      </c>
      <c r="AU45" s="50">
        <f>AU$43*LoanRate/12*Assumptions!AU$74</f>
        <v/>
      </c>
      <c r="AV45" s="50">
        <f>AV$43*LoanRate/12*Assumptions!AV$74</f>
        <v/>
      </c>
      <c r="AW45" s="50">
        <f>AW$43*LoanRate/12*Assumptions!AW$74</f>
        <v/>
      </c>
      <c r="AX45" s="50">
        <f>AX$43*LoanRate/12*Assumptions!AX$74</f>
        <v/>
      </c>
      <c r="AY45" s="50">
        <f>AY$43*LoanRate/12*Assumptions!AY$74</f>
        <v/>
      </c>
      <c r="AZ45" s="50">
        <f>AZ$43*LoanRate/12*Assumptions!AZ$74</f>
        <v/>
      </c>
      <c r="BA45" s="50">
        <f>BA$43*LoanRate/12*Assumptions!BA$74</f>
        <v/>
      </c>
      <c r="BB45" s="50">
        <f>BB$43*LoanRate/12*Assumptions!BB$74</f>
        <v/>
      </c>
      <c r="BC45" s="50">
        <f>BC$43*LoanRate/12*Assumptions!BC$74</f>
        <v/>
      </c>
      <c r="BD45" s="50">
        <f>BD$43*LoanRate/12*Assumptions!BD$74</f>
        <v/>
      </c>
      <c r="BE45" s="50">
        <f>BE$43*LoanRate/12*Assumptions!BE$74</f>
        <v/>
      </c>
      <c r="BF45" s="50">
        <f>BF$43*LoanRate/12*Assumptions!BF$74</f>
        <v/>
      </c>
      <c r="BG45" s="50">
        <f>BG$43*LoanRate/12*Assumptions!BG$74</f>
        <v/>
      </c>
      <c r="BH45" s="50">
        <f>BH$43*LoanRate/12*Assumptions!BH$74</f>
        <v/>
      </c>
      <c r="BI45" s="50">
        <f>BI$43*LoanRate/12*Assumptions!BI$74</f>
        <v/>
      </c>
      <c r="BJ45" s="50">
        <f>BJ$43*LoanRate/12*Assumptions!BJ$74</f>
        <v/>
      </c>
      <c r="BK45" s="50">
        <f>BK$43*LoanRate/12*Assumptions!BK$74</f>
        <v/>
      </c>
      <c r="BL45" s="50">
        <f>BL$43*LoanRate/12*Assumptions!BL$74</f>
        <v/>
      </c>
      <c r="BM45" s="50">
        <f>BM$43*LoanRate/12*Assumptions!BM$74</f>
        <v/>
      </c>
      <c r="BN45" s="50">
        <f>BN$43*LoanRate/12*Assumptions!BN$74</f>
        <v/>
      </c>
      <c r="BO45" s="50">
        <f>BO$43*LoanRate/12*Assumptions!BO$74</f>
        <v/>
      </c>
      <c r="BP45" s="50">
        <f>BP$43*LoanRate/12*Assumptions!BP$74</f>
        <v/>
      </c>
      <c r="BQ45" s="50">
        <f>BQ$43*LoanRate/12*Assumptions!BQ$74</f>
        <v/>
      </c>
      <c r="BR45" s="50">
        <f>BR$43*LoanRate/12*Assumptions!BR$74</f>
        <v/>
      </c>
      <c r="BS45" s="50">
        <f>BS$43*LoanRate/12*Assumptions!BS$74</f>
        <v/>
      </c>
      <c r="BT45" s="50">
        <f>BT$43*LoanRate/12*Assumptions!BT$74</f>
        <v/>
      </c>
      <c r="BU45" s="50">
        <f>BU$43*LoanRate/12*Assumptions!BU$74</f>
        <v/>
      </c>
      <c r="BV45" s="50">
        <f>BV$43*LoanRate/12*Assumptions!BV$74</f>
        <v/>
      </c>
      <c r="BW45" s="50">
        <f>BW$43*LoanRate/12*Assumptions!BW$74</f>
        <v/>
      </c>
      <c r="BX45" s="50">
        <f>BX$43*LoanRate/12*Assumptions!BX$74</f>
        <v/>
      </c>
      <c r="BY45" s="50">
        <f>BY$43*LoanRate/12*Assumptions!BY$74</f>
        <v/>
      </c>
      <c r="BZ45" s="50">
        <f>BZ$43*LoanRate/12*Assumptions!BZ$74</f>
        <v/>
      </c>
      <c r="CA45" s="50">
        <f>CA$43*LoanRate/12*Assumptions!CA$74</f>
        <v/>
      </c>
      <c r="CB45" s="50">
        <f>CB$43*LoanRate/12*Assumptions!CB$74</f>
        <v/>
      </c>
      <c r="CC45" s="50">
        <f>CC$43*LoanRate/12*Assumptions!CC$74</f>
        <v/>
      </c>
      <c r="CD45" s="50">
        <f>CD$43*LoanRate/12*Assumptions!CD$74</f>
        <v/>
      </c>
      <c r="CE45" s="50">
        <f>CE$43*LoanRate/12*Assumptions!CE$74</f>
        <v/>
      </c>
      <c r="CF45" s="50">
        <f>CF$43*LoanRate/12*Assumptions!CF$74</f>
        <v/>
      </c>
      <c r="CG45" s="50">
        <f>CG$43*LoanRate/12*Assumptions!CG$74</f>
        <v/>
      </c>
      <c r="CH45" s="50">
        <f>CH$43*LoanRate/12*Assumptions!CH$74</f>
        <v/>
      </c>
      <c r="CI45" s="50">
        <f>CI$43*LoanRate/12*Assumptions!CI$74</f>
        <v/>
      </c>
      <c r="CJ45" s="50">
        <f>CJ$43*LoanRate/12*Assumptions!CJ$74</f>
        <v/>
      </c>
      <c r="CK45" s="50">
        <f>CK$43*LoanRate/12*Assumptions!CK$74</f>
        <v/>
      </c>
      <c r="CL45" s="50">
        <f>CL$43*LoanRate/12*Assumptions!CL$74</f>
        <v/>
      </c>
      <c r="CM45" s="50">
        <f>CM$43*LoanRate/12*Assumptions!CM$74</f>
        <v/>
      </c>
      <c r="CN45" s="50">
        <f>CN$43*LoanRate/12*Assumptions!CN$74</f>
        <v/>
      </c>
      <c r="CO45" s="50">
        <f>CO$43*LoanRate/12*Assumptions!CO$74</f>
        <v/>
      </c>
      <c r="CP45" s="50">
        <f>CP$43*LoanRate/12*Assumptions!CP$74</f>
        <v/>
      </c>
      <c r="CQ45" s="50">
        <f>CQ$43*LoanRate/12*Assumptions!CQ$74</f>
        <v/>
      </c>
      <c r="CR45" s="50">
        <f>CR$43*LoanRate/12*Assumptions!CR$74</f>
        <v/>
      </c>
      <c r="CS45" s="50">
        <f>CS$43*LoanRate/12*Assumptions!CS$74</f>
        <v/>
      </c>
      <c r="CT45" s="50">
        <f>CT$43*LoanRate/12*Assumptions!CT$74</f>
        <v/>
      </c>
      <c r="CU45" s="50">
        <f>CU$43*LoanRate/12*Assumptions!CU$74</f>
        <v/>
      </c>
      <c r="CV45" s="50">
        <f>CV$43*LoanRate/12*Assumptions!CV$74</f>
        <v/>
      </c>
      <c r="CW45" s="50">
        <f>CW$43*LoanRate/12*Assumptions!CW$74</f>
        <v/>
      </c>
      <c r="CX45" s="50">
        <f>CX$43*LoanRate/12*Assumptions!CX$74</f>
        <v/>
      </c>
      <c r="CY45" s="50">
        <f>CY$43*LoanRate/12*Assumptions!CY$74</f>
        <v/>
      </c>
      <c r="CZ45" s="50">
        <f>CZ$43*LoanRate/12*Assumptions!CZ$74</f>
        <v/>
      </c>
      <c r="DA45" s="50">
        <f>DA$43*LoanRate/12*Assumptions!DA$74</f>
        <v/>
      </c>
      <c r="DB45" s="50">
        <f>DB$43*LoanRate/12*Assumptions!DB$74</f>
        <v/>
      </c>
      <c r="DC45" s="50">
        <f>DC$43*LoanRate/12*Assumptions!DC$74</f>
        <v/>
      </c>
      <c r="DD45" s="50">
        <f>DD$43*LoanRate/12*Assumptions!DD$74</f>
        <v/>
      </c>
      <c r="DE45" s="50">
        <f>DE$43*LoanRate/12*Assumptions!DE$74</f>
        <v/>
      </c>
      <c r="DF45" s="50">
        <f>DF$43*LoanRate/12*Assumptions!DF$74</f>
        <v/>
      </c>
      <c r="DG45" s="50">
        <f>DG$43*LoanRate/12*Assumptions!DG$74</f>
        <v/>
      </c>
      <c r="DH45" s="50">
        <f>DH$43*LoanRate/12*Assumptions!DH$74</f>
        <v/>
      </c>
      <c r="DI45" s="50">
        <f>DI$43*LoanRate/12*Assumptions!DI$74</f>
        <v/>
      </c>
      <c r="DJ45" s="50">
        <f>DJ$43*LoanRate/12*Assumptions!DJ$74</f>
        <v/>
      </c>
      <c r="DK45" s="50">
        <f>DK$43*LoanRate/12*Assumptions!DK$74</f>
        <v/>
      </c>
      <c r="DL45" s="50">
        <f>DL$43*LoanRate/12*Assumptions!DL$74</f>
        <v/>
      </c>
      <c r="DM45" s="50">
        <f>DM$43*LoanRate/12*Assumptions!DM$74</f>
        <v/>
      </c>
      <c r="DN45" s="50">
        <f>DN$43*LoanRate/12*Assumptions!DN$74</f>
        <v/>
      </c>
      <c r="DO45" s="50">
        <f>DO$43*LoanRate/12*Assumptions!DO$74</f>
        <v/>
      </c>
      <c r="DP45" s="50">
        <f>DP$43*LoanRate/12*Assumptions!DP$74</f>
        <v/>
      </c>
      <c r="DQ45" s="50">
        <f>DQ$43*LoanRate/12*Assumptions!DQ$74</f>
        <v/>
      </c>
      <c r="DR45" s="50">
        <f>DR$43*LoanRate/12*Assumptions!DR$74</f>
        <v/>
      </c>
      <c r="DS45" s="50">
        <f>DS$43*LoanRate/12*Assumptions!DS$74</f>
        <v/>
      </c>
      <c r="DT45" s="50">
        <f>DT$43*LoanRate/12*Assumptions!DT$74</f>
        <v/>
      </c>
    </row>
    <row r="46">
      <c r="A46" s="10" t="inlineStr">
        <is>
          <t>Principal ($/mo)</t>
        </is>
      </c>
      <c r="E46" s="50">
        <f>IF(AND(Assumptions!E$74=1,Assumptions!E$72&gt;IOMonths,E$43&gt;0),MIN(E$43,PMT(LoanRate/12,AmortYears*12-(IOMonths),-E$43)-E$45),0)</f>
        <v/>
      </c>
      <c r="F46" s="50">
        <f>IF(AND(Assumptions!F$74=1,Assumptions!F$72&gt;IOMonths,F$43&gt;0),MIN(F$43,PMT(LoanRate/12,AmortYears*12-(IOMonths),-F$43)-F$45),0)</f>
        <v/>
      </c>
      <c r="G46" s="50">
        <f>IF(AND(Assumptions!G$74=1,Assumptions!G$72&gt;IOMonths,G$43&gt;0),MIN(G$43,PMT(LoanRate/12,AmortYears*12-(IOMonths),-G$43)-G$45),0)</f>
        <v/>
      </c>
      <c r="H46" s="50">
        <f>IF(AND(Assumptions!H$74=1,Assumptions!H$72&gt;IOMonths,H$43&gt;0),MIN(H$43,PMT(LoanRate/12,AmortYears*12-(IOMonths),-H$43)-H$45),0)</f>
        <v/>
      </c>
      <c r="I46" s="50">
        <f>IF(AND(Assumptions!I$74=1,Assumptions!I$72&gt;IOMonths,I$43&gt;0),MIN(I$43,PMT(LoanRate/12,AmortYears*12-(IOMonths),-I$43)-I$45),0)</f>
        <v/>
      </c>
      <c r="J46" s="50">
        <f>IF(AND(Assumptions!J$74=1,Assumptions!J$72&gt;IOMonths,J$43&gt;0),MIN(J$43,PMT(LoanRate/12,AmortYears*12-(IOMonths),-J$43)-J$45),0)</f>
        <v/>
      </c>
      <c r="K46" s="50">
        <f>IF(AND(Assumptions!K$74=1,Assumptions!K$72&gt;IOMonths,K$43&gt;0),MIN(K$43,PMT(LoanRate/12,AmortYears*12-(IOMonths),-K$43)-K$45),0)</f>
        <v/>
      </c>
      <c r="L46" s="50">
        <f>IF(AND(Assumptions!L$74=1,Assumptions!L$72&gt;IOMonths,L$43&gt;0),MIN(L$43,PMT(LoanRate/12,AmortYears*12-(IOMonths),-L$43)-L$45),0)</f>
        <v/>
      </c>
      <c r="M46" s="50">
        <f>IF(AND(Assumptions!M$74=1,Assumptions!M$72&gt;IOMonths,M$43&gt;0),MIN(M$43,PMT(LoanRate/12,AmortYears*12-(IOMonths),-M$43)-M$45),0)</f>
        <v/>
      </c>
      <c r="N46" s="50">
        <f>IF(AND(Assumptions!N$74=1,Assumptions!N$72&gt;IOMonths,N$43&gt;0),MIN(N$43,PMT(LoanRate/12,AmortYears*12-(IOMonths),-N$43)-N$45),0)</f>
        <v/>
      </c>
      <c r="O46" s="50">
        <f>IF(AND(Assumptions!O$74=1,Assumptions!O$72&gt;IOMonths,O$43&gt;0),MIN(O$43,PMT(LoanRate/12,AmortYears*12-(IOMonths),-O$43)-O$45),0)</f>
        <v/>
      </c>
      <c r="P46" s="50">
        <f>IF(AND(Assumptions!P$74=1,Assumptions!P$72&gt;IOMonths,P$43&gt;0),MIN(P$43,PMT(LoanRate/12,AmortYears*12-(IOMonths),-P$43)-P$45),0)</f>
        <v/>
      </c>
      <c r="Q46" s="50">
        <f>IF(AND(Assumptions!Q$74=1,Assumptions!Q$72&gt;IOMonths,Q$43&gt;0),MIN(Q$43,PMT(LoanRate/12,AmortYears*12-(IOMonths),-Q$43)-Q$45),0)</f>
        <v/>
      </c>
      <c r="R46" s="50">
        <f>IF(AND(Assumptions!R$74=1,Assumptions!R$72&gt;IOMonths,R$43&gt;0),MIN(R$43,PMT(LoanRate/12,AmortYears*12-(IOMonths),-R$43)-R$45),0)</f>
        <v/>
      </c>
      <c r="S46" s="50">
        <f>IF(AND(Assumptions!S$74=1,Assumptions!S$72&gt;IOMonths,S$43&gt;0),MIN(S$43,PMT(LoanRate/12,AmortYears*12-(IOMonths),-S$43)-S$45),0)</f>
        <v/>
      </c>
      <c r="T46" s="50">
        <f>IF(AND(Assumptions!T$74=1,Assumptions!T$72&gt;IOMonths,T$43&gt;0),MIN(T$43,PMT(LoanRate/12,AmortYears*12-(IOMonths),-T$43)-T$45),0)</f>
        <v/>
      </c>
      <c r="U46" s="50">
        <f>IF(AND(Assumptions!U$74=1,Assumptions!U$72&gt;IOMonths,U$43&gt;0),MIN(U$43,PMT(LoanRate/12,AmortYears*12-(IOMonths),-U$43)-U$45),0)</f>
        <v/>
      </c>
      <c r="V46" s="50">
        <f>IF(AND(Assumptions!V$74=1,Assumptions!V$72&gt;IOMonths,V$43&gt;0),MIN(V$43,PMT(LoanRate/12,AmortYears*12-(IOMonths),-V$43)-V$45),0)</f>
        <v/>
      </c>
      <c r="W46" s="50">
        <f>IF(AND(Assumptions!W$74=1,Assumptions!W$72&gt;IOMonths,W$43&gt;0),MIN(W$43,PMT(LoanRate/12,AmortYears*12-(IOMonths),-W$43)-W$45),0)</f>
        <v/>
      </c>
      <c r="X46" s="50">
        <f>IF(AND(Assumptions!X$74=1,Assumptions!X$72&gt;IOMonths,X$43&gt;0),MIN(X$43,PMT(LoanRate/12,AmortYears*12-(IOMonths),-X$43)-X$45),0)</f>
        <v/>
      </c>
      <c r="Y46" s="50">
        <f>IF(AND(Assumptions!Y$74=1,Assumptions!Y$72&gt;IOMonths,Y$43&gt;0),MIN(Y$43,PMT(LoanRate/12,AmortYears*12-(IOMonths),-Y$43)-Y$45),0)</f>
        <v/>
      </c>
      <c r="Z46" s="50">
        <f>IF(AND(Assumptions!Z$74=1,Assumptions!Z$72&gt;IOMonths,Z$43&gt;0),MIN(Z$43,PMT(LoanRate/12,AmortYears*12-(IOMonths),-Z$43)-Z$45),0)</f>
        <v/>
      </c>
      <c r="AA46" s="50">
        <f>IF(AND(Assumptions!AA$74=1,Assumptions!AA$72&gt;IOMonths,AA$43&gt;0),MIN(AA$43,PMT(LoanRate/12,AmortYears*12-(IOMonths),-AA$43)-AA$45),0)</f>
        <v/>
      </c>
      <c r="AB46" s="50">
        <f>IF(AND(Assumptions!AB$74=1,Assumptions!AB$72&gt;IOMonths,AB$43&gt;0),MIN(AB$43,PMT(LoanRate/12,AmortYears*12-(IOMonths),-AB$43)-AB$45),0)</f>
        <v/>
      </c>
      <c r="AC46" s="50">
        <f>IF(AND(Assumptions!AC$74=1,Assumptions!AC$72&gt;IOMonths,AC$43&gt;0),MIN(AC$43,PMT(LoanRate/12,AmortYears*12-(IOMonths),-AC$43)-AC$45),0)</f>
        <v/>
      </c>
      <c r="AD46" s="50">
        <f>IF(AND(Assumptions!AD$74=1,Assumptions!AD$72&gt;IOMonths,AD$43&gt;0),MIN(AD$43,PMT(LoanRate/12,AmortYears*12-(IOMonths),-AD$43)-AD$45),0)</f>
        <v/>
      </c>
      <c r="AE46" s="50">
        <f>IF(AND(Assumptions!AE$74=1,Assumptions!AE$72&gt;IOMonths,AE$43&gt;0),MIN(AE$43,PMT(LoanRate/12,AmortYears*12-(IOMonths),-AE$43)-AE$45),0)</f>
        <v/>
      </c>
      <c r="AF46" s="50">
        <f>IF(AND(Assumptions!AF$74=1,Assumptions!AF$72&gt;IOMonths,AF$43&gt;0),MIN(AF$43,PMT(LoanRate/12,AmortYears*12-(IOMonths),-AF$43)-AF$45),0)</f>
        <v/>
      </c>
      <c r="AG46" s="50">
        <f>IF(AND(Assumptions!AG$74=1,Assumptions!AG$72&gt;IOMonths,AG$43&gt;0),MIN(AG$43,PMT(LoanRate/12,AmortYears*12-(IOMonths),-AG$43)-AG$45),0)</f>
        <v/>
      </c>
      <c r="AH46" s="50">
        <f>IF(AND(Assumptions!AH$74=1,Assumptions!AH$72&gt;IOMonths,AH$43&gt;0),MIN(AH$43,PMT(LoanRate/12,AmortYears*12-(IOMonths),-AH$43)-AH$45),0)</f>
        <v/>
      </c>
      <c r="AI46" s="50">
        <f>IF(AND(Assumptions!AI$74=1,Assumptions!AI$72&gt;IOMonths,AI$43&gt;0),MIN(AI$43,PMT(LoanRate/12,AmortYears*12-(IOMonths),-AI$43)-AI$45),0)</f>
        <v/>
      </c>
      <c r="AJ46" s="50">
        <f>IF(AND(Assumptions!AJ$74=1,Assumptions!AJ$72&gt;IOMonths,AJ$43&gt;0),MIN(AJ$43,PMT(LoanRate/12,AmortYears*12-(IOMonths),-AJ$43)-AJ$45),0)</f>
        <v/>
      </c>
      <c r="AK46" s="50">
        <f>IF(AND(Assumptions!AK$74=1,Assumptions!AK$72&gt;IOMonths,AK$43&gt;0),MIN(AK$43,PMT(LoanRate/12,AmortYears*12-(IOMonths),-AK$43)-AK$45),0)</f>
        <v/>
      </c>
      <c r="AL46" s="50">
        <f>IF(AND(Assumptions!AL$74=1,Assumptions!AL$72&gt;IOMonths,AL$43&gt;0),MIN(AL$43,PMT(LoanRate/12,AmortYears*12-(IOMonths),-AL$43)-AL$45),0)</f>
        <v/>
      </c>
      <c r="AM46" s="50">
        <f>IF(AND(Assumptions!AM$74=1,Assumptions!AM$72&gt;IOMonths,AM$43&gt;0),MIN(AM$43,PMT(LoanRate/12,AmortYears*12-(IOMonths),-AM$43)-AM$45),0)</f>
        <v/>
      </c>
      <c r="AN46" s="50">
        <f>IF(AND(Assumptions!AN$74=1,Assumptions!AN$72&gt;IOMonths,AN$43&gt;0),MIN(AN$43,PMT(LoanRate/12,AmortYears*12-(IOMonths),-AN$43)-AN$45),0)</f>
        <v/>
      </c>
      <c r="AO46" s="50">
        <f>IF(AND(Assumptions!AO$74=1,Assumptions!AO$72&gt;IOMonths,AO$43&gt;0),MIN(AO$43,PMT(LoanRate/12,AmortYears*12-(IOMonths),-AO$43)-AO$45),0)</f>
        <v/>
      </c>
      <c r="AP46" s="50">
        <f>IF(AND(Assumptions!AP$74=1,Assumptions!AP$72&gt;IOMonths,AP$43&gt;0),MIN(AP$43,PMT(LoanRate/12,AmortYears*12-(IOMonths),-AP$43)-AP$45),0)</f>
        <v/>
      </c>
      <c r="AQ46" s="50">
        <f>IF(AND(Assumptions!AQ$74=1,Assumptions!AQ$72&gt;IOMonths,AQ$43&gt;0),MIN(AQ$43,PMT(LoanRate/12,AmortYears*12-(IOMonths),-AQ$43)-AQ$45),0)</f>
        <v/>
      </c>
      <c r="AR46" s="50">
        <f>IF(AND(Assumptions!AR$74=1,Assumptions!AR$72&gt;IOMonths,AR$43&gt;0),MIN(AR$43,PMT(LoanRate/12,AmortYears*12-(IOMonths),-AR$43)-AR$45),0)</f>
        <v/>
      </c>
      <c r="AS46" s="50">
        <f>IF(AND(Assumptions!AS$74=1,Assumptions!AS$72&gt;IOMonths,AS$43&gt;0),MIN(AS$43,PMT(LoanRate/12,AmortYears*12-(IOMonths),-AS$43)-AS$45),0)</f>
        <v/>
      </c>
      <c r="AT46" s="50">
        <f>IF(AND(Assumptions!AT$74=1,Assumptions!AT$72&gt;IOMonths,AT$43&gt;0),MIN(AT$43,PMT(LoanRate/12,AmortYears*12-(IOMonths),-AT$43)-AT$45),0)</f>
        <v/>
      </c>
      <c r="AU46" s="50">
        <f>IF(AND(Assumptions!AU$74=1,Assumptions!AU$72&gt;IOMonths,AU$43&gt;0),MIN(AU$43,PMT(LoanRate/12,AmortYears*12-(IOMonths),-AU$43)-AU$45),0)</f>
        <v/>
      </c>
      <c r="AV46" s="50">
        <f>IF(AND(Assumptions!AV$74=1,Assumptions!AV$72&gt;IOMonths,AV$43&gt;0),MIN(AV$43,PMT(LoanRate/12,AmortYears*12-(IOMonths),-AV$43)-AV$45),0)</f>
        <v/>
      </c>
      <c r="AW46" s="50">
        <f>IF(AND(Assumptions!AW$74=1,Assumptions!AW$72&gt;IOMonths,AW$43&gt;0),MIN(AW$43,PMT(LoanRate/12,AmortYears*12-(IOMonths),-AW$43)-AW$45),0)</f>
        <v/>
      </c>
      <c r="AX46" s="50">
        <f>IF(AND(Assumptions!AX$74=1,Assumptions!AX$72&gt;IOMonths,AX$43&gt;0),MIN(AX$43,PMT(LoanRate/12,AmortYears*12-(IOMonths),-AX$43)-AX$45),0)</f>
        <v/>
      </c>
      <c r="AY46" s="50">
        <f>IF(AND(Assumptions!AY$74=1,Assumptions!AY$72&gt;IOMonths,AY$43&gt;0),MIN(AY$43,PMT(LoanRate/12,AmortYears*12-(IOMonths),-AY$43)-AY$45),0)</f>
        <v/>
      </c>
      <c r="AZ46" s="50">
        <f>IF(AND(Assumptions!AZ$74=1,Assumptions!AZ$72&gt;IOMonths,AZ$43&gt;0),MIN(AZ$43,PMT(LoanRate/12,AmortYears*12-(IOMonths),-AZ$43)-AZ$45),0)</f>
        <v/>
      </c>
      <c r="BA46" s="50">
        <f>IF(AND(Assumptions!BA$74=1,Assumptions!BA$72&gt;IOMonths,BA$43&gt;0),MIN(BA$43,PMT(LoanRate/12,AmortYears*12-(IOMonths),-BA$43)-BA$45),0)</f>
        <v/>
      </c>
      <c r="BB46" s="50">
        <f>IF(AND(Assumptions!BB$74=1,Assumptions!BB$72&gt;IOMonths,BB$43&gt;0),MIN(BB$43,PMT(LoanRate/12,AmortYears*12-(IOMonths),-BB$43)-BB$45),0)</f>
        <v/>
      </c>
      <c r="BC46" s="50">
        <f>IF(AND(Assumptions!BC$74=1,Assumptions!BC$72&gt;IOMonths,BC$43&gt;0),MIN(BC$43,PMT(LoanRate/12,AmortYears*12-(IOMonths),-BC$43)-BC$45),0)</f>
        <v/>
      </c>
      <c r="BD46" s="50">
        <f>IF(AND(Assumptions!BD$74=1,Assumptions!BD$72&gt;IOMonths,BD$43&gt;0),MIN(BD$43,PMT(LoanRate/12,AmortYears*12-(IOMonths),-BD$43)-BD$45),0)</f>
        <v/>
      </c>
      <c r="BE46" s="50">
        <f>IF(AND(Assumptions!BE$74=1,Assumptions!BE$72&gt;IOMonths,BE$43&gt;0),MIN(BE$43,PMT(LoanRate/12,AmortYears*12-(IOMonths),-BE$43)-BE$45),0)</f>
        <v/>
      </c>
      <c r="BF46" s="50">
        <f>IF(AND(Assumptions!BF$74=1,Assumptions!BF$72&gt;IOMonths,BF$43&gt;0),MIN(BF$43,PMT(LoanRate/12,AmortYears*12-(IOMonths),-BF$43)-BF$45),0)</f>
        <v/>
      </c>
      <c r="BG46" s="50">
        <f>IF(AND(Assumptions!BG$74=1,Assumptions!BG$72&gt;IOMonths,BG$43&gt;0),MIN(BG$43,PMT(LoanRate/12,AmortYears*12-(IOMonths),-BG$43)-BG$45),0)</f>
        <v/>
      </c>
      <c r="BH46" s="50">
        <f>IF(AND(Assumptions!BH$74=1,Assumptions!BH$72&gt;IOMonths,BH$43&gt;0),MIN(BH$43,PMT(LoanRate/12,AmortYears*12-(IOMonths),-BH$43)-BH$45),0)</f>
        <v/>
      </c>
      <c r="BI46" s="50">
        <f>IF(AND(Assumptions!BI$74=1,Assumptions!BI$72&gt;IOMonths,BI$43&gt;0),MIN(BI$43,PMT(LoanRate/12,AmortYears*12-(IOMonths),-BI$43)-BI$45),0)</f>
        <v/>
      </c>
      <c r="BJ46" s="50">
        <f>IF(AND(Assumptions!BJ$74=1,Assumptions!BJ$72&gt;IOMonths,BJ$43&gt;0),MIN(BJ$43,PMT(LoanRate/12,AmortYears*12-(IOMonths),-BJ$43)-BJ$45),0)</f>
        <v/>
      </c>
      <c r="BK46" s="50">
        <f>IF(AND(Assumptions!BK$74=1,Assumptions!BK$72&gt;IOMonths,BK$43&gt;0),MIN(BK$43,PMT(LoanRate/12,AmortYears*12-(IOMonths),-BK$43)-BK$45),0)</f>
        <v/>
      </c>
      <c r="BL46" s="50">
        <f>IF(AND(Assumptions!BL$74=1,Assumptions!BL$72&gt;IOMonths,BL$43&gt;0),MIN(BL$43,PMT(LoanRate/12,AmortYears*12-(IOMonths),-BL$43)-BL$45),0)</f>
        <v/>
      </c>
      <c r="BM46" s="50">
        <f>IF(AND(Assumptions!BM$74=1,Assumptions!BM$72&gt;IOMonths,BM$43&gt;0),MIN(BM$43,PMT(LoanRate/12,AmortYears*12-(IOMonths),-BM$43)-BM$45),0)</f>
        <v/>
      </c>
      <c r="BN46" s="50">
        <f>IF(AND(Assumptions!BN$74=1,Assumptions!BN$72&gt;IOMonths,BN$43&gt;0),MIN(BN$43,PMT(LoanRate/12,AmortYears*12-(IOMonths),-BN$43)-BN$45),0)</f>
        <v/>
      </c>
      <c r="BO46" s="50">
        <f>IF(AND(Assumptions!BO$74=1,Assumptions!BO$72&gt;IOMonths,BO$43&gt;0),MIN(BO$43,PMT(LoanRate/12,AmortYears*12-(IOMonths),-BO$43)-BO$45),0)</f>
        <v/>
      </c>
      <c r="BP46" s="50">
        <f>IF(AND(Assumptions!BP$74=1,Assumptions!BP$72&gt;IOMonths,BP$43&gt;0),MIN(BP$43,PMT(LoanRate/12,AmortYears*12-(IOMonths),-BP$43)-BP$45),0)</f>
        <v/>
      </c>
      <c r="BQ46" s="50">
        <f>IF(AND(Assumptions!BQ$74=1,Assumptions!BQ$72&gt;IOMonths,BQ$43&gt;0),MIN(BQ$43,PMT(LoanRate/12,AmortYears*12-(IOMonths),-BQ$43)-BQ$45),0)</f>
        <v/>
      </c>
      <c r="BR46" s="50">
        <f>IF(AND(Assumptions!BR$74=1,Assumptions!BR$72&gt;IOMonths,BR$43&gt;0),MIN(BR$43,PMT(LoanRate/12,AmortYears*12-(IOMonths),-BR$43)-BR$45),0)</f>
        <v/>
      </c>
      <c r="BS46" s="50">
        <f>IF(AND(Assumptions!BS$74=1,Assumptions!BS$72&gt;IOMonths,BS$43&gt;0),MIN(BS$43,PMT(LoanRate/12,AmortYears*12-(IOMonths),-BS$43)-BS$45),0)</f>
        <v/>
      </c>
      <c r="BT46" s="50">
        <f>IF(AND(Assumptions!BT$74=1,Assumptions!BT$72&gt;IOMonths,BT$43&gt;0),MIN(BT$43,PMT(LoanRate/12,AmortYears*12-(IOMonths),-BT$43)-BT$45),0)</f>
        <v/>
      </c>
      <c r="BU46" s="50">
        <f>IF(AND(Assumptions!BU$74=1,Assumptions!BU$72&gt;IOMonths,BU$43&gt;0),MIN(BU$43,PMT(LoanRate/12,AmortYears*12-(IOMonths),-BU$43)-BU$45),0)</f>
        <v/>
      </c>
      <c r="BV46" s="50">
        <f>IF(AND(Assumptions!BV$74=1,Assumptions!BV$72&gt;IOMonths,BV$43&gt;0),MIN(BV$43,PMT(LoanRate/12,AmortYears*12-(IOMonths),-BV$43)-BV$45),0)</f>
        <v/>
      </c>
      <c r="BW46" s="50">
        <f>IF(AND(Assumptions!BW$74=1,Assumptions!BW$72&gt;IOMonths,BW$43&gt;0),MIN(BW$43,PMT(LoanRate/12,AmortYears*12-(IOMonths),-BW$43)-BW$45),0)</f>
        <v/>
      </c>
      <c r="BX46" s="50">
        <f>IF(AND(Assumptions!BX$74=1,Assumptions!BX$72&gt;IOMonths,BX$43&gt;0),MIN(BX$43,PMT(LoanRate/12,AmortYears*12-(IOMonths),-BX$43)-BX$45),0)</f>
        <v/>
      </c>
      <c r="BY46" s="50">
        <f>IF(AND(Assumptions!BY$74=1,Assumptions!BY$72&gt;IOMonths,BY$43&gt;0),MIN(BY$43,PMT(LoanRate/12,AmortYears*12-(IOMonths),-BY$43)-BY$45),0)</f>
        <v/>
      </c>
      <c r="BZ46" s="50">
        <f>IF(AND(Assumptions!BZ$74=1,Assumptions!BZ$72&gt;IOMonths,BZ$43&gt;0),MIN(BZ$43,PMT(LoanRate/12,AmortYears*12-(IOMonths),-BZ$43)-BZ$45),0)</f>
        <v/>
      </c>
      <c r="CA46" s="50">
        <f>IF(AND(Assumptions!CA$74=1,Assumptions!CA$72&gt;IOMonths,CA$43&gt;0),MIN(CA$43,PMT(LoanRate/12,AmortYears*12-(IOMonths),-CA$43)-CA$45),0)</f>
        <v/>
      </c>
      <c r="CB46" s="50">
        <f>IF(AND(Assumptions!CB$74=1,Assumptions!CB$72&gt;IOMonths,CB$43&gt;0),MIN(CB$43,PMT(LoanRate/12,AmortYears*12-(IOMonths),-CB$43)-CB$45),0)</f>
        <v/>
      </c>
      <c r="CC46" s="50">
        <f>IF(AND(Assumptions!CC$74=1,Assumptions!CC$72&gt;IOMonths,CC$43&gt;0),MIN(CC$43,PMT(LoanRate/12,AmortYears*12-(IOMonths),-CC$43)-CC$45),0)</f>
        <v/>
      </c>
      <c r="CD46" s="50">
        <f>IF(AND(Assumptions!CD$74=1,Assumptions!CD$72&gt;IOMonths,CD$43&gt;0),MIN(CD$43,PMT(LoanRate/12,AmortYears*12-(IOMonths),-CD$43)-CD$45),0)</f>
        <v/>
      </c>
      <c r="CE46" s="50">
        <f>IF(AND(Assumptions!CE$74=1,Assumptions!CE$72&gt;IOMonths,CE$43&gt;0),MIN(CE$43,PMT(LoanRate/12,AmortYears*12-(IOMonths),-CE$43)-CE$45),0)</f>
        <v/>
      </c>
      <c r="CF46" s="50">
        <f>IF(AND(Assumptions!CF$74=1,Assumptions!CF$72&gt;IOMonths,CF$43&gt;0),MIN(CF$43,PMT(LoanRate/12,AmortYears*12-(IOMonths),-CF$43)-CF$45),0)</f>
        <v/>
      </c>
      <c r="CG46" s="50">
        <f>IF(AND(Assumptions!CG$74=1,Assumptions!CG$72&gt;IOMonths,CG$43&gt;0),MIN(CG$43,PMT(LoanRate/12,AmortYears*12-(IOMonths),-CG$43)-CG$45),0)</f>
        <v/>
      </c>
      <c r="CH46" s="50">
        <f>IF(AND(Assumptions!CH$74=1,Assumptions!CH$72&gt;IOMonths,CH$43&gt;0),MIN(CH$43,PMT(LoanRate/12,AmortYears*12-(IOMonths),-CH$43)-CH$45),0)</f>
        <v/>
      </c>
      <c r="CI46" s="50">
        <f>IF(AND(Assumptions!CI$74=1,Assumptions!CI$72&gt;IOMonths,CI$43&gt;0),MIN(CI$43,PMT(LoanRate/12,AmortYears*12-(IOMonths),-CI$43)-CI$45),0)</f>
        <v/>
      </c>
      <c r="CJ46" s="50">
        <f>IF(AND(Assumptions!CJ$74=1,Assumptions!CJ$72&gt;IOMonths,CJ$43&gt;0),MIN(CJ$43,PMT(LoanRate/12,AmortYears*12-(IOMonths),-CJ$43)-CJ$45),0)</f>
        <v/>
      </c>
      <c r="CK46" s="50">
        <f>IF(AND(Assumptions!CK$74=1,Assumptions!CK$72&gt;IOMonths,CK$43&gt;0),MIN(CK$43,PMT(LoanRate/12,AmortYears*12-(IOMonths),-CK$43)-CK$45),0)</f>
        <v/>
      </c>
      <c r="CL46" s="50">
        <f>IF(AND(Assumptions!CL$74=1,Assumptions!CL$72&gt;IOMonths,CL$43&gt;0),MIN(CL$43,PMT(LoanRate/12,AmortYears*12-(IOMonths),-CL$43)-CL$45),0)</f>
        <v/>
      </c>
      <c r="CM46" s="50">
        <f>IF(AND(Assumptions!CM$74=1,Assumptions!CM$72&gt;IOMonths,CM$43&gt;0),MIN(CM$43,PMT(LoanRate/12,AmortYears*12-(IOMonths),-CM$43)-CM$45),0)</f>
        <v/>
      </c>
      <c r="CN46" s="50">
        <f>IF(AND(Assumptions!CN$74=1,Assumptions!CN$72&gt;IOMonths,CN$43&gt;0),MIN(CN$43,PMT(LoanRate/12,AmortYears*12-(IOMonths),-CN$43)-CN$45),0)</f>
        <v/>
      </c>
      <c r="CO46" s="50">
        <f>IF(AND(Assumptions!CO$74=1,Assumptions!CO$72&gt;IOMonths,CO$43&gt;0),MIN(CO$43,PMT(LoanRate/12,AmortYears*12-(IOMonths),-CO$43)-CO$45),0)</f>
        <v/>
      </c>
      <c r="CP46" s="50">
        <f>IF(AND(Assumptions!CP$74=1,Assumptions!CP$72&gt;IOMonths,CP$43&gt;0),MIN(CP$43,PMT(LoanRate/12,AmortYears*12-(IOMonths),-CP$43)-CP$45),0)</f>
        <v/>
      </c>
      <c r="CQ46" s="50">
        <f>IF(AND(Assumptions!CQ$74=1,Assumptions!CQ$72&gt;IOMonths,CQ$43&gt;0),MIN(CQ$43,PMT(LoanRate/12,AmortYears*12-(IOMonths),-CQ$43)-CQ$45),0)</f>
        <v/>
      </c>
      <c r="CR46" s="50">
        <f>IF(AND(Assumptions!CR$74=1,Assumptions!CR$72&gt;IOMonths,CR$43&gt;0),MIN(CR$43,PMT(LoanRate/12,AmortYears*12-(IOMonths),-CR$43)-CR$45),0)</f>
        <v/>
      </c>
      <c r="CS46" s="50">
        <f>IF(AND(Assumptions!CS$74=1,Assumptions!CS$72&gt;IOMonths,CS$43&gt;0),MIN(CS$43,PMT(LoanRate/12,AmortYears*12-(IOMonths),-CS$43)-CS$45),0)</f>
        <v/>
      </c>
      <c r="CT46" s="50">
        <f>IF(AND(Assumptions!CT$74=1,Assumptions!CT$72&gt;IOMonths,CT$43&gt;0),MIN(CT$43,PMT(LoanRate/12,AmortYears*12-(IOMonths),-CT$43)-CT$45),0)</f>
        <v/>
      </c>
      <c r="CU46" s="50">
        <f>IF(AND(Assumptions!CU$74=1,Assumptions!CU$72&gt;IOMonths,CU$43&gt;0),MIN(CU$43,PMT(LoanRate/12,AmortYears*12-(IOMonths),-CU$43)-CU$45),0)</f>
        <v/>
      </c>
      <c r="CV46" s="50">
        <f>IF(AND(Assumptions!CV$74=1,Assumptions!CV$72&gt;IOMonths,CV$43&gt;0),MIN(CV$43,PMT(LoanRate/12,AmortYears*12-(IOMonths),-CV$43)-CV$45),0)</f>
        <v/>
      </c>
      <c r="CW46" s="50">
        <f>IF(AND(Assumptions!CW$74=1,Assumptions!CW$72&gt;IOMonths,CW$43&gt;0),MIN(CW$43,PMT(LoanRate/12,AmortYears*12-(IOMonths),-CW$43)-CW$45),0)</f>
        <v/>
      </c>
      <c r="CX46" s="50">
        <f>IF(AND(Assumptions!CX$74=1,Assumptions!CX$72&gt;IOMonths,CX$43&gt;0),MIN(CX$43,PMT(LoanRate/12,AmortYears*12-(IOMonths),-CX$43)-CX$45),0)</f>
        <v/>
      </c>
      <c r="CY46" s="50">
        <f>IF(AND(Assumptions!CY$74=1,Assumptions!CY$72&gt;IOMonths,CY$43&gt;0),MIN(CY$43,PMT(LoanRate/12,AmortYears*12-(IOMonths),-CY$43)-CY$45),0)</f>
        <v/>
      </c>
      <c r="CZ46" s="50">
        <f>IF(AND(Assumptions!CZ$74=1,Assumptions!CZ$72&gt;IOMonths,CZ$43&gt;0),MIN(CZ$43,PMT(LoanRate/12,AmortYears*12-(IOMonths),-CZ$43)-CZ$45),0)</f>
        <v/>
      </c>
      <c r="DA46" s="50">
        <f>IF(AND(Assumptions!DA$74=1,Assumptions!DA$72&gt;IOMonths,DA$43&gt;0),MIN(DA$43,PMT(LoanRate/12,AmortYears*12-(IOMonths),-DA$43)-DA$45),0)</f>
        <v/>
      </c>
      <c r="DB46" s="50">
        <f>IF(AND(Assumptions!DB$74=1,Assumptions!DB$72&gt;IOMonths,DB$43&gt;0),MIN(DB$43,PMT(LoanRate/12,AmortYears*12-(IOMonths),-DB$43)-DB$45),0)</f>
        <v/>
      </c>
      <c r="DC46" s="50">
        <f>IF(AND(Assumptions!DC$74=1,Assumptions!DC$72&gt;IOMonths,DC$43&gt;0),MIN(DC$43,PMT(LoanRate/12,AmortYears*12-(IOMonths),-DC$43)-DC$45),0)</f>
        <v/>
      </c>
      <c r="DD46" s="50">
        <f>IF(AND(Assumptions!DD$74=1,Assumptions!DD$72&gt;IOMonths,DD$43&gt;0),MIN(DD$43,PMT(LoanRate/12,AmortYears*12-(IOMonths),-DD$43)-DD$45),0)</f>
        <v/>
      </c>
      <c r="DE46" s="50">
        <f>IF(AND(Assumptions!DE$74=1,Assumptions!DE$72&gt;IOMonths,DE$43&gt;0),MIN(DE$43,PMT(LoanRate/12,AmortYears*12-(IOMonths),-DE$43)-DE$45),0)</f>
        <v/>
      </c>
      <c r="DF46" s="50">
        <f>IF(AND(Assumptions!DF$74=1,Assumptions!DF$72&gt;IOMonths,DF$43&gt;0),MIN(DF$43,PMT(LoanRate/12,AmortYears*12-(IOMonths),-DF$43)-DF$45),0)</f>
        <v/>
      </c>
      <c r="DG46" s="50">
        <f>IF(AND(Assumptions!DG$74=1,Assumptions!DG$72&gt;IOMonths,DG$43&gt;0),MIN(DG$43,PMT(LoanRate/12,AmortYears*12-(IOMonths),-DG$43)-DG$45),0)</f>
        <v/>
      </c>
      <c r="DH46" s="50">
        <f>IF(AND(Assumptions!DH$74=1,Assumptions!DH$72&gt;IOMonths,DH$43&gt;0),MIN(DH$43,PMT(LoanRate/12,AmortYears*12-(IOMonths),-DH$43)-DH$45),0)</f>
        <v/>
      </c>
      <c r="DI46" s="50">
        <f>IF(AND(Assumptions!DI$74=1,Assumptions!DI$72&gt;IOMonths,DI$43&gt;0),MIN(DI$43,PMT(LoanRate/12,AmortYears*12-(IOMonths),-DI$43)-DI$45),0)</f>
        <v/>
      </c>
      <c r="DJ46" s="50">
        <f>IF(AND(Assumptions!DJ$74=1,Assumptions!DJ$72&gt;IOMonths,DJ$43&gt;0),MIN(DJ$43,PMT(LoanRate/12,AmortYears*12-(IOMonths),-DJ$43)-DJ$45),0)</f>
        <v/>
      </c>
      <c r="DK46" s="50">
        <f>IF(AND(Assumptions!DK$74=1,Assumptions!DK$72&gt;IOMonths,DK$43&gt;0),MIN(DK$43,PMT(LoanRate/12,AmortYears*12-(IOMonths),-DK$43)-DK$45),0)</f>
        <v/>
      </c>
      <c r="DL46" s="50">
        <f>IF(AND(Assumptions!DL$74=1,Assumptions!DL$72&gt;IOMonths,DL$43&gt;0),MIN(DL$43,PMT(LoanRate/12,AmortYears*12-(IOMonths),-DL$43)-DL$45),0)</f>
        <v/>
      </c>
      <c r="DM46" s="50">
        <f>IF(AND(Assumptions!DM$74=1,Assumptions!DM$72&gt;IOMonths,DM$43&gt;0),MIN(DM$43,PMT(LoanRate/12,AmortYears*12-(IOMonths),-DM$43)-DM$45),0)</f>
        <v/>
      </c>
      <c r="DN46" s="50">
        <f>IF(AND(Assumptions!DN$74=1,Assumptions!DN$72&gt;IOMonths,DN$43&gt;0),MIN(DN$43,PMT(LoanRate/12,AmortYears*12-(IOMonths),-DN$43)-DN$45),0)</f>
        <v/>
      </c>
      <c r="DO46" s="50">
        <f>IF(AND(Assumptions!DO$74=1,Assumptions!DO$72&gt;IOMonths,DO$43&gt;0),MIN(DO$43,PMT(LoanRate/12,AmortYears*12-(IOMonths),-DO$43)-DO$45),0)</f>
        <v/>
      </c>
      <c r="DP46" s="50">
        <f>IF(AND(Assumptions!DP$74=1,Assumptions!DP$72&gt;IOMonths,DP$43&gt;0),MIN(DP$43,PMT(LoanRate/12,AmortYears*12-(IOMonths),-DP$43)-DP$45),0)</f>
        <v/>
      </c>
      <c r="DQ46" s="50">
        <f>IF(AND(Assumptions!DQ$74=1,Assumptions!DQ$72&gt;IOMonths,DQ$43&gt;0),MIN(DQ$43,PMT(LoanRate/12,AmortYears*12-(IOMonths),-DQ$43)-DQ$45),0)</f>
        <v/>
      </c>
      <c r="DR46" s="50">
        <f>IF(AND(Assumptions!DR$74=1,Assumptions!DR$72&gt;IOMonths,DR$43&gt;0),MIN(DR$43,PMT(LoanRate/12,AmortYears*12-(IOMonths),-DR$43)-DR$45),0)</f>
        <v/>
      </c>
      <c r="DS46" s="50">
        <f>IF(AND(Assumptions!DS$74=1,Assumptions!DS$72&gt;IOMonths,DS$43&gt;0),MIN(DS$43,PMT(LoanRate/12,AmortYears*12-(IOMonths),-DS$43)-DS$45),0)</f>
        <v/>
      </c>
      <c r="DT46" s="50">
        <f>IF(AND(Assumptions!DT$74=1,Assumptions!DT$72&gt;IOMonths,DT$43&gt;0),MIN(DT$43,PMT(LoanRate/12,AmortYears*12-(IOMonths),-DT$43)-DT$45),0)</f>
        <v/>
      </c>
    </row>
    <row r="47">
      <c r="A47" s="10" t="inlineStr">
        <is>
          <t>Debt service ($/mo)</t>
        </is>
      </c>
      <c r="E47" s="50">
        <f>E$45+E$46</f>
        <v/>
      </c>
      <c r="F47" s="50">
        <f>F$45+F$46</f>
        <v/>
      </c>
      <c r="G47" s="50">
        <f>G$45+G$46</f>
        <v/>
      </c>
      <c r="H47" s="50">
        <f>H$45+H$46</f>
        <v/>
      </c>
      <c r="I47" s="50">
        <f>I$45+I$46</f>
        <v/>
      </c>
      <c r="J47" s="50">
        <f>J$45+J$46</f>
        <v/>
      </c>
      <c r="K47" s="50">
        <f>K$45+K$46</f>
        <v/>
      </c>
      <c r="L47" s="50">
        <f>L$45+L$46</f>
        <v/>
      </c>
      <c r="M47" s="50">
        <f>M$45+M$46</f>
        <v/>
      </c>
      <c r="N47" s="50">
        <f>N$45+N$46</f>
        <v/>
      </c>
      <c r="O47" s="50">
        <f>O$45+O$46</f>
        <v/>
      </c>
      <c r="P47" s="50">
        <f>P$45+P$46</f>
        <v/>
      </c>
      <c r="Q47" s="50">
        <f>Q$45+Q$46</f>
        <v/>
      </c>
      <c r="R47" s="50">
        <f>R$45+R$46</f>
        <v/>
      </c>
      <c r="S47" s="50">
        <f>S$45+S$46</f>
        <v/>
      </c>
      <c r="T47" s="50">
        <f>T$45+T$46</f>
        <v/>
      </c>
      <c r="U47" s="50">
        <f>U$45+U$46</f>
        <v/>
      </c>
      <c r="V47" s="50">
        <f>V$45+V$46</f>
        <v/>
      </c>
      <c r="W47" s="50">
        <f>W$45+W$46</f>
        <v/>
      </c>
      <c r="X47" s="50">
        <f>X$45+X$46</f>
        <v/>
      </c>
      <c r="Y47" s="50">
        <f>Y$45+Y$46</f>
        <v/>
      </c>
      <c r="Z47" s="50">
        <f>Z$45+Z$46</f>
        <v/>
      </c>
      <c r="AA47" s="50">
        <f>AA$45+AA$46</f>
        <v/>
      </c>
      <c r="AB47" s="50">
        <f>AB$45+AB$46</f>
        <v/>
      </c>
      <c r="AC47" s="50">
        <f>AC$45+AC$46</f>
        <v/>
      </c>
      <c r="AD47" s="50">
        <f>AD$45+AD$46</f>
        <v/>
      </c>
      <c r="AE47" s="50">
        <f>AE$45+AE$46</f>
        <v/>
      </c>
      <c r="AF47" s="50">
        <f>AF$45+AF$46</f>
        <v/>
      </c>
      <c r="AG47" s="50">
        <f>AG$45+AG$46</f>
        <v/>
      </c>
      <c r="AH47" s="50">
        <f>AH$45+AH$46</f>
        <v/>
      </c>
      <c r="AI47" s="50">
        <f>AI$45+AI$46</f>
        <v/>
      </c>
      <c r="AJ47" s="50">
        <f>AJ$45+AJ$46</f>
        <v/>
      </c>
      <c r="AK47" s="50">
        <f>AK$45+AK$46</f>
        <v/>
      </c>
      <c r="AL47" s="50">
        <f>AL$45+AL$46</f>
        <v/>
      </c>
      <c r="AM47" s="50">
        <f>AM$45+AM$46</f>
        <v/>
      </c>
      <c r="AN47" s="50">
        <f>AN$45+AN$46</f>
        <v/>
      </c>
      <c r="AO47" s="50">
        <f>AO$45+AO$46</f>
        <v/>
      </c>
      <c r="AP47" s="50">
        <f>AP$45+AP$46</f>
        <v/>
      </c>
      <c r="AQ47" s="50">
        <f>AQ$45+AQ$46</f>
        <v/>
      </c>
      <c r="AR47" s="50">
        <f>AR$45+AR$46</f>
        <v/>
      </c>
      <c r="AS47" s="50">
        <f>AS$45+AS$46</f>
        <v/>
      </c>
      <c r="AT47" s="50">
        <f>AT$45+AT$46</f>
        <v/>
      </c>
      <c r="AU47" s="50">
        <f>AU$45+AU$46</f>
        <v/>
      </c>
      <c r="AV47" s="50">
        <f>AV$45+AV$46</f>
        <v/>
      </c>
      <c r="AW47" s="50">
        <f>AW$45+AW$46</f>
        <v/>
      </c>
      <c r="AX47" s="50">
        <f>AX$45+AX$46</f>
        <v/>
      </c>
      <c r="AY47" s="50">
        <f>AY$45+AY$46</f>
        <v/>
      </c>
      <c r="AZ47" s="50">
        <f>AZ$45+AZ$46</f>
        <v/>
      </c>
      <c r="BA47" s="50">
        <f>BA$45+BA$46</f>
        <v/>
      </c>
      <c r="BB47" s="50">
        <f>BB$45+BB$46</f>
        <v/>
      </c>
      <c r="BC47" s="50">
        <f>BC$45+BC$46</f>
        <v/>
      </c>
      <c r="BD47" s="50">
        <f>BD$45+BD$46</f>
        <v/>
      </c>
      <c r="BE47" s="50">
        <f>BE$45+BE$46</f>
        <v/>
      </c>
      <c r="BF47" s="50">
        <f>BF$45+BF$46</f>
        <v/>
      </c>
      <c r="BG47" s="50">
        <f>BG$45+BG$46</f>
        <v/>
      </c>
      <c r="BH47" s="50">
        <f>BH$45+BH$46</f>
        <v/>
      </c>
      <c r="BI47" s="50">
        <f>BI$45+BI$46</f>
        <v/>
      </c>
      <c r="BJ47" s="50">
        <f>BJ$45+BJ$46</f>
        <v/>
      </c>
      <c r="BK47" s="50">
        <f>BK$45+BK$46</f>
        <v/>
      </c>
      <c r="BL47" s="50">
        <f>BL$45+BL$46</f>
        <v/>
      </c>
      <c r="BM47" s="50">
        <f>BM$45+BM$46</f>
        <v/>
      </c>
      <c r="BN47" s="50">
        <f>BN$45+BN$46</f>
        <v/>
      </c>
      <c r="BO47" s="50">
        <f>BO$45+BO$46</f>
        <v/>
      </c>
      <c r="BP47" s="50">
        <f>BP$45+BP$46</f>
        <v/>
      </c>
      <c r="BQ47" s="50">
        <f>BQ$45+BQ$46</f>
        <v/>
      </c>
      <c r="BR47" s="50">
        <f>BR$45+BR$46</f>
        <v/>
      </c>
      <c r="BS47" s="50">
        <f>BS$45+BS$46</f>
        <v/>
      </c>
      <c r="BT47" s="50">
        <f>BT$45+BT$46</f>
        <v/>
      </c>
      <c r="BU47" s="50">
        <f>BU$45+BU$46</f>
        <v/>
      </c>
      <c r="BV47" s="50">
        <f>BV$45+BV$46</f>
        <v/>
      </c>
      <c r="BW47" s="50">
        <f>BW$45+BW$46</f>
        <v/>
      </c>
      <c r="BX47" s="50">
        <f>BX$45+BX$46</f>
        <v/>
      </c>
      <c r="BY47" s="50">
        <f>BY$45+BY$46</f>
        <v/>
      </c>
      <c r="BZ47" s="50">
        <f>BZ$45+BZ$46</f>
        <v/>
      </c>
      <c r="CA47" s="50">
        <f>CA$45+CA$46</f>
        <v/>
      </c>
      <c r="CB47" s="50">
        <f>CB$45+CB$46</f>
        <v/>
      </c>
      <c r="CC47" s="50">
        <f>CC$45+CC$46</f>
        <v/>
      </c>
      <c r="CD47" s="50">
        <f>CD$45+CD$46</f>
        <v/>
      </c>
      <c r="CE47" s="50">
        <f>CE$45+CE$46</f>
        <v/>
      </c>
      <c r="CF47" s="50">
        <f>CF$45+CF$46</f>
        <v/>
      </c>
      <c r="CG47" s="50">
        <f>CG$45+CG$46</f>
        <v/>
      </c>
      <c r="CH47" s="50">
        <f>CH$45+CH$46</f>
        <v/>
      </c>
      <c r="CI47" s="50">
        <f>CI$45+CI$46</f>
        <v/>
      </c>
      <c r="CJ47" s="50">
        <f>CJ$45+CJ$46</f>
        <v/>
      </c>
      <c r="CK47" s="50">
        <f>CK$45+CK$46</f>
        <v/>
      </c>
      <c r="CL47" s="50">
        <f>CL$45+CL$46</f>
        <v/>
      </c>
      <c r="CM47" s="50">
        <f>CM$45+CM$46</f>
        <v/>
      </c>
      <c r="CN47" s="50">
        <f>CN$45+CN$46</f>
        <v/>
      </c>
      <c r="CO47" s="50">
        <f>CO$45+CO$46</f>
        <v/>
      </c>
      <c r="CP47" s="50">
        <f>CP$45+CP$46</f>
        <v/>
      </c>
      <c r="CQ47" s="50">
        <f>CQ$45+CQ$46</f>
        <v/>
      </c>
      <c r="CR47" s="50">
        <f>CR$45+CR$46</f>
        <v/>
      </c>
      <c r="CS47" s="50">
        <f>CS$45+CS$46</f>
        <v/>
      </c>
      <c r="CT47" s="50">
        <f>CT$45+CT$46</f>
        <v/>
      </c>
      <c r="CU47" s="50">
        <f>CU$45+CU$46</f>
        <v/>
      </c>
      <c r="CV47" s="50">
        <f>CV$45+CV$46</f>
        <v/>
      </c>
      <c r="CW47" s="50">
        <f>CW$45+CW$46</f>
        <v/>
      </c>
      <c r="CX47" s="50">
        <f>CX$45+CX$46</f>
        <v/>
      </c>
      <c r="CY47" s="50">
        <f>CY$45+CY$46</f>
        <v/>
      </c>
      <c r="CZ47" s="50">
        <f>CZ$45+CZ$46</f>
        <v/>
      </c>
      <c r="DA47" s="50">
        <f>DA$45+DA$46</f>
        <v/>
      </c>
      <c r="DB47" s="50">
        <f>DB$45+DB$46</f>
        <v/>
      </c>
      <c r="DC47" s="50">
        <f>DC$45+DC$46</f>
        <v/>
      </c>
      <c r="DD47" s="50">
        <f>DD$45+DD$46</f>
        <v/>
      </c>
      <c r="DE47" s="50">
        <f>DE$45+DE$46</f>
        <v/>
      </c>
      <c r="DF47" s="50">
        <f>DF$45+DF$46</f>
        <v/>
      </c>
      <c r="DG47" s="50">
        <f>DG$45+DG$46</f>
        <v/>
      </c>
      <c r="DH47" s="50">
        <f>DH$45+DH$46</f>
        <v/>
      </c>
      <c r="DI47" s="50">
        <f>DI$45+DI$46</f>
        <v/>
      </c>
      <c r="DJ47" s="50">
        <f>DJ$45+DJ$46</f>
        <v/>
      </c>
      <c r="DK47" s="50">
        <f>DK$45+DK$46</f>
        <v/>
      </c>
      <c r="DL47" s="50">
        <f>DL$45+DL$46</f>
        <v/>
      </c>
      <c r="DM47" s="50">
        <f>DM$45+DM$46</f>
        <v/>
      </c>
      <c r="DN47" s="50">
        <f>DN$45+DN$46</f>
        <v/>
      </c>
      <c r="DO47" s="50">
        <f>DO$45+DO$46</f>
        <v/>
      </c>
      <c r="DP47" s="50">
        <f>DP$45+DP$46</f>
        <v/>
      </c>
      <c r="DQ47" s="50">
        <f>DQ$45+DQ$46</f>
        <v/>
      </c>
      <c r="DR47" s="50">
        <f>DR$45+DR$46</f>
        <v/>
      </c>
      <c r="DS47" s="50">
        <f>DS$45+DS$46</f>
        <v/>
      </c>
      <c r="DT47" s="50">
        <f>DT$45+DT$46</f>
        <v/>
      </c>
    </row>
    <row r="48">
      <c r="A48" s="10" t="inlineStr">
        <is>
          <t>Loan draw ($)</t>
        </is>
      </c>
      <c r="E48" s="50">
        <f>LoanAmount</f>
        <v/>
      </c>
      <c r="F48" s="50">
        <f>IF(AND(RefiOn="On",Assumptions!F$72=RefiMonth),RefiLoan,0)</f>
        <v/>
      </c>
      <c r="G48" s="50">
        <f>IF(AND(RefiOn="On",Assumptions!G$72=RefiMonth),RefiLoan,0)</f>
        <v/>
      </c>
      <c r="H48" s="50">
        <f>IF(AND(RefiOn="On",Assumptions!H$72=RefiMonth),RefiLoan,0)</f>
        <v/>
      </c>
      <c r="I48" s="50">
        <f>IF(AND(RefiOn="On",Assumptions!I$72=RefiMonth),RefiLoan,0)</f>
        <v/>
      </c>
      <c r="J48" s="50">
        <f>IF(AND(RefiOn="On",Assumptions!J$72=RefiMonth),RefiLoan,0)</f>
        <v/>
      </c>
      <c r="K48" s="50">
        <f>IF(AND(RefiOn="On",Assumptions!K$72=RefiMonth),RefiLoan,0)</f>
        <v/>
      </c>
      <c r="L48" s="50">
        <f>IF(AND(RefiOn="On",Assumptions!L$72=RefiMonth),RefiLoan,0)</f>
        <v/>
      </c>
      <c r="M48" s="50">
        <f>IF(AND(RefiOn="On",Assumptions!M$72=RefiMonth),RefiLoan,0)</f>
        <v/>
      </c>
      <c r="N48" s="50">
        <f>IF(AND(RefiOn="On",Assumptions!N$72=RefiMonth),RefiLoan,0)</f>
        <v/>
      </c>
      <c r="O48" s="50">
        <f>IF(AND(RefiOn="On",Assumptions!O$72=RefiMonth),RefiLoan,0)</f>
        <v/>
      </c>
      <c r="P48" s="50">
        <f>IF(AND(RefiOn="On",Assumptions!P$72=RefiMonth),RefiLoan,0)</f>
        <v/>
      </c>
      <c r="Q48" s="50">
        <f>IF(AND(RefiOn="On",Assumptions!Q$72=RefiMonth),RefiLoan,0)</f>
        <v/>
      </c>
      <c r="R48" s="50">
        <f>IF(AND(RefiOn="On",Assumptions!R$72=RefiMonth),RefiLoan,0)</f>
        <v/>
      </c>
      <c r="S48" s="50">
        <f>IF(AND(RefiOn="On",Assumptions!S$72=RefiMonth),RefiLoan,0)</f>
        <v/>
      </c>
      <c r="T48" s="50">
        <f>IF(AND(RefiOn="On",Assumptions!T$72=RefiMonth),RefiLoan,0)</f>
        <v/>
      </c>
      <c r="U48" s="50">
        <f>IF(AND(RefiOn="On",Assumptions!U$72=RefiMonth),RefiLoan,0)</f>
        <v/>
      </c>
      <c r="V48" s="50">
        <f>IF(AND(RefiOn="On",Assumptions!V$72=RefiMonth),RefiLoan,0)</f>
        <v/>
      </c>
      <c r="W48" s="50">
        <f>IF(AND(RefiOn="On",Assumptions!W$72=RefiMonth),RefiLoan,0)</f>
        <v/>
      </c>
      <c r="X48" s="50">
        <f>IF(AND(RefiOn="On",Assumptions!X$72=RefiMonth),RefiLoan,0)</f>
        <v/>
      </c>
      <c r="Y48" s="50">
        <f>IF(AND(RefiOn="On",Assumptions!Y$72=RefiMonth),RefiLoan,0)</f>
        <v/>
      </c>
      <c r="Z48" s="50">
        <f>IF(AND(RefiOn="On",Assumptions!Z$72=RefiMonth),RefiLoan,0)</f>
        <v/>
      </c>
      <c r="AA48" s="50">
        <f>IF(AND(RefiOn="On",Assumptions!AA$72=RefiMonth),RefiLoan,0)</f>
        <v/>
      </c>
      <c r="AB48" s="50">
        <f>IF(AND(RefiOn="On",Assumptions!AB$72=RefiMonth),RefiLoan,0)</f>
        <v/>
      </c>
      <c r="AC48" s="50">
        <f>IF(AND(RefiOn="On",Assumptions!AC$72=RefiMonth),RefiLoan,0)</f>
        <v/>
      </c>
      <c r="AD48" s="50">
        <f>IF(AND(RefiOn="On",Assumptions!AD$72=RefiMonth),RefiLoan,0)</f>
        <v/>
      </c>
      <c r="AE48" s="50">
        <f>IF(AND(RefiOn="On",Assumptions!AE$72=RefiMonth),RefiLoan,0)</f>
        <v/>
      </c>
      <c r="AF48" s="50">
        <f>IF(AND(RefiOn="On",Assumptions!AF$72=RefiMonth),RefiLoan,0)</f>
        <v/>
      </c>
      <c r="AG48" s="50">
        <f>IF(AND(RefiOn="On",Assumptions!AG$72=RefiMonth),RefiLoan,0)</f>
        <v/>
      </c>
      <c r="AH48" s="50">
        <f>IF(AND(RefiOn="On",Assumptions!AH$72=RefiMonth),RefiLoan,0)</f>
        <v/>
      </c>
      <c r="AI48" s="50">
        <f>IF(AND(RefiOn="On",Assumptions!AI$72=RefiMonth),RefiLoan,0)</f>
        <v/>
      </c>
      <c r="AJ48" s="50">
        <f>IF(AND(RefiOn="On",Assumptions!AJ$72=RefiMonth),RefiLoan,0)</f>
        <v/>
      </c>
      <c r="AK48" s="50">
        <f>IF(AND(RefiOn="On",Assumptions!AK$72=RefiMonth),RefiLoan,0)</f>
        <v/>
      </c>
      <c r="AL48" s="50">
        <f>IF(AND(RefiOn="On",Assumptions!AL$72=RefiMonth),RefiLoan,0)</f>
        <v/>
      </c>
      <c r="AM48" s="50">
        <f>IF(AND(RefiOn="On",Assumptions!AM$72=RefiMonth),RefiLoan,0)</f>
        <v/>
      </c>
      <c r="AN48" s="50">
        <f>IF(AND(RefiOn="On",Assumptions!AN$72=RefiMonth),RefiLoan,0)</f>
        <v/>
      </c>
      <c r="AO48" s="50">
        <f>IF(AND(RefiOn="On",Assumptions!AO$72=RefiMonth),RefiLoan,0)</f>
        <v/>
      </c>
      <c r="AP48" s="50">
        <f>IF(AND(RefiOn="On",Assumptions!AP$72=RefiMonth),RefiLoan,0)</f>
        <v/>
      </c>
      <c r="AQ48" s="50">
        <f>IF(AND(RefiOn="On",Assumptions!AQ$72=RefiMonth),RefiLoan,0)</f>
        <v/>
      </c>
      <c r="AR48" s="50">
        <f>IF(AND(RefiOn="On",Assumptions!AR$72=RefiMonth),RefiLoan,0)</f>
        <v/>
      </c>
      <c r="AS48" s="50">
        <f>IF(AND(RefiOn="On",Assumptions!AS$72=RefiMonth),RefiLoan,0)</f>
        <v/>
      </c>
      <c r="AT48" s="50">
        <f>IF(AND(RefiOn="On",Assumptions!AT$72=RefiMonth),RefiLoan,0)</f>
        <v/>
      </c>
      <c r="AU48" s="50">
        <f>IF(AND(RefiOn="On",Assumptions!AU$72=RefiMonth),RefiLoan,0)</f>
        <v/>
      </c>
      <c r="AV48" s="50">
        <f>IF(AND(RefiOn="On",Assumptions!AV$72=RefiMonth),RefiLoan,0)</f>
        <v/>
      </c>
      <c r="AW48" s="50">
        <f>IF(AND(RefiOn="On",Assumptions!AW$72=RefiMonth),RefiLoan,0)</f>
        <v/>
      </c>
      <c r="AX48" s="50">
        <f>IF(AND(RefiOn="On",Assumptions!AX$72=RefiMonth),RefiLoan,0)</f>
        <v/>
      </c>
      <c r="AY48" s="50">
        <f>IF(AND(RefiOn="On",Assumptions!AY$72=RefiMonth),RefiLoan,0)</f>
        <v/>
      </c>
      <c r="AZ48" s="50">
        <f>IF(AND(RefiOn="On",Assumptions!AZ$72=RefiMonth),RefiLoan,0)</f>
        <v/>
      </c>
      <c r="BA48" s="50">
        <f>IF(AND(RefiOn="On",Assumptions!BA$72=RefiMonth),RefiLoan,0)</f>
        <v/>
      </c>
      <c r="BB48" s="50">
        <f>IF(AND(RefiOn="On",Assumptions!BB$72=RefiMonth),RefiLoan,0)</f>
        <v/>
      </c>
      <c r="BC48" s="50">
        <f>IF(AND(RefiOn="On",Assumptions!BC$72=RefiMonth),RefiLoan,0)</f>
        <v/>
      </c>
      <c r="BD48" s="50">
        <f>IF(AND(RefiOn="On",Assumptions!BD$72=RefiMonth),RefiLoan,0)</f>
        <v/>
      </c>
      <c r="BE48" s="50">
        <f>IF(AND(RefiOn="On",Assumptions!BE$72=RefiMonth),RefiLoan,0)</f>
        <v/>
      </c>
      <c r="BF48" s="50">
        <f>IF(AND(RefiOn="On",Assumptions!BF$72=RefiMonth),RefiLoan,0)</f>
        <v/>
      </c>
      <c r="BG48" s="50">
        <f>IF(AND(RefiOn="On",Assumptions!BG$72=RefiMonth),RefiLoan,0)</f>
        <v/>
      </c>
      <c r="BH48" s="50">
        <f>IF(AND(RefiOn="On",Assumptions!BH$72=RefiMonth),RefiLoan,0)</f>
        <v/>
      </c>
      <c r="BI48" s="50">
        <f>IF(AND(RefiOn="On",Assumptions!BI$72=RefiMonth),RefiLoan,0)</f>
        <v/>
      </c>
      <c r="BJ48" s="50">
        <f>IF(AND(RefiOn="On",Assumptions!BJ$72=RefiMonth),RefiLoan,0)</f>
        <v/>
      </c>
      <c r="BK48" s="50">
        <f>IF(AND(RefiOn="On",Assumptions!BK$72=RefiMonth),RefiLoan,0)</f>
        <v/>
      </c>
      <c r="BL48" s="50">
        <f>IF(AND(RefiOn="On",Assumptions!BL$72=RefiMonth),RefiLoan,0)</f>
        <v/>
      </c>
      <c r="BM48" s="50">
        <f>IF(AND(RefiOn="On",Assumptions!BM$72=RefiMonth),RefiLoan,0)</f>
        <v/>
      </c>
      <c r="BN48" s="50">
        <f>IF(AND(RefiOn="On",Assumptions!BN$72=RefiMonth),RefiLoan,0)</f>
        <v/>
      </c>
      <c r="BO48" s="50">
        <f>IF(AND(RefiOn="On",Assumptions!BO$72=RefiMonth),RefiLoan,0)</f>
        <v/>
      </c>
      <c r="BP48" s="50">
        <f>IF(AND(RefiOn="On",Assumptions!BP$72=RefiMonth),RefiLoan,0)</f>
        <v/>
      </c>
      <c r="BQ48" s="50">
        <f>IF(AND(RefiOn="On",Assumptions!BQ$72=RefiMonth),RefiLoan,0)</f>
        <v/>
      </c>
      <c r="BR48" s="50">
        <f>IF(AND(RefiOn="On",Assumptions!BR$72=RefiMonth),RefiLoan,0)</f>
        <v/>
      </c>
      <c r="BS48" s="50">
        <f>IF(AND(RefiOn="On",Assumptions!BS$72=RefiMonth),RefiLoan,0)</f>
        <v/>
      </c>
      <c r="BT48" s="50">
        <f>IF(AND(RefiOn="On",Assumptions!BT$72=RefiMonth),RefiLoan,0)</f>
        <v/>
      </c>
      <c r="BU48" s="50">
        <f>IF(AND(RefiOn="On",Assumptions!BU$72=RefiMonth),RefiLoan,0)</f>
        <v/>
      </c>
      <c r="BV48" s="50">
        <f>IF(AND(RefiOn="On",Assumptions!BV$72=RefiMonth),RefiLoan,0)</f>
        <v/>
      </c>
      <c r="BW48" s="50">
        <f>IF(AND(RefiOn="On",Assumptions!BW$72=RefiMonth),RefiLoan,0)</f>
        <v/>
      </c>
      <c r="BX48" s="50">
        <f>IF(AND(RefiOn="On",Assumptions!BX$72=RefiMonth),RefiLoan,0)</f>
        <v/>
      </c>
      <c r="BY48" s="50">
        <f>IF(AND(RefiOn="On",Assumptions!BY$72=RefiMonth),RefiLoan,0)</f>
        <v/>
      </c>
      <c r="BZ48" s="50">
        <f>IF(AND(RefiOn="On",Assumptions!BZ$72=RefiMonth),RefiLoan,0)</f>
        <v/>
      </c>
      <c r="CA48" s="50">
        <f>IF(AND(RefiOn="On",Assumptions!CA$72=RefiMonth),RefiLoan,0)</f>
        <v/>
      </c>
      <c r="CB48" s="50">
        <f>IF(AND(RefiOn="On",Assumptions!CB$72=RefiMonth),RefiLoan,0)</f>
        <v/>
      </c>
      <c r="CC48" s="50">
        <f>IF(AND(RefiOn="On",Assumptions!CC$72=RefiMonth),RefiLoan,0)</f>
        <v/>
      </c>
      <c r="CD48" s="50">
        <f>IF(AND(RefiOn="On",Assumptions!CD$72=RefiMonth),RefiLoan,0)</f>
        <v/>
      </c>
      <c r="CE48" s="50">
        <f>IF(AND(RefiOn="On",Assumptions!CE$72=RefiMonth),RefiLoan,0)</f>
        <v/>
      </c>
      <c r="CF48" s="50">
        <f>IF(AND(RefiOn="On",Assumptions!CF$72=RefiMonth),RefiLoan,0)</f>
        <v/>
      </c>
      <c r="CG48" s="50">
        <f>IF(AND(RefiOn="On",Assumptions!CG$72=RefiMonth),RefiLoan,0)</f>
        <v/>
      </c>
      <c r="CH48" s="50">
        <f>IF(AND(RefiOn="On",Assumptions!CH$72=RefiMonth),RefiLoan,0)</f>
        <v/>
      </c>
      <c r="CI48" s="50">
        <f>IF(AND(RefiOn="On",Assumptions!CI$72=RefiMonth),RefiLoan,0)</f>
        <v/>
      </c>
      <c r="CJ48" s="50">
        <f>IF(AND(RefiOn="On",Assumptions!CJ$72=RefiMonth),RefiLoan,0)</f>
        <v/>
      </c>
      <c r="CK48" s="50">
        <f>IF(AND(RefiOn="On",Assumptions!CK$72=RefiMonth),RefiLoan,0)</f>
        <v/>
      </c>
      <c r="CL48" s="50">
        <f>IF(AND(RefiOn="On",Assumptions!CL$72=RefiMonth),RefiLoan,0)</f>
        <v/>
      </c>
      <c r="CM48" s="50">
        <f>IF(AND(RefiOn="On",Assumptions!CM$72=RefiMonth),RefiLoan,0)</f>
        <v/>
      </c>
      <c r="CN48" s="50">
        <f>IF(AND(RefiOn="On",Assumptions!CN$72=RefiMonth),RefiLoan,0)</f>
        <v/>
      </c>
      <c r="CO48" s="50">
        <f>IF(AND(RefiOn="On",Assumptions!CO$72=RefiMonth),RefiLoan,0)</f>
        <v/>
      </c>
      <c r="CP48" s="50">
        <f>IF(AND(RefiOn="On",Assumptions!CP$72=RefiMonth),RefiLoan,0)</f>
        <v/>
      </c>
      <c r="CQ48" s="50">
        <f>IF(AND(RefiOn="On",Assumptions!CQ$72=RefiMonth),RefiLoan,0)</f>
        <v/>
      </c>
      <c r="CR48" s="50">
        <f>IF(AND(RefiOn="On",Assumptions!CR$72=RefiMonth),RefiLoan,0)</f>
        <v/>
      </c>
      <c r="CS48" s="50">
        <f>IF(AND(RefiOn="On",Assumptions!CS$72=RefiMonth),RefiLoan,0)</f>
        <v/>
      </c>
      <c r="CT48" s="50">
        <f>IF(AND(RefiOn="On",Assumptions!CT$72=RefiMonth),RefiLoan,0)</f>
        <v/>
      </c>
      <c r="CU48" s="50">
        <f>IF(AND(RefiOn="On",Assumptions!CU$72=RefiMonth),RefiLoan,0)</f>
        <v/>
      </c>
      <c r="CV48" s="50">
        <f>IF(AND(RefiOn="On",Assumptions!CV$72=RefiMonth),RefiLoan,0)</f>
        <v/>
      </c>
      <c r="CW48" s="50">
        <f>IF(AND(RefiOn="On",Assumptions!CW$72=RefiMonth),RefiLoan,0)</f>
        <v/>
      </c>
      <c r="CX48" s="50">
        <f>IF(AND(RefiOn="On",Assumptions!CX$72=RefiMonth),RefiLoan,0)</f>
        <v/>
      </c>
      <c r="CY48" s="50">
        <f>IF(AND(RefiOn="On",Assumptions!CY$72=RefiMonth),RefiLoan,0)</f>
        <v/>
      </c>
      <c r="CZ48" s="50">
        <f>IF(AND(RefiOn="On",Assumptions!CZ$72=RefiMonth),RefiLoan,0)</f>
        <v/>
      </c>
      <c r="DA48" s="50">
        <f>IF(AND(RefiOn="On",Assumptions!DA$72=RefiMonth),RefiLoan,0)</f>
        <v/>
      </c>
      <c r="DB48" s="50">
        <f>IF(AND(RefiOn="On",Assumptions!DB$72=RefiMonth),RefiLoan,0)</f>
        <v/>
      </c>
      <c r="DC48" s="50">
        <f>IF(AND(RefiOn="On",Assumptions!DC$72=RefiMonth),RefiLoan,0)</f>
        <v/>
      </c>
      <c r="DD48" s="50">
        <f>IF(AND(RefiOn="On",Assumptions!DD$72=RefiMonth),RefiLoan,0)</f>
        <v/>
      </c>
      <c r="DE48" s="50">
        <f>IF(AND(RefiOn="On",Assumptions!DE$72=RefiMonth),RefiLoan,0)</f>
        <v/>
      </c>
      <c r="DF48" s="50">
        <f>IF(AND(RefiOn="On",Assumptions!DF$72=RefiMonth),RefiLoan,0)</f>
        <v/>
      </c>
      <c r="DG48" s="50">
        <f>IF(AND(RefiOn="On",Assumptions!DG$72=RefiMonth),RefiLoan,0)</f>
        <v/>
      </c>
      <c r="DH48" s="50">
        <f>IF(AND(RefiOn="On",Assumptions!DH$72=RefiMonth),RefiLoan,0)</f>
        <v/>
      </c>
      <c r="DI48" s="50">
        <f>IF(AND(RefiOn="On",Assumptions!DI$72=RefiMonth),RefiLoan,0)</f>
        <v/>
      </c>
      <c r="DJ48" s="50">
        <f>IF(AND(RefiOn="On",Assumptions!DJ$72=RefiMonth),RefiLoan,0)</f>
        <v/>
      </c>
      <c r="DK48" s="50">
        <f>IF(AND(RefiOn="On",Assumptions!DK$72=RefiMonth),RefiLoan,0)</f>
        <v/>
      </c>
      <c r="DL48" s="50">
        <f>IF(AND(RefiOn="On",Assumptions!DL$72=RefiMonth),RefiLoan,0)</f>
        <v/>
      </c>
      <c r="DM48" s="50">
        <f>IF(AND(RefiOn="On",Assumptions!DM$72=RefiMonth),RefiLoan,0)</f>
        <v/>
      </c>
      <c r="DN48" s="50">
        <f>IF(AND(RefiOn="On",Assumptions!DN$72=RefiMonth),RefiLoan,0)</f>
        <v/>
      </c>
      <c r="DO48" s="50">
        <f>IF(AND(RefiOn="On",Assumptions!DO$72=RefiMonth),RefiLoan,0)</f>
        <v/>
      </c>
      <c r="DP48" s="50">
        <f>IF(AND(RefiOn="On",Assumptions!DP$72=RefiMonth),RefiLoan,0)</f>
        <v/>
      </c>
      <c r="DQ48" s="50">
        <f>IF(AND(RefiOn="On",Assumptions!DQ$72=RefiMonth),RefiLoan,0)</f>
        <v/>
      </c>
      <c r="DR48" s="50">
        <f>IF(AND(RefiOn="On",Assumptions!DR$72=RefiMonth),RefiLoan,0)</f>
        <v/>
      </c>
      <c r="DS48" s="50">
        <f>IF(AND(RefiOn="On",Assumptions!DS$72=RefiMonth),RefiLoan,0)</f>
        <v/>
      </c>
      <c r="DT48" s="50">
        <f>IF(AND(RefiOn="On",Assumptions!DT$72=RefiMonth),RefiLoan,0)</f>
        <v/>
      </c>
    </row>
    <row r="49">
      <c r="A49" s="10" t="inlineStr">
        <is>
          <t>Refi payoff / event ($)</t>
        </is>
      </c>
      <c r="E49" s="50">
        <f>IF(AND(RefiOn="On",Assumptions!E$72=RefiMonth),-E$43,0)</f>
        <v/>
      </c>
      <c r="F49" s="50">
        <f>IF(AND(RefiOn="On",Assumptions!F$72=RefiMonth),-F$43,0)</f>
        <v/>
      </c>
      <c r="G49" s="50">
        <f>IF(AND(RefiOn="On",Assumptions!G$72=RefiMonth),-G$43,0)</f>
        <v/>
      </c>
      <c r="H49" s="50">
        <f>IF(AND(RefiOn="On",Assumptions!H$72=RefiMonth),-H$43,0)</f>
        <v/>
      </c>
      <c r="I49" s="50">
        <f>IF(AND(RefiOn="On",Assumptions!I$72=RefiMonth),-I$43,0)</f>
        <v/>
      </c>
      <c r="J49" s="50">
        <f>IF(AND(RefiOn="On",Assumptions!J$72=RefiMonth),-J$43,0)</f>
        <v/>
      </c>
      <c r="K49" s="50">
        <f>IF(AND(RefiOn="On",Assumptions!K$72=RefiMonth),-K$43,0)</f>
        <v/>
      </c>
      <c r="L49" s="50">
        <f>IF(AND(RefiOn="On",Assumptions!L$72=RefiMonth),-L$43,0)</f>
        <v/>
      </c>
      <c r="M49" s="50">
        <f>IF(AND(RefiOn="On",Assumptions!M$72=RefiMonth),-M$43,0)</f>
        <v/>
      </c>
      <c r="N49" s="50">
        <f>IF(AND(RefiOn="On",Assumptions!N$72=RefiMonth),-N$43,0)</f>
        <v/>
      </c>
      <c r="O49" s="50">
        <f>IF(AND(RefiOn="On",Assumptions!O$72=RefiMonth),-O$43,0)</f>
        <v/>
      </c>
      <c r="P49" s="50">
        <f>IF(AND(RefiOn="On",Assumptions!P$72=RefiMonth),-P$43,0)</f>
        <v/>
      </c>
      <c r="Q49" s="50">
        <f>IF(AND(RefiOn="On",Assumptions!Q$72=RefiMonth),-Q$43,0)</f>
        <v/>
      </c>
      <c r="R49" s="50">
        <f>IF(AND(RefiOn="On",Assumptions!R$72=RefiMonth),-R$43,0)</f>
        <v/>
      </c>
      <c r="S49" s="50">
        <f>IF(AND(RefiOn="On",Assumptions!S$72=RefiMonth),-S$43,0)</f>
        <v/>
      </c>
      <c r="T49" s="50">
        <f>IF(AND(RefiOn="On",Assumptions!T$72=RefiMonth),-T$43,0)</f>
        <v/>
      </c>
      <c r="U49" s="50">
        <f>IF(AND(RefiOn="On",Assumptions!U$72=RefiMonth),-U$43,0)</f>
        <v/>
      </c>
      <c r="V49" s="50">
        <f>IF(AND(RefiOn="On",Assumptions!V$72=RefiMonth),-V$43,0)</f>
        <v/>
      </c>
      <c r="W49" s="50">
        <f>IF(AND(RefiOn="On",Assumptions!W$72=RefiMonth),-W$43,0)</f>
        <v/>
      </c>
      <c r="X49" s="50">
        <f>IF(AND(RefiOn="On",Assumptions!X$72=RefiMonth),-X$43,0)</f>
        <v/>
      </c>
      <c r="Y49" s="50">
        <f>IF(AND(RefiOn="On",Assumptions!Y$72=RefiMonth),-Y$43,0)</f>
        <v/>
      </c>
      <c r="Z49" s="50">
        <f>IF(AND(RefiOn="On",Assumptions!Z$72=RefiMonth),-Z$43,0)</f>
        <v/>
      </c>
      <c r="AA49" s="50">
        <f>IF(AND(RefiOn="On",Assumptions!AA$72=RefiMonth),-AA$43,0)</f>
        <v/>
      </c>
      <c r="AB49" s="50">
        <f>IF(AND(RefiOn="On",Assumptions!AB$72=RefiMonth),-AB$43,0)</f>
        <v/>
      </c>
      <c r="AC49" s="50">
        <f>IF(AND(RefiOn="On",Assumptions!AC$72=RefiMonth),-AC$43,0)</f>
        <v/>
      </c>
      <c r="AD49" s="50">
        <f>IF(AND(RefiOn="On",Assumptions!AD$72=RefiMonth),-AD$43,0)</f>
        <v/>
      </c>
      <c r="AE49" s="50">
        <f>IF(AND(RefiOn="On",Assumptions!AE$72=RefiMonth),-AE$43,0)</f>
        <v/>
      </c>
      <c r="AF49" s="50">
        <f>IF(AND(RefiOn="On",Assumptions!AF$72=RefiMonth),-AF$43,0)</f>
        <v/>
      </c>
      <c r="AG49" s="50">
        <f>IF(AND(RefiOn="On",Assumptions!AG$72=RefiMonth),-AG$43,0)</f>
        <v/>
      </c>
      <c r="AH49" s="50">
        <f>IF(AND(RefiOn="On",Assumptions!AH$72=RefiMonth),-AH$43,0)</f>
        <v/>
      </c>
      <c r="AI49" s="50">
        <f>IF(AND(RefiOn="On",Assumptions!AI$72=RefiMonth),-AI$43,0)</f>
        <v/>
      </c>
      <c r="AJ49" s="50">
        <f>IF(AND(RefiOn="On",Assumptions!AJ$72=RefiMonth),-AJ$43,0)</f>
        <v/>
      </c>
      <c r="AK49" s="50">
        <f>IF(AND(RefiOn="On",Assumptions!AK$72=RefiMonth),-AK$43,0)</f>
        <v/>
      </c>
      <c r="AL49" s="50">
        <f>IF(AND(RefiOn="On",Assumptions!AL$72=RefiMonth),-AL$43,0)</f>
        <v/>
      </c>
      <c r="AM49" s="50">
        <f>IF(AND(RefiOn="On",Assumptions!AM$72=RefiMonth),-AM$43,0)</f>
        <v/>
      </c>
      <c r="AN49" s="50">
        <f>IF(AND(RefiOn="On",Assumptions!AN$72=RefiMonth),-AN$43,0)</f>
        <v/>
      </c>
      <c r="AO49" s="50">
        <f>IF(AND(RefiOn="On",Assumptions!AO$72=RefiMonth),-AO$43,0)</f>
        <v/>
      </c>
      <c r="AP49" s="50">
        <f>IF(AND(RefiOn="On",Assumptions!AP$72=RefiMonth),-AP$43,0)</f>
        <v/>
      </c>
      <c r="AQ49" s="50">
        <f>IF(AND(RefiOn="On",Assumptions!AQ$72=RefiMonth),-AQ$43,0)</f>
        <v/>
      </c>
      <c r="AR49" s="50">
        <f>IF(AND(RefiOn="On",Assumptions!AR$72=RefiMonth),-AR$43,0)</f>
        <v/>
      </c>
      <c r="AS49" s="50">
        <f>IF(AND(RefiOn="On",Assumptions!AS$72=RefiMonth),-AS$43,0)</f>
        <v/>
      </c>
      <c r="AT49" s="50">
        <f>IF(AND(RefiOn="On",Assumptions!AT$72=RefiMonth),-AT$43,0)</f>
        <v/>
      </c>
      <c r="AU49" s="50">
        <f>IF(AND(RefiOn="On",Assumptions!AU$72=RefiMonth),-AU$43,0)</f>
        <v/>
      </c>
      <c r="AV49" s="50">
        <f>IF(AND(RefiOn="On",Assumptions!AV$72=RefiMonth),-AV$43,0)</f>
        <v/>
      </c>
      <c r="AW49" s="50">
        <f>IF(AND(RefiOn="On",Assumptions!AW$72=RefiMonth),-AW$43,0)</f>
        <v/>
      </c>
      <c r="AX49" s="50">
        <f>IF(AND(RefiOn="On",Assumptions!AX$72=RefiMonth),-AX$43,0)</f>
        <v/>
      </c>
      <c r="AY49" s="50">
        <f>IF(AND(RefiOn="On",Assumptions!AY$72=RefiMonth),-AY$43,0)</f>
        <v/>
      </c>
      <c r="AZ49" s="50">
        <f>IF(AND(RefiOn="On",Assumptions!AZ$72=RefiMonth),-AZ$43,0)</f>
        <v/>
      </c>
      <c r="BA49" s="50">
        <f>IF(AND(RefiOn="On",Assumptions!BA$72=RefiMonth),-BA$43,0)</f>
        <v/>
      </c>
      <c r="BB49" s="50">
        <f>IF(AND(RefiOn="On",Assumptions!BB$72=RefiMonth),-BB$43,0)</f>
        <v/>
      </c>
      <c r="BC49" s="50">
        <f>IF(AND(RefiOn="On",Assumptions!BC$72=RefiMonth),-BC$43,0)</f>
        <v/>
      </c>
      <c r="BD49" s="50">
        <f>IF(AND(RefiOn="On",Assumptions!BD$72=RefiMonth),-BD$43,0)</f>
        <v/>
      </c>
      <c r="BE49" s="50">
        <f>IF(AND(RefiOn="On",Assumptions!BE$72=RefiMonth),-BE$43,0)</f>
        <v/>
      </c>
      <c r="BF49" s="50">
        <f>IF(AND(RefiOn="On",Assumptions!BF$72=RefiMonth),-BF$43,0)</f>
        <v/>
      </c>
      <c r="BG49" s="50">
        <f>IF(AND(RefiOn="On",Assumptions!BG$72=RefiMonth),-BG$43,0)</f>
        <v/>
      </c>
      <c r="BH49" s="50">
        <f>IF(AND(RefiOn="On",Assumptions!BH$72=RefiMonth),-BH$43,0)</f>
        <v/>
      </c>
      <c r="BI49" s="50">
        <f>IF(AND(RefiOn="On",Assumptions!BI$72=RefiMonth),-BI$43,0)</f>
        <v/>
      </c>
      <c r="BJ49" s="50">
        <f>IF(AND(RefiOn="On",Assumptions!BJ$72=RefiMonth),-BJ$43,0)</f>
        <v/>
      </c>
      <c r="BK49" s="50">
        <f>IF(AND(RefiOn="On",Assumptions!BK$72=RefiMonth),-BK$43,0)</f>
        <v/>
      </c>
      <c r="BL49" s="50">
        <f>IF(AND(RefiOn="On",Assumptions!BL$72=RefiMonth),-BL$43,0)</f>
        <v/>
      </c>
      <c r="BM49" s="50">
        <f>IF(AND(RefiOn="On",Assumptions!BM$72=RefiMonth),-BM$43,0)</f>
        <v/>
      </c>
      <c r="BN49" s="50">
        <f>IF(AND(RefiOn="On",Assumptions!BN$72=RefiMonth),-BN$43,0)</f>
        <v/>
      </c>
      <c r="BO49" s="50">
        <f>IF(AND(RefiOn="On",Assumptions!BO$72=RefiMonth),-BO$43,0)</f>
        <v/>
      </c>
      <c r="BP49" s="50">
        <f>IF(AND(RefiOn="On",Assumptions!BP$72=RefiMonth),-BP$43,0)</f>
        <v/>
      </c>
      <c r="BQ49" s="50">
        <f>IF(AND(RefiOn="On",Assumptions!BQ$72=RefiMonth),-BQ$43,0)</f>
        <v/>
      </c>
      <c r="BR49" s="50">
        <f>IF(AND(RefiOn="On",Assumptions!BR$72=RefiMonth),-BR$43,0)</f>
        <v/>
      </c>
      <c r="BS49" s="50">
        <f>IF(AND(RefiOn="On",Assumptions!BS$72=RefiMonth),-BS$43,0)</f>
        <v/>
      </c>
      <c r="BT49" s="50">
        <f>IF(AND(RefiOn="On",Assumptions!BT$72=RefiMonth),-BT$43,0)</f>
        <v/>
      </c>
      <c r="BU49" s="50">
        <f>IF(AND(RefiOn="On",Assumptions!BU$72=RefiMonth),-BU$43,0)</f>
        <v/>
      </c>
      <c r="BV49" s="50">
        <f>IF(AND(RefiOn="On",Assumptions!BV$72=RefiMonth),-BV$43,0)</f>
        <v/>
      </c>
      <c r="BW49" s="50">
        <f>IF(AND(RefiOn="On",Assumptions!BW$72=RefiMonth),-BW$43,0)</f>
        <v/>
      </c>
      <c r="BX49" s="50">
        <f>IF(AND(RefiOn="On",Assumptions!BX$72=RefiMonth),-BX$43,0)</f>
        <v/>
      </c>
      <c r="BY49" s="50">
        <f>IF(AND(RefiOn="On",Assumptions!BY$72=RefiMonth),-BY$43,0)</f>
        <v/>
      </c>
      <c r="BZ49" s="50">
        <f>IF(AND(RefiOn="On",Assumptions!BZ$72=RefiMonth),-BZ$43,0)</f>
        <v/>
      </c>
      <c r="CA49" s="50">
        <f>IF(AND(RefiOn="On",Assumptions!CA$72=RefiMonth),-CA$43,0)</f>
        <v/>
      </c>
      <c r="CB49" s="50">
        <f>IF(AND(RefiOn="On",Assumptions!CB$72=RefiMonth),-CB$43,0)</f>
        <v/>
      </c>
      <c r="CC49" s="50">
        <f>IF(AND(RefiOn="On",Assumptions!CC$72=RefiMonth),-CC$43,0)</f>
        <v/>
      </c>
      <c r="CD49" s="50">
        <f>IF(AND(RefiOn="On",Assumptions!CD$72=RefiMonth),-CD$43,0)</f>
        <v/>
      </c>
      <c r="CE49" s="50">
        <f>IF(AND(RefiOn="On",Assumptions!CE$72=RefiMonth),-CE$43,0)</f>
        <v/>
      </c>
      <c r="CF49" s="50">
        <f>IF(AND(RefiOn="On",Assumptions!CF$72=RefiMonth),-CF$43,0)</f>
        <v/>
      </c>
      <c r="CG49" s="50">
        <f>IF(AND(RefiOn="On",Assumptions!CG$72=RefiMonth),-CG$43,0)</f>
        <v/>
      </c>
      <c r="CH49" s="50">
        <f>IF(AND(RefiOn="On",Assumptions!CH$72=RefiMonth),-CH$43,0)</f>
        <v/>
      </c>
      <c r="CI49" s="50">
        <f>IF(AND(RefiOn="On",Assumptions!CI$72=RefiMonth),-CI$43,0)</f>
        <v/>
      </c>
      <c r="CJ49" s="50">
        <f>IF(AND(RefiOn="On",Assumptions!CJ$72=RefiMonth),-CJ$43,0)</f>
        <v/>
      </c>
      <c r="CK49" s="50">
        <f>IF(AND(RefiOn="On",Assumptions!CK$72=RefiMonth),-CK$43,0)</f>
        <v/>
      </c>
      <c r="CL49" s="50">
        <f>IF(AND(RefiOn="On",Assumptions!CL$72=RefiMonth),-CL$43,0)</f>
        <v/>
      </c>
      <c r="CM49" s="50">
        <f>IF(AND(RefiOn="On",Assumptions!CM$72=RefiMonth),-CM$43,0)</f>
        <v/>
      </c>
      <c r="CN49" s="50">
        <f>IF(AND(RefiOn="On",Assumptions!CN$72=RefiMonth),-CN$43,0)</f>
        <v/>
      </c>
      <c r="CO49" s="50">
        <f>IF(AND(RefiOn="On",Assumptions!CO$72=RefiMonth),-CO$43,0)</f>
        <v/>
      </c>
      <c r="CP49" s="50">
        <f>IF(AND(RefiOn="On",Assumptions!CP$72=RefiMonth),-CP$43,0)</f>
        <v/>
      </c>
      <c r="CQ49" s="50">
        <f>IF(AND(RefiOn="On",Assumptions!CQ$72=RefiMonth),-CQ$43,0)</f>
        <v/>
      </c>
      <c r="CR49" s="50">
        <f>IF(AND(RefiOn="On",Assumptions!CR$72=RefiMonth),-CR$43,0)</f>
        <v/>
      </c>
      <c r="CS49" s="50">
        <f>IF(AND(RefiOn="On",Assumptions!CS$72=RefiMonth),-CS$43,0)</f>
        <v/>
      </c>
      <c r="CT49" s="50">
        <f>IF(AND(RefiOn="On",Assumptions!CT$72=RefiMonth),-CT$43,0)</f>
        <v/>
      </c>
      <c r="CU49" s="50">
        <f>IF(AND(RefiOn="On",Assumptions!CU$72=RefiMonth),-CU$43,0)</f>
        <v/>
      </c>
      <c r="CV49" s="50">
        <f>IF(AND(RefiOn="On",Assumptions!CV$72=RefiMonth),-CV$43,0)</f>
        <v/>
      </c>
      <c r="CW49" s="50">
        <f>IF(AND(RefiOn="On",Assumptions!CW$72=RefiMonth),-CW$43,0)</f>
        <v/>
      </c>
      <c r="CX49" s="50">
        <f>IF(AND(RefiOn="On",Assumptions!CX$72=RefiMonth),-CX$43,0)</f>
        <v/>
      </c>
      <c r="CY49" s="50">
        <f>IF(AND(RefiOn="On",Assumptions!CY$72=RefiMonth),-CY$43,0)</f>
        <v/>
      </c>
      <c r="CZ49" s="50">
        <f>IF(AND(RefiOn="On",Assumptions!CZ$72=RefiMonth),-CZ$43,0)</f>
        <v/>
      </c>
      <c r="DA49" s="50">
        <f>IF(AND(RefiOn="On",Assumptions!DA$72=RefiMonth),-DA$43,0)</f>
        <v/>
      </c>
      <c r="DB49" s="50">
        <f>IF(AND(RefiOn="On",Assumptions!DB$72=RefiMonth),-DB$43,0)</f>
        <v/>
      </c>
      <c r="DC49" s="50">
        <f>IF(AND(RefiOn="On",Assumptions!DC$72=RefiMonth),-DC$43,0)</f>
        <v/>
      </c>
      <c r="DD49" s="50">
        <f>IF(AND(RefiOn="On",Assumptions!DD$72=RefiMonth),-DD$43,0)</f>
        <v/>
      </c>
      <c r="DE49" s="50">
        <f>IF(AND(RefiOn="On",Assumptions!DE$72=RefiMonth),-DE$43,0)</f>
        <v/>
      </c>
      <c r="DF49" s="50">
        <f>IF(AND(RefiOn="On",Assumptions!DF$72=RefiMonth),-DF$43,0)</f>
        <v/>
      </c>
      <c r="DG49" s="50">
        <f>IF(AND(RefiOn="On",Assumptions!DG$72=RefiMonth),-DG$43,0)</f>
        <v/>
      </c>
      <c r="DH49" s="50">
        <f>IF(AND(RefiOn="On",Assumptions!DH$72=RefiMonth),-DH$43,0)</f>
        <v/>
      </c>
      <c r="DI49" s="50">
        <f>IF(AND(RefiOn="On",Assumptions!DI$72=RefiMonth),-DI$43,0)</f>
        <v/>
      </c>
      <c r="DJ49" s="50">
        <f>IF(AND(RefiOn="On",Assumptions!DJ$72=RefiMonth),-DJ$43,0)</f>
        <v/>
      </c>
      <c r="DK49" s="50">
        <f>IF(AND(RefiOn="On",Assumptions!DK$72=RefiMonth),-DK$43,0)</f>
        <v/>
      </c>
      <c r="DL49" s="50">
        <f>IF(AND(RefiOn="On",Assumptions!DL$72=RefiMonth),-DL$43,0)</f>
        <v/>
      </c>
      <c r="DM49" s="50">
        <f>IF(AND(RefiOn="On",Assumptions!DM$72=RefiMonth),-DM$43,0)</f>
        <v/>
      </c>
      <c r="DN49" s="50">
        <f>IF(AND(RefiOn="On",Assumptions!DN$72=RefiMonth),-DN$43,0)</f>
        <v/>
      </c>
      <c r="DO49" s="50">
        <f>IF(AND(RefiOn="On",Assumptions!DO$72=RefiMonth),-DO$43,0)</f>
        <v/>
      </c>
      <c r="DP49" s="50">
        <f>IF(AND(RefiOn="On",Assumptions!DP$72=RefiMonth),-DP$43,0)</f>
        <v/>
      </c>
      <c r="DQ49" s="50">
        <f>IF(AND(RefiOn="On",Assumptions!DQ$72=RefiMonth),-DQ$43,0)</f>
        <v/>
      </c>
      <c r="DR49" s="50">
        <f>IF(AND(RefiOn="On",Assumptions!DR$72=RefiMonth),-DR$43,0)</f>
        <v/>
      </c>
      <c r="DS49" s="50">
        <f>IF(AND(RefiOn="On",Assumptions!DS$72=RefiMonth),-DS$43,0)</f>
        <v/>
      </c>
      <c r="DT49" s="50">
        <f>IF(AND(RefiOn="On",Assumptions!DT$72=RefiMonth),-DT$43,0)</f>
        <v/>
      </c>
    </row>
    <row r="51">
      <c r="A51" s="10" t="inlineStr">
        <is>
          <t>Refi cash-out (to waterfall) ($)</t>
        </is>
      </c>
      <c r="E51" s="50">
        <f>IF(AND(RefiOn="On",Assumptions!E$72=RefiMonth),RefiLoan-E$43-RefiLoan*RefiCostPct,0)</f>
        <v/>
      </c>
      <c r="F51" s="50">
        <f>IF(AND(RefiOn="On",Assumptions!F$72=RefiMonth),RefiLoan-F$43-RefiLoan*RefiCostPct,0)</f>
        <v/>
      </c>
      <c r="G51" s="50">
        <f>IF(AND(RefiOn="On",Assumptions!G$72=RefiMonth),RefiLoan-G$43-RefiLoan*RefiCostPct,0)</f>
        <v/>
      </c>
      <c r="H51" s="50">
        <f>IF(AND(RefiOn="On",Assumptions!H$72=RefiMonth),RefiLoan-H$43-RefiLoan*RefiCostPct,0)</f>
        <v/>
      </c>
      <c r="I51" s="50">
        <f>IF(AND(RefiOn="On",Assumptions!I$72=RefiMonth),RefiLoan-I$43-RefiLoan*RefiCostPct,0)</f>
        <v/>
      </c>
      <c r="J51" s="50">
        <f>IF(AND(RefiOn="On",Assumptions!J$72=RefiMonth),RefiLoan-J$43-RefiLoan*RefiCostPct,0)</f>
        <v/>
      </c>
      <c r="K51" s="50">
        <f>IF(AND(RefiOn="On",Assumptions!K$72=RefiMonth),RefiLoan-K$43-RefiLoan*RefiCostPct,0)</f>
        <v/>
      </c>
      <c r="L51" s="50">
        <f>IF(AND(RefiOn="On",Assumptions!L$72=RefiMonth),RefiLoan-L$43-RefiLoan*RefiCostPct,0)</f>
        <v/>
      </c>
      <c r="M51" s="50">
        <f>IF(AND(RefiOn="On",Assumptions!M$72=RefiMonth),RefiLoan-M$43-RefiLoan*RefiCostPct,0)</f>
        <v/>
      </c>
      <c r="N51" s="50">
        <f>IF(AND(RefiOn="On",Assumptions!N$72=RefiMonth),RefiLoan-N$43-RefiLoan*RefiCostPct,0)</f>
        <v/>
      </c>
      <c r="O51" s="50">
        <f>IF(AND(RefiOn="On",Assumptions!O$72=RefiMonth),RefiLoan-O$43-RefiLoan*RefiCostPct,0)</f>
        <v/>
      </c>
      <c r="P51" s="50">
        <f>IF(AND(RefiOn="On",Assumptions!P$72=RefiMonth),RefiLoan-P$43-RefiLoan*RefiCostPct,0)</f>
        <v/>
      </c>
      <c r="Q51" s="50">
        <f>IF(AND(RefiOn="On",Assumptions!Q$72=RefiMonth),RefiLoan-Q$43-RefiLoan*RefiCostPct,0)</f>
        <v/>
      </c>
      <c r="R51" s="50">
        <f>IF(AND(RefiOn="On",Assumptions!R$72=RefiMonth),RefiLoan-R$43-RefiLoan*RefiCostPct,0)</f>
        <v/>
      </c>
      <c r="S51" s="50">
        <f>IF(AND(RefiOn="On",Assumptions!S$72=RefiMonth),RefiLoan-S$43-RefiLoan*RefiCostPct,0)</f>
        <v/>
      </c>
      <c r="T51" s="50">
        <f>IF(AND(RefiOn="On",Assumptions!T$72=RefiMonth),RefiLoan-T$43-RefiLoan*RefiCostPct,0)</f>
        <v/>
      </c>
      <c r="U51" s="50">
        <f>IF(AND(RefiOn="On",Assumptions!U$72=RefiMonth),RefiLoan-U$43-RefiLoan*RefiCostPct,0)</f>
        <v/>
      </c>
      <c r="V51" s="50">
        <f>IF(AND(RefiOn="On",Assumptions!V$72=RefiMonth),RefiLoan-V$43-RefiLoan*RefiCostPct,0)</f>
        <v/>
      </c>
      <c r="W51" s="50">
        <f>IF(AND(RefiOn="On",Assumptions!W$72=RefiMonth),RefiLoan-W$43-RefiLoan*RefiCostPct,0)</f>
        <v/>
      </c>
      <c r="X51" s="50">
        <f>IF(AND(RefiOn="On",Assumptions!X$72=RefiMonth),RefiLoan-X$43-RefiLoan*RefiCostPct,0)</f>
        <v/>
      </c>
      <c r="Y51" s="50">
        <f>IF(AND(RefiOn="On",Assumptions!Y$72=RefiMonth),RefiLoan-Y$43-RefiLoan*RefiCostPct,0)</f>
        <v/>
      </c>
      <c r="Z51" s="50">
        <f>IF(AND(RefiOn="On",Assumptions!Z$72=RefiMonth),RefiLoan-Z$43-RefiLoan*RefiCostPct,0)</f>
        <v/>
      </c>
      <c r="AA51" s="50">
        <f>IF(AND(RefiOn="On",Assumptions!AA$72=RefiMonth),RefiLoan-AA$43-RefiLoan*RefiCostPct,0)</f>
        <v/>
      </c>
      <c r="AB51" s="50">
        <f>IF(AND(RefiOn="On",Assumptions!AB$72=RefiMonth),RefiLoan-AB$43-RefiLoan*RefiCostPct,0)</f>
        <v/>
      </c>
      <c r="AC51" s="50">
        <f>IF(AND(RefiOn="On",Assumptions!AC$72=RefiMonth),RefiLoan-AC$43-RefiLoan*RefiCostPct,0)</f>
        <v/>
      </c>
      <c r="AD51" s="50">
        <f>IF(AND(RefiOn="On",Assumptions!AD$72=RefiMonth),RefiLoan-AD$43-RefiLoan*RefiCostPct,0)</f>
        <v/>
      </c>
      <c r="AE51" s="50">
        <f>IF(AND(RefiOn="On",Assumptions!AE$72=RefiMonth),RefiLoan-AE$43-RefiLoan*RefiCostPct,0)</f>
        <v/>
      </c>
      <c r="AF51" s="50">
        <f>IF(AND(RefiOn="On",Assumptions!AF$72=RefiMonth),RefiLoan-AF$43-RefiLoan*RefiCostPct,0)</f>
        <v/>
      </c>
      <c r="AG51" s="50">
        <f>IF(AND(RefiOn="On",Assumptions!AG$72=RefiMonth),RefiLoan-AG$43-RefiLoan*RefiCostPct,0)</f>
        <v/>
      </c>
      <c r="AH51" s="50">
        <f>IF(AND(RefiOn="On",Assumptions!AH$72=RefiMonth),RefiLoan-AH$43-RefiLoan*RefiCostPct,0)</f>
        <v/>
      </c>
      <c r="AI51" s="50">
        <f>IF(AND(RefiOn="On",Assumptions!AI$72=RefiMonth),RefiLoan-AI$43-RefiLoan*RefiCostPct,0)</f>
        <v/>
      </c>
      <c r="AJ51" s="50">
        <f>IF(AND(RefiOn="On",Assumptions!AJ$72=RefiMonth),RefiLoan-AJ$43-RefiLoan*RefiCostPct,0)</f>
        <v/>
      </c>
      <c r="AK51" s="50">
        <f>IF(AND(RefiOn="On",Assumptions!AK$72=RefiMonth),RefiLoan-AK$43-RefiLoan*RefiCostPct,0)</f>
        <v/>
      </c>
      <c r="AL51" s="50">
        <f>IF(AND(RefiOn="On",Assumptions!AL$72=RefiMonth),RefiLoan-AL$43-RefiLoan*RefiCostPct,0)</f>
        <v/>
      </c>
      <c r="AM51" s="50">
        <f>IF(AND(RefiOn="On",Assumptions!AM$72=RefiMonth),RefiLoan-AM$43-RefiLoan*RefiCostPct,0)</f>
        <v/>
      </c>
      <c r="AN51" s="50">
        <f>IF(AND(RefiOn="On",Assumptions!AN$72=RefiMonth),RefiLoan-AN$43-RefiLoan*RefiCostPct,0)</f>
        <v/>
      </c>
      <c r="AO51" s="50">
        <f>IF(AND(RefiOn="On",Assumptions!AO$72=RefiMonth),RefiLoan-AO$43-RefiLoan*RefiCostPct,0)</f>
        <v/>
      </c>
      <c r="AP51" s="50">
        <f>IF(AND(RefiOn="On",Assumptions!AP$72=RefiMonth),RefiLoan-AP$43-RefiLoan*RefiCostPct,0)</f>
        <v/>
      </c>
      <c r="AQ51" s="50">
        <f>IF(AND(RefiOn="On",Assumptions!AQ$72=RefiMonth),RefiLoan-AQ$43-RefiLoan*RefiCostPct,0)</f>
        <v/>
      </c>
      <c r="AR51" s="50">
        <f>IF(AND(RefiOn="On",Assumptions!AR$72=RefiMonth),RefiLoan-AR$43-RefiLoan*RefiCostPct,0)</f>
        <v/>
      </c>
      <c r="AS51" s="50">
        <f>IF(AND(RefiOn="On",Assumptions!AS$72=RefiMonth),RefiLoan-AS$43-RefiLoan*RefiCostPct,0)</f>
        <v/>
      </c>
      <c r="AT51" s="50">
        <f>IF(AND(RefiOn="On",Assumptions!AT$72=RefiMonth),RefiLoan-AT$43-RefiLoan*RefiCostPct,0)</f>
        <v/>
      </c>
      <c r="AU51" s="50">
        <f>IF(AND(RefiOn="On",Assumptions!AU$72=RefiMonth),RefiLoan-AU$43-RefiLoan*RefiCostPct,0)</f>
        <v/>
      </c>
      <c r="AV51" s="50">
        <f>IF(AND(RefiOn="On",Assumptions!AV$72=RefiMonth),RefiLoan-AV$43-RefiLoan*RefiCostPct,0)</f>
        <v/>
      </c>
      <c r="AW51" s="50">
        <f>IF(AND(RefiOn="On",Assumptions!AW$72=RefiMonth),RefiLoan-AW$43-RefiLoan*RefiCostPct,0)</f>
        <v/>
      </c>
      <c r="AX51" s="50">
        <f>IF(AND(RefiOn="On",Assumptions!AX$72=RefiMonth),RefiLoan-AX$43-RefiLoan*RefiCostPct,0)</f>
        <v/>
      </c>
      <c r="AY51" s="50">
        <f>IF(AND(RefiOn="On",Assumptions!AY$72=RefiMonth),RefiLoan-AY$43-RefiLoan*RefiCostPct,0)</f>
        <v/>
      </c>
      <c r="AZ51" s="50">
        <f>IF(AND(RefiOn="On",Assumptions!AZ$72=RefiMonth),RefiLoan-AZ$43-RefiLoan*RefiCostPct,0)</f>
        <v/>
      </c>
      <c r="BA51" s="50">
        <f>IF(AND(RefiOn="On",Assumptions!BA$72=RefiMonth),RefiLoan-BA$43-RefiLoan*RefiCostPct,0)</f>
        <v/>
      </c>
      <c r="BB51" s="50">
        <f>IF(AND(RefiOn="On",Assumptions!BB$72=RefiMonth),RefiLoan-BB$43-RefiLoan*RefiCostPct,0)</f>
        <v/>
      </c>
      <c r="BC51" s="50">
        <f>IF(AND(RefiOn="On",Assumptions!BC$72=RefiMonth),RefiLoan-BC$43-RefiLoan*RefiCostPct,0)</f>
        <v/>
      </c>
      <c r="BD51" s="50">
        <f>IF(AND(RefiOn="On",Assumptions!BD$72=RefiMonth),RefiLoan-BD$43-RefiLoan*RefiCostPct,0)</f>
        <v/>
      </c>
      <c r="BE51" s="50">
        <f>IF(AND(RefiOn="On",Assumptions!BE$72=RefiMonth),RefiLoan-BE$43-RefiLoan*RefiCostPct,0)</f>
        <v/>
      </c>
      <c r="BF51" s="50">
        <f>IF(AND(RefiOn="On",Assumptions!BF$72=RefiMonth),RefiLoan-BF$43-RefiLoan*RefiCostPct,0)</f>
        <v/>
      </c>
      <c r="BG51" s="50">
        <f>IF(AND(RefiOn="On",Assumptions!BG$72=RefiMonth),RefiLoan-BG$43-RefiLoan*RefiCostPct,0)</f>
        <v/>
      </c>
      <c r="BH51" s="50">
        <f>IF(AND(RefiOn="On",Assumptions!BH$72=RefiMonth),RefiLoan-BH$43-RefiLoan*RefiCostPct,0)</f>
        <v/>
      </c>
      <c r="BI51" s="50">
        <f>IF(AND(RefiOn="On",Assumptions!BI$72=RefiMonth),RefiLoan-BI$43-RefiLoan*RefiCostPct,0)</f>
        <v/>
      </c>
      <c r="BJ51" s="50">
        <f>IF(AND(RefiOn="On",Assumptions!BJ$72=RefiMonth),RefiLoan-BJ$43-RefiLoan*RefiCostPct,0)</f>
        <v/>
      </c>
      <c r="BK51" s="50">
        <f>IF(AND(RefiOn="On",Assumptions!BK$72=RefiMonth),RefiLoan-BK$43-RefiLoan*RefiCostPct,0)</f>
        <v/>
      </c>
      <c r="BL51" s="50">
        <f>IF(AND(RefiOn="On",Assumptions!BL$72=RefiMonth),RefiLoan-BL$43-RefiLoan*RefiCostPct,0)</f>
        <v/>
      </c>
      <c r="BM51" s="50">
        <f>IF(AND(RefiOn="On",Assumptions!BM$72=RefiMonth),RefiLoan-BM$43-RefiLoan*RefiCostPct,0)</f>
        <v/>
      </c>
      <c r="BN51" s="50">
        <f>IF(AND(RefiOn="On",Assumptions!BN$72=RefiMonth),RefiLoan-BN$43-RefiLoan*RefiCostPct,0)</f>
        <v/>
      </c>
      <c r="BO51" s="50">
        <f>IF(AND(RefiOn="On",Assumptions!BO$72=RefiMonth),RefiLoan-BO$43-RefiLoan*RefiCostPct,0)</f>
        <v/>
      </c>
      <c r="BP51" s="50">
        <f>IF(AND(RefiOn="On",Assumptions!BP$72=RefiMonth),RefiLoan-BP$43-RefiLoan*RefiCostPct,0)</f>
        <v/>
      </c>
      <c r="BQ51" s="50">
        <f>IF(AND(RefiOn="On",Assumptions!BQ$72=RefiMonth),RefiLoan-BQ$43-RefiLoan*RefiCostPct,0)</f>
        <v/>
      </c>
      <c r="BR51" s="50">
        <f>IF(AND(RefiOn="On",Assumptions!BR$72=RefiMonth),RefiLoan-BR$43-RefiLoan*RefiCostPct,0)</f>
        <v/>
      </c>
      <c r="BS51" s="50">
        <f>IF(AND(RefiOn="On",Assumptions!BS$72=RefiMonth),RefiLoan-BS$43-RefiLoan*RefiCostPct,0)</f>
        <v/>
      </c>
      <c r="BT51" s="50">
        <f>IF(AND(RefiOn="On",Assumptions!BT$72=RefiMonth),RefiLoan-BT$43-RefiLoan*RefiCostPct,0)</f>
        <v/>
      </c>
      <c r="BU51" s="50">
        <f>IF(AND(RefiOn="On",Assumptions!BU$72=RefiMonth),RefiLoan-BU$43-RefiLoan*RefiCostPct,0)</f>
        <v/>
      </c>
      <c r="BV51" s="50">
        <f>IF(AND(RefiOn="On",Assumptions!BV$72=RefiMonth),RefiLoan-BV$43-RefiLoan*RefiCostPct,0)</f>
        <v/>
      </c>
      <c r="BW51" s="50">
        <f>IF(AND(RefiOn="On",Assumptions!BW$72=RefiMonth),RefiLoan-BW$43-RefiLoan*RefiCostPct,0)</f>
        <v/>
      </c>
      <c r="BX51" s="50">
        <f>IF(AND(RefiOn="On",Assumptions!BX$72=RefiMonth),RefiLoan-BX$43-RefiLoan*RefiCostPct,0)</f>
        <v/>
      </c>
      <c r="BY51" s="50">
        <f>IF(AND(RefiOn="On",Assumptions!BY$72=RefiMonth),RefiLoan-BY$43-RefiLoan*RefiCostPct,0)</f>
        <v/>
      </c>
      <c r="BZ51" s="50">
        <f>IF(AND(RefiOn="On",Assumptions!BZ$72=RefiMonth),RefiLoan-BZ$43-RefiLoan*RefiCostPct,0)</f>
        <v/>
      </c>
      <c r="CA51" s="50">
        <f>IF(AND(RefiOn="On",Assumptions!CA$72=RefiMonth),RefiLoan-CA$43-RefiLoan*RefiCostPct,0)</f>
        <v/>
      </c>
      <c r="CB51" s="50">
        <f>IF(AND(RefiOn="On",Assumptions!CB$72=RefiMonth),RefiLoan-CB$43-RefiLoan*RefiCostPct,0)</f>
        <v/>
      </c>
      <c r="CC51" s="50">
        <f>IF(AND(RefiOn="On",Assumptions!CC$72=RefiMonth),RefiLoan-CC$43-RefiLoan*RefiCostPct,0)</f>
        <v/>
      </c>
      <c r="CD51" s="50">
        <f>IF(AND(RefiOn="On",Assumptions!CD$72=RefiMonth),RefiLoan-CD$43-RefiLoan*RefiCostPct,0)</f>
        <v/>
      </c>
      <c r="CE51" s="50">
        <f>IF(AND(RefiOn="On",Assumptions!CE$72=RefiMonth),RefiLoan-CE$43-RefiLoan*RefiCostPct,0)</f>
        <v/>
      </c>
      <c r="CF51" s="50">
        <f>IF(AND(RefiOn="On",Assumptions!CF$72=RefiMonth),RefiLoan-CF$43-RefiLoan*RefiCostPct,0)</f>
        <v/>
      </c>
      <c r="CG51" s="50">
        <f>IF(AND(RefiOn="On",Assumptions!CG$72=RefiMonth),RefiLoan-CG$43-RefiLoan*RefiCostPct,0)</f>
        <v/>
      </c>
      <c r="CH51" s="50">
        <f>IF(AND(RefiOn="On",Assumptions!CH$72=RefiMonth),RefiLoan-CH$43-RefiLoan*RefiCostPct,0)</f>
        <v/>
      </c>
      <c r="CI51" s="50">
        <f>IF(AND(RefiOn="On",Assumptions!CI$72=RefiMonth),RefiLoan-CI$43-RefiLoan*RefiCostPct,0)</f>
        <v/>
      </c>
      <c r="CJ51" s="50">
        <f>IF(AND(RefiOn="On",Assumptions!CJ$72=RefiMonth),RefiLoan-CJ$43-RefiLoan*RefiCostPct,0)</f>
        <v/>
      </c>
      <c r="CK51" s="50">
        <f>IF(AND(RefiOn="On",Assumptions!CK$72=RefiMonth),RefiLoan-CK$43-RefiLoan*RefiCostPct,0)</f>
        <v/>
      </c>
      <c r="CL51" s="50">
        <f>IF(AND(RefiOn="On",Assumptions!CL$72=RefiMonth),RefiLoan-CL$43-RefiLoan*RefiCostPct,0)</f>
        <v/>
      </c>
      <c r="CM51" s="50">
        <f>IF(AND(RefiOn="On",Assumptions!CM$72=RefiMonth),RefiLoan-CM$43-RefiLoan*RefiCostPct,0)</f>
        <v/>
      </c>
      <c r="CN51" s="50">
        <f>IF(AND(RefiOn="On",Assumptions!CN$72=RefiMonth),RefiLoan-CN$43-RefiLoan*RefiCostPct,0)</f>
        <v/>
      </c>
      <c r="CO51" s="50">
        <f>IF(AND(RefiOn="On",Assumptions!CO$72=RefiMonth),RefiLoan-CO$43-RefiLoan*RefiCostPct,0)</f>
        <v/>
      </c>
      <c r="CP51" s="50">
        <f>IF(AND(RefiOn="On",Assumptions!CP$72=RefiMonth),RefiLoan-CP$43-RefiLoan*RefiCostPct,0)</f>
        <v/>
      </c>
      <c r="CQ51" s="50">
        <f>IF(AND(RefiOn="On",Assumptions!CQ$72=RefiMonth),RefiLoan-CQ$43-RefiLoan*RefiCostPct,0)</f>
        <v/>
      </c>
      <c r="CR51" s="50">
        <f>IF(AND(RefiOn="On",Assumptions!CR$72=RefiMonth),RefiLoan-CR$43-RefiLoan*RefiCostPct,0)</f>
        <v/>
      </c>
      <c r="CS51" s="50">
        <f>IF(AND(RefiOn="On",Assumptions!CS$72=RefiMonth),RefiLoan-CS$43-RefiLoan*RefiCostPct,0)</f>
        <v/>
      </c>
      <c r="CT51" s="50">
        <f>IF(AND(RefiOn="On",Assumptions!CT$72=RefiMonth),RefiLoan-CT$43-RefiLoan*RefiCostPct,0)</f>
        <v/>
      </c>
      <c r="CU51" s="50">
        <f>IF(AND(RefiOn="On",Assumptions!CU$72=RefiMonth),RefiLoan-CU$43-RefiLoan*RefiCostPct,0)</f>
        <v/>
      </c>
      <c r="CV51" s="50">
        <f>IF(AND(RefiOn="On",Assumptions!CV$72=RefiMonth),RefiLoan-CV$43-RefiLoan*RefiCostPct,0)</f>
        <v/>
      </c>
      <c r="CW51" s="50">
        <f>IF(AND(RefiOn="On",Assumptions!CW$72=RefiMonth),RefiLoan-CW$43-RefiLoan*RefiCostPct,0)</f>
        <v/>
      </c>
      <c r="CX51" s="50">
        <f>IF(AND(RefiOn="On",Assumptions!CX$72=RefiMonth),RefiLoan-CX$43-RefiLoan*RefiCostPct,0)</f>
        <v/>
      </c>
      <c r="CY51" s="50">
        <f>IF(AND(RefiOn="On",Assumptions!CY$72=RefiMonth),RefiLoan-CY$43-RefiLoan*RefiCostPct,0)</f>
        <v/>
      </c>
      <c r="CZ51" s="50">
        <f>IF(AND(RefiOn="On",Assumptions!CZ$72=RefiMonth),RefiLoan-CZ$43-RefiLoan*RefiCostPct,0)</f>
        <v/>
      </c>
      <c r="DA51" s="50">
        <f>IF(AND(RefiOn="On",Assumptions!DA$72=RefiMonth),RefiLoan-DA$43-RefiLoan*RefiCostPct,0)</f>
        <v/>
      </c>
      <c r="DB51" s="50">
        <f>IF(AND(RefiOn="On",Assumptions!DB$72=RefiMonth),RefiLoan-DB$43-RefiLoan*RefiCostPct,0)</f>
        <v/>
      </c>
      <c r="DC51" s="50">
        <f>IF(AND(RefiOn="On",Assumptions!DC$72=RefiMonth),RefiLoan-DC$43-RefiLoan*RefiCostPct,0)</f>
        <v/>
      </c>
      <c r="DD51" s="50">
        <f>IF(AND(RefiOn="On",Assumptions!DD$72=RefiMonth),RefiLoan-DD$43-RefiLoan*RefiCostPct,0)</f>
        <v/>
      </c>
      <c r="DE51" s="50">
        <f>IF(AND(RefiOn="On",Assumptions!DE$72=RefiMonth),RefiLoan-DE$43-RefiLoan*RefiCostPct,0)</f>
        <v/>
      </c>
      <c r="DF51" s="50">
        <f>IF(AND(RefiOn="On",Assumptions!DF$72=RefiMonth),RefiLoan-DF$43-RefiLoan*RefiCostPct,0)</f>
        <v/>
      </c>
      <c r="DG51" s="50">
        <f>IF(AND(RefiOn="On",Assumptions!DG$72=RefiMonth),RefiLoan-DG$43-RefiLoan*RefiCostPct,0)</f>
        <v/>
      </c>
      <c r="DH51" s="50">
        <f>IF(AND(RefiOn="On",Assumptions!DH$72=RefiMonth),RefiLoan-DH$43-RefiLoan*RefiCostPct,0)</f>
        <v/>
      </c>
      <c r="DI51" s="50">
        <f>IF(AND(RefiOn="On",Assumptions!DI$72=RefiMonth),RefiLoan-DI$43-RefiLoan*RefiCostPct,0)</f>
        <v/>
      </c>
      <c r="DJ51" s="50">
        <f>IF(AND(RefiOn="On",Assumptions!DJ$72=RefiMonth),RefiLoan-DJ$43-RefiLoan*RefiCostPct,0)</f>
        <v/>
      </c>
      <c r="DK51" s="50">
        <f>IF(AND(RefiOn="On",Assumptions!DK$72=RefiMonth),RefiLoan-DK$43-RefiLoan*RefiCostPct,0)</f>
        <v/>
      </c>
      <c r="DL51" s="50">
        <f>IF(AND(RefiOn="On",Assumptions!DL$72=RefiMonth),RefiLoan-DL$43-RefiLoan*RefiCostPct,0)</f>
        <v/>
      </c>
      <c r="DM51" s="50">
        <f>IF(AND(RefiOn="On",Assumptions!DM$72=RefiMonth),RefiLoan-DM$43-RefiLoan*RefiCostPct,0)</f>
        <v/>
      </c>
      <c r="DN51" s="50">
        <f>IF(AND(RefiOn="On",Assumptions!DN$72=RefiMonth),RefiLoan-DN$43-RefiLoan*RefiCostPct,0)</f>
        <v/>
      </c>
      <c r="DO51" s="50">
        <f>IF(AND(RefiOn="On",Assumptions!DO$72=RefiMonth),RefiLoan-DO$43-RefiLoan*RefiCostPct,0)</f>
        <v/>
      </c>
      <c r="DP51" s="50">
        <f>IF(AND(RefiOn="On",Assumptions!DP$72=RefiMonth),RefiLoan-DP$43-RefiLoan*RefiCostPct,0)</f>
        <v/>
      </c>
      <c r="DQ51" s="50">
        <f>IF(AND(RefiOn="On",Assumptions!DQ$72=RefiMonth),RefiLoan-DQ$43-RefiLoan*RefiCostPct,0)</f>
        <v/>
      </c>
      <c r="DR51" s="50">
        <f>IF(AND(RefiOn="On",Assumptions!DR$72=RefiMonth),RefiLoan-DR$43-RefiLoan*RefiCostPct,0)</f>
        <v/>
      </c>
      <c r="DS51" s="50">
        <f>IF(AND(RefiOn="On",Assumptions!DS$72=RefiMonth),RefiLoan-DS$43-RefiLoan*RefiCostPct,0)</f>
        <v/>
      </c>
      <c r="DT51" s="50">
        <f>IF(AND(RefiOn="On",Assumptions!DT$72=RefiMonth),RefiLoan-DT$43-RefiLoan*RefiCostPct,0)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0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48">
        <f>'MF Revenue'!E$114</f>
        <v/>
      </c>
      <c r="F7" s="48">
        <f>'MF Revenue'!F$114</f>
        <v/>
      </c>
      <c r="G7" s="48">
        <f>'MF Revenue'!G$114</f>
        <v/>
      </c>
      <c r="H7" s="48">
        <f>'MF Revenue'!H$114</f>
        <v/>
      </c>
      <c r="I7" s="48">
        <f>'MF Revenue'!I$114</f>
        <v/>
      </c>
      <c r="J7" s="48">
        <f>'MF Revenue'!J$114</f>
        <v/>
      </c>
      <c r="K7" s="48">
        <f>'MF Revenue'!K$114</f>
        <v/>
      </c>
      <c r="L7" s="48">
        <f>'MF Revenue'!L$114</f>
        <v/>
      </c>
      <c r="M7" s="48">
        <f>'MF Revenue'!M$114</f>
        <v/>
      </c>
      <c r="N7" s="48">
        <f>'MF Revenue'!N$114</f>
        <v/>
      </c>
      <c r="O7" s="48">
        <f>'MF Revenue'!O$114</f>
        <v/>
      </c>
      <c r="P7" s="48">
        <f>'MF Revenue'!P$114</f>
        <v/>
      </c>
      <c r="Q7" s="48">
        <f>'MF Revenue'!Q$114</f>
        <v/>
      </c>
      <c r="R7" s="48">
        <f>'MF Revenue'!R$114</f>
        <v/>
      </c>
      <c r="S7" s="48">
        <f>'MF Revenue'!S$114</f>
        <v/>
      </c>
      <c r="T7" s="48">
        <f>'MF Revenue'!T$114</f>
        <v/>
      </c>
      <c r="U7" s="48">
        <f>'MF Revenue'!U$114</f>
        <v/>
      </c>
      <c r="V7" s="48">
        <f>'MF Revenue'!V$114</f>
        <v/>
      </c>
      <c r="W7" s="48">
        <f>'MF Revenue'!W$114</f>
        <v/>
      </c>
      <c r="X7" s="48">
        <f>'MF Revenue'!X$114</f>
        <v/>
      </c>
      <c r="Y7" s="48">
        <f>'MF Revenue'!Y$114</f>
        <v/>
      </c>
      <c r="Z7" s="48">
        <f>'MF Revenue'!Z$114</f>
        <v/>
      </c>
      <c r="AA7" s="48">
        <f>'MF Revenue'!AA$114</f>
        <v/>
      </c>
      <c r="AB7" s="48">
        <f>'MF Revenue'!AB$114</f>
        <v/>
      </c>
      <c r="AC7" s="48">
        <f>'MF Revenue'!AC$114</f>
        <v/>
      </c>
      <c r="AD7" s="48">
        <f>'MF Revenue'!AD$114</f>
        <v/>
      </c>
      <c r="AE7" s="48">
        <f>'MF Revenue'!AE$114</f>
        <v/>
      </c>
      <c r="AF7" s="48">
        <f>'MF Revenue'!AF$114</f>
        <v/>
      </c>
      <c r="AG7" s="48">
        <f>'MF Revenue'!AG$114</f>
        <v/>
      </c>
      <c r="AH7" s="48">
        <f>'MF Revenue'!AH$114</f>
        <v/>
      </c>
      <c r="AI7" s="48">
        <f>'MF Revenue'!AI$114</f>
        <v/>
      </c>
      <c r="AJ7" s="48">
        <f>'MF Revenue'!AJ$114</f>
        <v/>
      </c>
      <c r="AK7" s="48">
        <f>'MF Revenue'!AK$114</f>
        <v/>
      </c>
      <c r="AL7" s="48">
        <f>'MF Revenue'!AL$114</f>
        <v/>
      </c>
      <c r="AM7" s="48">
        <f>'MF Revenue'!AM$114</f>
        <v/>
      </c>
      <c r="AN7" s="48">
        <f>'MF Revenue'!AN$114</f>
        <v/>
      </c>
      <c r="AO7" s="48">
        <f>'MF Revenue'!AO$114</f>
        <v/>
      </c>
      <c r="AP7" s="48">
        <f>'MF Revenue'!AP$114</f>
        <v/>
      </c>
      <c r="AQ7" s="48">
        <f>'MF Revenue'!AQ$114</f>
        <v/>
      </c>
      <c r="AR7" s="48">
        <f>'MF Revenue'!AR$114</f>
        <v/>
      </c>
      <c r="AS7" s="48">
        <f>'MF Revenue'!AS$114</f>
        <v/>
      </c>
      <c r="AT7" s="48">
        <f>'MF Revenue'!AT$114</f>
        <v/>
      </c>
      <c r="AU7" s="48">
        <f>'MF Revenue'!AU$114</f>
        <v/>
      </c>
      <c r="AV7" s="48">
        <f>'MF Revenue'!AV$114</f>
        <v/>
      </c>
      <c r="AW7" s="48">
        <f>'MF Revenue'!AW$114</f>
        <v/>
      </c>
      <c r="AX7" s="48">
        <f>'MF Revenue'!AX$114</f>
        <v/>
      </c>
      <c r="AY7" s="48">
        <f>'MF Revenue'!AY$114</f>
        <v/>
      </c>
      <c r="AZ7" s="48">
        <f>'MF Revenue'!AZ$114</f>
        <v/>
      </c>
      <c r="BA7" s="48">
        <f>'MF Revenue'!BA$114</f>
        <v/>
      </c>
      <c r="BB7" s="48">
        <f>'MF Revenue'!BB$114</f>
        <v/>
      </c>
      <c r="BC7" s="48">
        <f>'MF Revenue'!BC$114</f>
        <v/>
      </c>
      <c r="BD7" s="48">
        <f>'MF Revenue'!BD$114</f>
        <v/>
      </c>
      <c r="BE7" s="48">
        <f>'MF Revenue'!BE$114</f>
        <v/>
      </c>
      <c r="BF7" s="48">
        <f>'MF Revenue'!BF$114</f>
        <v/>
      </c>
      <c r="BG7" s="48">
        <f>'MF Revenue'!BG$114</f>
        <v/>
      </c>
      <c r="BH7" s="48">
        <f>'MF Revenue'!BH$114</f>
        <v/>
      </c>
      <c r="BI7" s="48">
        <f>'MF Revenue'!BI$114</f>
        <v/>
      </c>
      <c r="BJ7" s="48">
        <f>'MF Revenue'!BJ$114</f>
        <v/>
      </c>
      <c r="BK7" s="48">
        <f>'MF Revenue'!BK$114</f>
        <v/>
      </c>
      <c r="BL7" s="48">
        <f>'MF Revenue'!BL$114</f>
        <v/>
      </c>
      <c r="BM7" s="48">
        <f>'MF Revenue'!BM$114</f>
        <v/>
      </c>
      <c r="BN7" s="48">
        <f>'MF Revenue'!BN$114</f>
        <v/>
      </c>
      <c r="BO7" s="48">
        <f>'MF Revenue'!BO$114</f>
        <v/>
      </c>
      <c r="BP7" s="48">
        <f>'MF Revenue'!BP$114</f>
        <v/>
      </c>
      <c r="BQ7" s="48">
        <f>'MF Revenue'!BQ$114</f>
        <v/>
      </c>
      <c r="BR7" s="48">
        <f>'MF Revenue'!BR$114</f>
        <v/>
      </c>
      <c r="BS7" s="48">
        <f>'MF Revenue'!BS$114</f>
        <v/>
      </c>
      <c r="BT7" s="48">
        <f>'MF Revenue'!BT$114</f>
        <v/>
      </c>
      <c r="BU7" s="48">
        <f>'MF Revenue'!BU$114</f>
        <v/>
      </c>
      <c r="BV7" s="48">
        <f>'MF Revenue'!BV$114</f>
        <v/>
      </c>
      <c r="BW7" s="48">
        <f>'MF Revenue'!BW$114</f>
        <v/>
      </c>
      <c r="BX7" s="48">
        <f>'MF Revenue'!BX$114</f>
        <v/>
      </c>
      <c r="BY7" s="48">
        <f>'MF Revenue'!BY$114</f>
        <v/>
      </c>
      <c r="BZ7" s="48">
        <f>'MF Revenue'!BZ$114</f>
        <v/>
      </c>
      <c r="CA7" s="48">
        <f>'MF Revenue'!CA$114</f>
        <v/>
      </c>
      <c r="CB7" s="48">
        <f>'MF Revenue'!CB$114</f>
        <v/>
      </c>
      <c r="CC7" s="48">
        <f>'MF Revenue'!CC$114</f>
        <v/>
      </c>
      <c r="CD7" s="48">
        <f>'MF Revenue'!CD$114</f>
        <v/>
      </c>
      <c r="CE7" s="48">
        <f>'MF Revenue'!CE$114</f>
        <v/>
      </c>
      <c r="CF7" s="48">
        <f>'MF Revenue'!CF$114</f>
        <v/>
      </c>
      <c r="CG7" s="48">
        <f>'MF Revenue'!CG$114</f>
        <v/>
      </c>
      <c r="CH7" s="48">
        <f>'MF Revenue'!CH$114</f>
        <v/>
      </c>
      <c r="CI7" s="48">
        <f>'MF Revenue'!CI$114</f>
        <v/>
      </c>
      <c r="CJ7" s="48">
        <f>'MF Revenue'!CJ$114</f>
        <v/>
      </c>
      <c r="CK7" s="48">
        <f>'MF Revenue'!CK$114</f>
        <v/>
      </c>
      <c r="CL7" s="48">
        <f>'MF Revenue'!CL$114</f>
        <v/>
      </c>
      <c r="CM7" s="48">
        <f>'MF Revenue'!CM$114</f>
        <v/>
      </c>
      <c r="CN7" s="48">
        <f>'MF Revenue'!CN$114</f>
        <v/>
      </c>
      <c r="CO7" s="48">
        <f>'MF Revenue'!CO$114</f>
        <v/>
      </c>
      <c r="CP7" s="48">
        <f>'MF Revenue'!CP$114</f>
        <v/>
      </c>
      <c r="CQ7" s="48">
        <f>'MF Revenue'!CQ$114</f>
        <v/>
      </c>
      <c r="CR7" s="48">
        <f>'MF Revenue'!CR$114</f>
        <v/>
      </c>
      <c r="CS7" s="48">
        <f>'MF Revenue'!CS$114</f>
        <v/>
      </c>
      <c r="CT7" s="48">
        <f>'MF Revenue'!CT$114</f>
        <v/>
      </c>
      <c r="CU7" s="48">
        <f>'MF Revenue'!CU$114</f>
        <v/>
      </c>
      <c r="CV7" s="48">
        <f>'MF Revenue'!CV$114</f>
        <v/>
      </c>
      <c r="CW7" s="48">
        <f>'MF Revenue'!CW$114</f>
        <v/>
      </c>
      <c r="CX7" s="48">
        <f>'MF Revenue'!CX$114</f>
        <v/>
      </c>
      <c r="CY7" s="48">
        <f>'MF Revenue'!CY$114</f>
        <v/>
      </c>
      <c r="CZ7" s="48">
        <f>'MF Revenue'!CZ$114</f>
        <v/>
      </c>
      <c r="DA7" s="48">
        <f>'MF Revenue'!DA$114</f>
        <v/>
      </c>
      <c r="DB7" s="48">
        <f>'MF Revenue'!DB$114</f>
        <v/>
      </c>
      <c r="DC7" s="48">
        <f>'MF Revenue'!DC$114</f>
        <v/>
      </c>
      <c r="DD7" s="48">
        <f>'MF Revenue'!DD$114</f>
        <v/>
      </c>
      <c r="DE7" s="48">
        <f>'MF Revenue'!DE$114</f>
        <v/>
      </c>
      <c r="DF7" s="48">
        <f>'MF Revenue'!DF$114</f>
        <v/>
      </c>
      <c r="DG7" s="48">
        <f>'MF Revenue'!DG$114</f>
        <v/>
      </c>
      <c r="DH7" s="48">
        <f>'MF Revenue'!DH$114</f>
        <v/>
      </c>
      <c r="DI7" s="48">
        <f>'MF Revenue'!DI$114</f>
        <v/>
      </c>
      <c r="DJ7" s="48">
        <f>'MF Revenue'!DJ$114</f>
        <v/>
      </c>
      <c r="DK7" s="48">
        <f>'MF Revenue'!DK$114</f>
        <v/>
      </c>
      <c r="DL7" s="48">
        <f>'MF Revenue'!DL$114</f>
        <v/>
      </c>
      <c r="DM7" s="48">
        <f>'MF Revenue'!DM$114</f>
        <v/>
      </c>
      <c r="DN7" s="48">
        <f>'MF Revenue'!DN$114</f>
        <v/>
      </c>
      <c r="DO7" s="48">
        <f>'MF Revenue'!DO$114</f>
        <v/>
      </c>
      <c r="DP7" s="48">
        <f>'MF Revenue'!DP$114</f>
        <v/>
      </c>
      <c r="DQ7" s="48">
        <f>'MF Revenue'!DQ$114</f>
        <v/>
      </c>
      <c r="DR7" s="48">
        <f>'MF Revenue'!DR$114</f>
        <v/>
      </c>
      <c r="DS7" s="48">
        <f>'MF Revenue'!DS$114</f>
        <v/>
      </c>
      <c r="DT7" s="48">
        <f>'MF Revenue'!DT$114</f>
        <v/>
      </c>
    </row>
    <row r="8">
      <c r="A8" s="10" t="inlineStr">
        <is>
          <t>Retail EGI</t>
        </is>
      </c>
      <c r="E8" s="48">
        <f>'Retail Revenue'!E$40</f>
        <v/>
      </c>
      <c r="F8" s="48">
        <f>'Retail Revenue'!F$40</f>
        <v/>
      </c>
      <c r="G8" s="48">
        <f>'Retail Revenue'!G$40</f>
        <v/>
      </c>
      <c r="H8" s="48">
        <f>'Retail Revenue'!H$40</f>
        <v/>
      </c>
      <c r="I8" s="48">
        <f>'Retail Revenue'!I$40</f>
        <v/>
      </c>
      <c r="J8" s="48">
        <f>'Retail Revenue'!J$40</f>
        <v/>
      </c>
      <c r="K8" s="48">
        <f>'Retail Revenue'!K$40</f>
        <v/>
      </c>
      <c r="L8" s="48">
        <f>'Retail Revenue'!L$40</f>
        <v/>
      </c>
      <c r="M8" s="48">
        <f>'Retail Revenue'!M$40</f>
        <v/>
      </c>
      <c r="N8" s="48">
        <f>'Retail Revenue'!N$40</f>
        <v/>
      </c>
      <c r="O8" s="48">
        <f>'Retail Revenue'!O$40</f>
        <v/>
      </c>
      <c r="P8" s="48">
        <f>'Retail Revenue'!P$40</f>
        <v/>
      </c>
      <c r="Q8" s="48">
        <f>'Retail Revenue'!Q$40</f>
        <v/>
      </c>
      <c r="R8" s="48">
        <f>'Retail Revenue'!R$40</f>
        <v/>
      </c>
      <c r="S8" s="48">
        <f>'Retail Revenue'!S$40</f>
        <v/>
      </c>
      <c r="T8" s="48">
        <f>'Retail Revenue'!T$40</f>
        <v/>
      </c>
      <c r="U8" s="48">
        <f>'Retail Revenue'!U$40</f>
        <v/>
      </c>
      <c r="V8" s="48">
        <f>'Retail Revenue'!V$40</f>
        <v/>
      </c>
      <c r="W8" s="48">
        <f>'Retail Revenue'!W$40</f>
        <v/>
      </c>
      <c r="X8" s="48">
        <f>'Retail Revenue'!X$40</f>
        <v/>
      </c>
      <c r="Y8" s="48">
        <f>'Retail Revenue'!Y$40</f>
        <v/>
      </c>
      <c r="Z8" s="48">
        <f>'Retail Revenue'!Z$40</f>
        <v/>
      </c>
      <c r="AA8" s="48">
        <f>'Retail Revenue'!AA$40</f>
        <v/>
      </c>
      <c r="AB8" s="48">
        <f>'Retail Revenue'!AB$40</f>
        <v/>
      </c>
      <c r="AC8" s="48">
        <f>'Retail Revenue'!AC$40</f>
        <v/>
      </c>
      <c r="AD8" s="48">
        <f>'Retail Revenue'!AD$40</f>
        <v/>
      </c>
      <c r="AE8" s="48">
        <f>'Retail Revenue'!AE$40</f>
        <v/>
      </c>
      <c r="AF8" s="48">
        <f>'Retail Revenue'!AF$40</f>
        <v/>
      </c>
      <c r="AG8" s="48">
        <f>'Retail Revenue'!AG$40</f>
        <v/>
      </c>
      <c r="AH8" s="48">
        <f>'Retail Revenue'!AH$40</f>
        <v/>
      </c>
      <c r="AI8" s="48">
        <f>'Retail Revenue'!AI$40</f>
        <v/>
      </c>
      <c r="AJ8" s="48">
        <f>'Retail Revenue'!AJ$40</f>
        <v/>
      </c>
      <c r="AK8" s="48">
        <f>'Retail Revenue'!AK$40</f>
        <v/>
      </c>
      <c r="AL8" s="48">
        <f>'Retail Revenue'!AL$40</f>
        <v/>
      </c>
      <c r="AM8" s="48">
        <f>'Retail Revenue'!AM$40</f>
        <v/>
      </c>
      <c r="AN8" s="48">
        <f>'Retail Revenue'!AN$40</f>
        <v/>
      </c>
      <c r="AO8" s="48">
        <f>'Retail Revenue'!AO$40</f>
        <v/>
      </c>
      <c r="AP8" s="48">
        <f>'Retail Revenue'!AP$40</f>
        <v/>
      </c>
      <c r="AQ8" s="48">
        <f>'Retail Revenue'!AQ$40</f>
        <v/>
      </c>
      <c r="AR8" s="48">
        <f>'Retail Revenue'!AR$40</f>
        <v/>
      </c>
      <c r="AS8" s="48">
        <f>'Retail Revenue'!AS$40</f>
        <v/>
      </c>
      <c r="AT8" s="48">
        <f>'Retail Revenue'!AT$40</f>
        <v/>
      </c>
      <c r="AU8" s="48">
        <f>'Retail Revenue'!AU$40</f>
        <v/>
      </c>
      <c r="AV8" s="48">
        <f>'Retail Revenue'!AV$40</f>
        <v/>
      </c>
      <c r="AW8" s="48">
        <f>'Retail Revenue'!AW$40</f>
        <v/>
      </c>
      <c r="AX8" s="48">
        <f>'Retail Revenue'!AX$40</f>
        <v/>
      </c>
      <c r="AY8" s="48">
        <f>'Retail Revenue'!AY$40</f>
        <v/>
      </c>
      <c r="AZ8" s="48">
        <f>'Retail Revenue'!AZ$40</f>
        <v/>
      </c>
      <c r="BA8" s="48">
        <f>'Retail Revenue'!BA$40</f>
        <v/>
      </c>
      <c r="BB8" s="48">
        <f>'Retail Revenue'!BB$40</f>
        <v/>
      </c>
      <c r="BC8" s="48">
        <f>'Retail Revenue'!BC$40</f>
        <v/>
      </c>
      <c r="BD8" s="48">
        <f>'Retail Revenue'!BD$40</f>
        <v/>
      </c>
      <c r="BE8" s="48">
        <f>'Retail Revenue'!BE$40</f>
        <v/>
      </c>
      <c r="BF8" s="48">
        <f>'Retail Revenue'!BF$40</f>
        <v/>
      </c>
      <c r="BG8" s="48">
        <f>'Retail Revenue'!BG$40</f>
        <v/>
      </c>
      <c r="BH8" s="48">
        <f>'Retail Revenue'!BH$40</f>
        <v/>
      </c>
      <c r="BI8" s="48">
        <f>'Retail Revenue'!BI$40</f>
        <v/>
      </c>
      <c r="BJ8" s="48">
        <f>'Retail Revenue'!BJ$40</f>
        <v/>
      </c>
      <c r="BK8" s="48">
        <f>'Retail Revenue'!BK$40</f>
        <v/>
      </c>
      <c r="BL8" s="48">
        <f>'Retail Revenue'!BL$40</f>
        <v/>
      </c>
      <c r="BM8" s="48">
        <f>'Retail Revenue'!BM$40</f>
        <v/>
      </c>
      <c r="BN8" s="48">
        <f>'Retail Revenue'!BN$40</f>
        <v/>
      </c>
      <c r="BO8" s="48">
        <f>'Retail Revenue'!BO$40</f>
        <v/>
      </c>
      <c r="BP8" s="48">
        <f>'Retail Revenue'!BP$40</f>
        <v/>
      </c>
      <c r="BQ8" s="48">
        <f>'Retail Revenue'!BQ$40</f>
        <v/>
      </c>
      <c r="BR8" s="48">
        <f>'Retail Revenue'!BR$40</f>
        <v/>
      </c>
      <c r="BS8" s="48">
        <f>'Retail Revenue'!BS$40</f>
        <v/>
      </c>
      <c r="BT8" s="48">
        <f>'Retail Revenue'!BT$40</f>
        <v/>
      </c>
      <c r="BU8" s="48">
        <f>'Retail Revenue'!BU$40</f>
        <v/>
      </c>
      <c r="BV8" s="48">
        <f>'Retail Revenue'!BV$40</f>
        <v/>
      </c>
      <c r="BW8" s="48">
        <f>'Retail Revenue'!BW$40</f>
        <v/>
      </c>
      <c r="BX8" s="48">
        <f>'Retail Revenue'!BX$40</f>
        <v/>
      </c>
      <c r="BY8" s="48">
        <f>'Retail Revenue'!BY$40</f>
        <v/>
      </c>
      <c r="BZ8" s="48">
        <f>'Retail Revenue'!BZ$40</f>
        <v/>
      </c>
      <c r="CA8" s="48">
        <f>'Retail Revenue'!CA$40</f>
        <v/>
      </c>
      <c r="CB8" s="48">
        <f>'Retail Revenue'!CB$40</f>
        <v/>
      </c>
      <c r="CC8" s="48">
        <f>'Retail Revenue'!CC$40</f>
        <v/>
      </c>
      <c r="CD8" s="48">
        <f>'Retail Revenue'!CD$40</f>
        <v/>
      </c>
      <c r="CE8" s="48">
        <f>'Retail Revenue'!CE$40</f>
        <v/>
      </c>
      <c r="CF8" s="48">
        <f>'Retail Revenue'!CF$40</f>
        <v/>
      </c>
      <c r="CG8" s="48">
        <f>'Retail Revenue'!CG$40</f>
        <v/>
      </c>
      <c r="CH8" s="48">
        <f>'Retail Revenue'!CH$40</f>
        <v/>
      </c>
      <c r="CI8" s="48">
        <f>'Retail Revenue'!CI$40</f>
        <v/>
      </c>
      <c r="CJ8" s="48">
        <f>'Retail Revenue'!CJ$40</f>
        <v/>
      </c>
      <c r="CK8" s="48">
        <f>'Retail Revenue'!CK$40</f>
        <v/>
      </c>
      <c r="CL8" s="48">
        <f>'Retail Revenue'!CL$40</f>
        <v/>
      </c>
      <c r="CM8" s="48">
        <f>'Retail Revenue'!CM$40</f>
        <v/>
      </c>
      <c r="CN8" s="48">
        <f>'Retail Revenue'!CN$40</f>
        <v/>
      </c>
      <c r="CO8" s="48">
        <f>'Retail Revenue'!CO$40</f>
        <v/>
      </c>
      <c r="CP8" s="48">
        <f>'Retail Revenue'!CP$40</f>
        <v/>
      </c>
      <c r="CQ8" s="48">
        <f>'Retail Revenue'!CQ$40</f>
        <v/>
      </c>
      <c r="CR8" s="48">
        <f>'Retail Revenue'!CR$40</f>
        <v/>
      </c>
      <c r="CS8" s="48">
        <f>'Retail Revenue'!CS$40</f>
        <v/>
      </c>
      <c r="CT8" s="48">
        <f>'Retail Revenue'!CT$40</f>
        <v/>
      </c>
      <c r="CU8" s="48">
        <f>'Retail Revenue'!CU$40</f>
        <v/>
      </c>
      <c r="CV8" s="48">
        <f>'Retail Revenue'!CV$40</f>
        <v/>
      </c>
      <c r="CW8" s="48">
        <f>'Retail Revenue'!CW$40</f>
        <v/>
      </c>
      <c r="CX8" s="48">
        <f>'Retail Revenue'!CX$40</f>
        <v/>
      </c>
      <c r="CY8" s="48">
        <f>'Retail Revenue'!CY$40</f>
        <v/>
      </c>
      <c r="CZ8" s="48">
        <f>'Retail Revenue'!CZ$40</f>
        <v/>
      </c>
      <c r="DA8" s="48">
        <f>'Retail Revenue'!DA$40</f>
        <v/>
      </c>
      <c r="DB8" s="48">
        <f>'Retail Revenue'!DB$40</f>
        <v/>
      </c>
      <c r="DC8" s="48">
        <f>'Retail Revenue'!DC$40</f>
        <v/>
      </c>
      <c r="DD8" s="48">
        <f>'Retail Revenue'!DD$40</f>
        <v/>
      </c>
      <c r="DE8" s="48">
        <f>'Retail Revenue'!DE$40</f>
        <v/>
      </c>
      <c r="DF8" s="48">
        <f>'Retail Revenue'!DF$40</f>
        <v/>
      </c>
      <c r="DG8" s="48">
        <f>'Retail Revenue'!DG$40</f>
        <v/>
      </c>
      <c r="DH8" s="48">
        <f>'Retail Revenue'!DH$40</f>
        <v/>
      </c>
      <c r="DI8" s="48">
        <f>'Retail Revenue'!DI$40</f>
        <v/>
      </c>
      <c r="DJ8" s="48">
        <f>'Retail Revenue'!DJ$40</f>
        <v/>
      </c>
      <c r="DK8" s="48">
        <f>'Retail Revenue'!DK$40</f>
        <v/>
      </c>
      <c r="DL8" s="48">
        <f>'Retail Revenue'!DL$40</f>
        <v/>
      </c>
      <c r="DM8" s="48">
        <f>'Retail Revenue'!DM$40</f>
        <v/>
      </c>
      <c r="DN8" s="48">
        <f>'Retail Revenue'!DN$40</f>
        <v/>
      </c>
      <c r="DO8" s="48">
        <f>'Retail Revenue'!DO$40</f>
        <v/>
      </c>
      <c r="DP8" s="48">
        <f>'Retail Revenue'!DP$40</f>
        <v/>
      </c>
      <c r="DQ8" s="48">
        <f>'Retail Revenue'!DQ$40</f>
        <v/>
      </c>
      <c r="DR8" s="48">
        <f>'Retail Revenue'!DR$40</f>
        <v/>
      </c>
      <c r="DS8" s="48">
        <f>'Retail Revenue'!DS$40</f>
        <v/>
      </c>
      <c r="DT8" s="48">
        <f>'Retail Revenue'!DT$40</f>
        <v/>
      </c>
    </row>
    <row r="9">
      <c r="A9" s="3" t="inlineStr">
        <is>
          <t>Total EGI</t>
        </is>
      </c>
      <c r="E9" s="60">
        <f>E$7+E$8</f>
        <v/>
      </c>
      <c r="F9" s="60">
        <f>F$7+F$8</f>
        <v/>
      </c>
      <c r="G9" s="60">
        <f>G$7+G$8</f>
        <v/>
      </c>
      <c r="H9" s="60">
        <f>H$7+H$8</f>
        <v/>
      </c>
      <c r="I9" s="60">
        <f>I$7+I$8</f>
        <v/>
      </c>
      <c r="J9" s="60">
        <f>J$7+J$8</f>
        <v/>
      </c>
      <c r="K9" s="60">
        <f>K$7+K$8</f>
        <v/>
      </c>
      <c r="L9" s="60">
        <f>L$7+L$8</f>
        <v/>
      </c>
      <c r="M9" s="60">
        <f>M$7+M$8</f>
        <v/>
      </c>
      <c r="N9" s="60">
        <f>N$7+N$8</f>
        <v/>
      </c>
      <c r="O9" s="60">
        <f>O$7+O$8</f>
        <v/>
      </c>
      <c r="P9" s="60">
        <f>P$7+P$8</f>
        <v/>
      </c>
      <c r="Q9" s="60">
        <f>Q$7+Q$8</f>
        <v/>
      </c>
      <c r="R9" s="60">
        <f>R$7+R$8</f>
        <v/>
      </c>
      <c r="S9" s="60">
        <f>S$7+S$8</f>
        <v/>
      </c>
      <c r="T9" s="60">
        <f>T$7+T$8</f>
        <v/>
      </c>
      <c r="U9" s="60">
        <f>U$7+U$8</f>
        <v/>
      </c>
      <c r="V9" s="60">
        <f>V$7+V$8</f>
        <v/>
      </c>
      <c r="W9" s="60">
        <f>W$7+W$8</f>
        <v/>
      </c>
      <c r="X9" s="60">
        <f>X$7+X$8</f>
        <v/>
      </c>
      <c r="Y9" s="60">
        <f>Y$7+Y$8</f>
        <v/>
      </c>
      <c r="Z9" s="60">
        <f>Z$7+Z$8</f>
        <v/>
      </c>
      <c r="AA9" s="60">
        <f>AA$7+AA$8</f>
        <v/>
      </c>
      <c r="AB9" s="60">
        <f>AB$7+AB$8</f>
        <v/>
      </c>
      <c r="AC9" s="60">
        <f>AC$7+AC$8</f>
        <v/>
      </c>
      <c r="AD9" s="60">
        <f>AD$7+AD$8</f>
        <v/>
      </c>
      <c r="AE9" s="60">
        <f>AE$7+AE$8</f>
        <v/>
      </c>
      <c r="AF9" s="60">
        <f>AF$7+AF$8</f>
        <v/>
      </c>
      <c r="AG9" s="60">
        <f>AG$7+AG$8</f>
        <v/>
      </c>
      <c r="AH9" s="60">
        <f>AH$7+AH$8</f>
        <v/>
      </c>
      <c r="AI9" s="60">
        <f>AI$7+AI$8</f>
        <v/>
      </c>
      <c r="AJ9" s="60">
        <f>AJ$7+AJ$8</f>
        <v/>
      </c>
      <c r="AK9" s="60">
        <f>AK$7+AK$8</f>
        <v/>
      </c>
      <c r="AL9" s="60">
        <f>AL$7+AL$8</f>
        <v/>
      </c>
      <c r="AM9" s="60">
        <f>AM$7+AM$8</f>
        <v/>
      </c>
      <c r="AN9" s="60">
        <f>AN$7+AN$8</f>
        <v/>
      </c>
      <c r="AO9" s="60">
        <f>AO$7+AO$8</f>
        <v/>
      </c>
      <c r="AP9" s="60">
        <f>AP$7+AP$8</f>
        <v/>
      </c>
      <c r="AQ9" s="60">
        <f>AQ$7+AQ$8</f>
        <v/>
      </c>
      <c r="AR9" s="60">
        <f>AR$7+AR$8</f>
        <v/>
      </c>
      <c r="AS9" s="60">
        <f>AS$7+AS$8</f>
        <v/>
      </c>
      <c r="AT9" s="60">
        <f>AT$7+AT$8</f>
        <v/>
      </c>
      <c r="AU9" s="60">
        <f>AU$7+AU$8</f>
        <v/>
      </c>
      <c r="AV9" s="60">
        <f>AV$7+AV$8</f>
        <v/>
      </c>
      <c r="AW9" s="60">
        <f>AW$7+AW$8</f>
        <v/>
      </c>
      <c r="AX9" s="60">
        <f>AX$7+AX$8</f>
        <v/>
      </c>
      <c r="AY9" s="60">
        <f>AY$7+AY$8</f>
        <v/>
      </c>
      <c r="AZ9" s="60">
        <f>AZ$7+AZ$8</f>
        <v/>
      </c>
      <c r="BA9" s="60">
        <f>BA$7+BA$8</f>
        <v/>
      </c>
      <c r="BB9" s="60">
        <f>BB$7+BB$8</f>
        <v/>
      </c>
      <c r="BC9" s="60">
        <f>BC$7+BC$8</f>
        <v/>
      </c>
      <c r="BD9" s="60">
        <f>BD$7+BD$8</f>
        <v/>
      </c>
      <c r="BE9" s="60">
        <f>BE$7+BE$8</f>
        <v/>
      </c>
      <c r="BF9" s="60">
        <f>BF$7+BF$8</f>
        <v/>
      </c>
      <c r="BG9" s="60">
        <f>BG$7+BG$8</f>
        <v/>
      </c>
      <c r="BH9" s="60">
        <f>BH$7+BH$8</f>
        <v/>
      </c>
      <c r="BI9" s="60">
        <f>BI$7+BI$8</f>
        <v/>
      </c>
      <c r="BJ9" s="60">
        <f>BJ$7+BJ$8</f>
        <v/>
      </c>
      <c r="BK9" s="60">
        <f>BK$7+BK$8</f>
        <v/>
      </c>
      <c r="BL9" s="60">
        <f>BL$7+BL$8</f>
        <v/>
      </c>
      <c r="BM9" s="60">
        <f>BM$7+BM$8</f>
        <v/>
      </c>
      <c r="BN9" s="60">
        <f>BN$7+BN$8</f>
        <v/>
      </c>
      <c r="BO9" s="60">
        <f>BO$7+BO$8</f>
        <v/>
      </c>
      <c r="BP9" s="60">
        <f>BP$7+BP$8</f>
        <v/>
      </c>
      <c r="BQ9" s="60">
        <f>BQ$7+BQ$8</f>
        <v/>
      </c>
      <c r="BR9" s="60">
        <f>BR$7+BR$8</f>
        <v/>
      </c>
      <c r="BS9" s="60">
        <f>BS$7+BS$8</f>
        <v/>
      </c>
      <c r="BT9" s="60">
        <f>BT$7+BT$8</f>
        <v/>
      </c>
      <c r="BU9" s="60">
        <f>BU$7+BU$8</f>
        <v/>
      </c>
      <c r="BV9" s="60">
        <f>BV$7+BV$8</f>
        <v/>
      </c>
      <c r="BW9" s="60">
        <f>BW$7+BW$8</f>
        <v/>
      </c>
      <c r="BX9" s="60">
        <f>BX$7+BX$8</f>
        <v/>
      </c>
      <c r="BY9" s="60">
        <f>BY$7+BY$8</f>
        <v/>
      </c>
      <c r="BZ9" s="60">
        <f>BZ$7+BZ$8</f>
        <v/>
      </c>
      <c r="CA9" s="60">
        <f>CA$7+CA$8</f>
        <v/>
      </c>
      <c r="CB9" s="60">
        <f>CB$7+CB$8</f>
        <v/>
      </c>
      <c r="CC9" s="60">
        <f>CC$7+CC$8</f>
        <v/>
      </c>
      <c r="CD9" s="60">
        <f>CD$7+CD$8</f>
        <v/>
      </c>
      <c r="CE9" s="60">
        <f>CE$7+CE$8</f>
        <v/>
      </c>
      <c r="CF9" s="60">
        <f>CF$7+CF$8</f>
        <v/>
      </c>
      <c r="CG9" s="60">
        <f>CG$7+CG$8</f>
        <v/>
      </c>
      <c r="CH9" s="60">
        <f>CH$7+CH$8</f>
        <v/>
      </c>
      <c r="CI9" s="60">
        <f>CI$7+CI$8</f>
        <v/>
      </c>
      <c r="CJ9" s="60">
        <f>CJ$7+CJ$8</f>
        <v/>
      </c>
      <c r="CK9" s="60">
        <f>CK$7+CK$8</f>
        <v/>
      </c>
      <c r="CL9" s="60">
        <f>CL$7+CL$8</f>
        <v/>
      </c>
      <c r="CM9" s="60">
        <f>CM$7+CM$8</f>
        <v/>
      </c>
      <c r="CN9" s="60">
        <f>CN$7+CN$8</f>
        <v/>
      </c>
      <c r="CO9" s="60">
        <f>CO$7+CO$8</f>
        <v/>
      </c>
      <c r="CP9" s="60">
        <f>CP$7+CP$8</f>
        <v/>
      </c>
      <c r="CQ9" s="60">
        <f>CQ$7+CQ$8</f>
        <v/>
      </c>
      <c r="CR9" s="60">
        <f>CR$7+CR$8</f>
        <v/>
      </c>
      <c r="CS9" s="60">
        <f>CS$7+CS$8</f>
        <v/>
      </c>
      <c r="CT9" s="60">
        <f>CT$7+CT$8</f>
        <v/>
      </c>
      <c r="CU9" s="60">
        <f>CU$7+CU$8</f>
        <v/>
      </c>
      <c r="CV9" s="60">
        <f>CV$7+CV$8</f>
        <v/>
      </c>
      <c r="CW9" s="60">
        <f>CW$7+CW$8</f>
        <v/>
      </c>
      <c r="CX9" s="60">
        <f>CX$7+CX$8</f>
        <v/>
      </c>
      <c r="CY9" s="60">
        <f>CY$7+CY$8</f>
        <v/>
      </c>
      <c r="CZ9" s="60">
        <f>CZ$7+CZ$8</f>
        <v/>
      </c>
      <c r="DA9" s="60">
        <f>DA$7+DA$8</f>
        <v/>
      </c>
      <c r="DB9" s="60">
        <f>DB$7+DB$8</f>
        <v/>
      </c>
      <c r="DC9" s="60">
        <f>DC$7+DC$8</f>
        <v/>
      </c>
      <c r="DD9" s="60">
        <f>DD$7+DD$8</f>
        <v/>
      </c>
      <c r="DE9" s="60">
        <f>DE$7+DE$8</f>
        <v/>
      </c>
      <c r="DF9" s="60">
        <f>DF$7+DF$8</f>
        <v/>
      </c>
      <c r="DG9" s="60">
        <f>DG$7+DG$8</f>
        <v/>
      </c>
      <c r="DH9" s="60">
        <f>DH$7+DH$8</f>
        <v/>
      </c>
      <c r="DI9" s="60">
        <f>DI$7+DI$8</f>
        <v/>
      </c>
      <c r="DJ9" s="60">
        <f>DJ$7+DJ$8</f>
        <v/>
      </c>
      <c r="DK9" s="60">
        <f>DK$7+DK$8</f>
        <v/>
      </c>
      <c r="DL9" s="60">
        <f>DL$7+DL$8</f>
        <v/>
      </c>
      <c r="DM9" s="60">
        <f>DM$7+DM$8</f>
        <v/>
      </c>
      <c r="DN9" s="60">
        <f>DN$7+DN$8</f>
        <v/>
      </c>
      <c r="DO9" s="60">
        <f>DO$7+DO$8</f>
        <v/>
      </c>
      <c r="DP9" s="60">
        <f>DP$7+DP$8</f>
        <v/>
      </c>
      <c r="DQ9" s="60">
        <f>DQ$7+DQ$8</f>
        <v/>
      </c>
      <c r="DR9" s="60">
        <f>DR$7+DR$8</f>
        <v/>
      </c>
      <c r="DS9" s="60">
        <f>DS$7+DS$8</f>
        <v/>
      </c>
      <c r="DT9" s="60">
        <f>DT$7+DT$8</f>
        <v/>
      </c>
    </row>
    <row r="10">
      <c r="A10" s="10" t="inlineStr">
        <is>
          <t>OpEx (excl. taxes)</t>
        </is>
      </c>
      <c r="E10" s="48">
        <f>OpEx!E$19</f>
        <v/>
      </c>
      <c r="F10" s="48">
        <f>OpEx!F$19</f>
        <v/>
      </c>
      <c r="G10" s="48">
        <f>OpEx!G$19</f>
        <v/>
      </c>
      <c r="H10" s="48">
        <f>OpEx!H$19</f>
        <v/>
      </c>
      <c r="I10" s="48">
        <f>OpEx!I$19</f>
        <v/>
      </c>
      <c r="J10" s="48">
        <f>OpEx!J$19</f>
        <v/>
      </c>
      <c r="K10" s="48">
        <f>OpEx!K$19</f>
        <v/>
      </c>
      <c r="L10" s="48">
        <f>OpEx!L$19</f>
        <v/>
      </c>
      <c r="M10" s="48">
        <f>OpEx!M$19</f>
        <v/>
      </c>
      <c r="N10" s="48">
        <f>OpEx!N$19</f>
        <v/>
      </c>
      <c r="O10" s="48">
        <f>OpEx!O$19</f>
        <v/>
      </c>
      <c r="P10" s="48">
        <f>OpEx!P$19</f>
        <v/>
      </c>
      <c r="Q10" s="48">
        <f>OpEx!Q$19</f>
        <v/>
      </c>
      <c r="R10" s="48">
        <f>OpEx!R$19</f>
        <v/>
      </c>
      <c r="S10" s="48">
        <f>OpEx!S$19</f>
        <v/>
      </c>
      <c r="T10" s="48">
        <f>OpEx!T$19</f>
        <v/>
      </c>
      <c r="U10" s="48">
        <f>OpEx!U$19</f>
        <v/>
      </c>
      <c r="V10" s="48">
        <f>OpEx!V$19</f>
        <v/>
      </c>
      <c r="W10" s="48">
        <f>OpEx!W$19</f>
        <v/>
      </c>
      <c r="X10" s="48">
        <f>OpEx!X$19</f>
        <v/>
      </c>
      <c r="Y10" s="48">
        <f>OpEx!Y$19</f>
        <v/>
      </c>
      <c r="Z10" s="48">
        <f>OpEx!Z$19</f>
        <v/>
      </c>
      <c r="AA10" s="48">
        <f>OpEx!AA$19</f>
        <v/>
      </c>
      <c r="AB10" s="48">
        <f>OpEx!AB$19</f>
        <v/>
      </c>
      <c r="AC10" s="48">
        <f>OpEx!AC$19</f>
        <v/>
      </c>
      <c r="AD10" s="48">
        <f>OpEx!AD$19</f>
        <v/>
      </c>
      <c r="AE10" s="48">
        <f>OpEx!AE$19</f>
        <v/>
      </c>
      <c r="AF10" s="48">
        <f>OpEx!AF$19</f>
        <v/>
      </c>
      <c r="AG10" s="48">
        <f>OpEx!AG$19</f>
        <v/>
      </c>
      <c r="AH10" s="48">
        <f>OpEx!AH$19</f>
        <v/>
      </c>
      <c r="AI10" s="48">
        <f>OpEx!AI$19</f>
        <v/>
      </c>
      <c r="AJ10" s="48">
        <f>OpEx!AJ$19</f>
        <v/>
      </c>
      <c r="AK10" s="48">
        <f>OpEx!AK$19</f>
        <v/>
      </c>
      <c r="AL10" s="48">
        <f>OpEx!AL$19</f>
        <v/>
      </c>
      <c r="AM10" s="48">
        <f>OpEx!AM$19</f>
        <v/>
      </c>
      <c r="AN10" s="48">
        <f>OpEx!AN$19</f>
        <v/>
      </c>
      <c r="AO10" s="48">
        <f>OpEx!AO$19</f>
        <v/>
      </c>
      <c r="AP10" s="48">
        <f>OpEx!AP$19</f>
        <v/>
      </c>
      <c r="AQ10" s="48">
        <f>OpEx!AQ$19</f>
        <v/>
      </c>
      <c r="AR10" s="48">
        <f>OpEx!AR$19</f>
        <v/>
      </c>
      <c r="AS10" s="48">
        <f>OpEx!AS$19</f>
        <v/>
      </c>
      <c r="AT10" s="48">
        <f>OpEx!AT$19</f>
        <v/>
      </c>
      <c r="AU10" s="48">
        <f>OpEx!AU$19</f>
        <v/>
      </c>
      <c r="AV10" s="48">
        <f>OpEx!AV$19</f>
        <v/>
      </c>
      <c r="AW10" s="48">
        <f>OpEx!AW$19</f>
        <v/>
      </c>
      <c r="AX10" s="48">
        <f>OpEx!AX$19</f>
        <v/>
      </c>
      <c r="AY10" s="48">
        <f>OpEx!AY$19</f>
        <v/>
      </c>
      <c r="AZ10" s="48">
        <f>OpEx!AZ$19</f>
        <v/>
      </c>
      <c r="BA10" s="48">
        <f>OpEx!BA$19</f>
        <v/>
      </c>
      <c r="BB10" s="48">
        <f>OpEx!BB$19</f>
        <v/>
      </c>
      <c r="BC10" s="48">
        <f>OpEx!BC$19</f>
        <v/>
      </c>
      <c r="BD10" s="48">
        <f>OpEx!BD$19</f>
        <v/>
      </c>
      <c r="BE10" s="48">
        <f>OpEx!BE$19</f>
        <v/>
      </c>
      <c r="BF10" s="48">
        <f>OpEx!BF$19</f>
        <v/>
      </c>
      <c r="BG10" s="48">
        <f>OpEx!BG$19</f>
        <v/>
      </c>
      <c r="BH10" s="48">
        <f>OpEx!BH$19</f>
        <v/>
      </c>
      <c r="BI10" s="48">
        <f>OpEx!BI$19</f>
        <v/>
      </c>
      <c r="BJ10" s="48">
        <f>OpEx!BJ$19</f>
        <v/>
      </c>
      <c r="BK10" s="48">
        <f>OpEx!BK$19</f>
        <v/>
      </c>
      <c r="BL10" s="48">
        <f>OpEx!BL$19</f>
        <v/>
      </c>
      <c r="BM10" s="48">
        <f>OpEx!BM$19</f>
        <v/>
      </c>
      <c r="BN10" s="48">
        <f>OpEx!BN$19</f>
        <v/>
      </c>
      <c r="BO10" s="48">
        <f>OpEx!BO$19</f>
        <v/>
      </c>
      <c r="BP10" s="48">
        <f>OpEx!BP$19</f>
        <v/>
      </c>
      <c r="BQ10" s="48">
        <f>OpEx!BQ$19</f>
        <v/>
      </c>
      <c r="BR10" s="48">
        <f>OpEx!BR$19</f>
        <v/>
      </c>
      <c r="BS10" s="48">
        <f>OpEx!BS$19</f>
        <v/>
      </c>
      <c r="BT10" s="48">
        <f>OpEx!BT$19</f>
        <v/>
      </c>
      <c r="BU10" s="48">
        <f>OpEx!BU$19</f>
        <v/>
      </c>
      <c r="BV10" s="48">
        <f>OpEx!BV$19</f>
        <v/>
      </c>
      <c r="BW10" s="48">
        <f>OpEx!BW$19</f>
        <v/>
      </c>
      <c r="BX10" s="48">
        <f>OpEx!BX$19</f>
        <v/>
      </c>
      <c r="BY10" s="48">
        <f>OpEx!BY$19</f>
        <v/>
      </c>
      <c r="BZ10" s="48">
        <f>OpEx!BZ$19</f>
        <v/>
      </c>
      <c r="CA10" s="48">
        <f>OpEx!CA$19</f>
        <v/>
      </c>
      <c r="CB10" s="48">
        <f>OpEx!CB$19</f>
        <v/>
      </c>
      <c r="CC10" s="48">
        <f>OpEx!CC$19</f>
        <v/>
      </c>
      <c r="CD10" s="48">
        <f>OpEx!CD$19</f>
        <v/>
      </c>
      <c r="CE10" s="48">
        <f>OpEx!CE$19</f>
        <v/>
      </c>
      <c r="CF10" s="48">
        <f>OpEx!CF$19</f>
        <v/>
      </c>
      <c r="CG10" s="48">
        <f>OpEx!CG$19</f>
        <v/>
      </c>
      <c r="CH10" s="48">
        <f>OpEx!CH$19</f>
        <v/>
      </c>
      <c r="CI10" s="48">
        <f>OpEx!CI$19</f>
        <v/>
      </c>
      <c r="CJ10" s="48">
        <f>OpEx!CJ$19</f>
        <v/>
      </c>
      <c r="CK10" s="48">
        <f>OpEx!CK$19</f>
        <v/>
      </c>
      <c r="CL10" s="48">
        <f>OpEx!CL$19</f>
        <v/>
      </c>
      <c r="CM10" s="48">
        <f>OpEx!CM$19</f>
        <v/>
      </c>
      <c r="CN10" s="48">
        <f>OpEx!CN$19</f>
        <v/>
      </c>
      <c r="CO10" s="48">
        <f>OpEx!CO$19</f>
        <v/>
      </c>
      <c r="CP10" s="48">
        <f>OpEx!CP$19</f>
        <v/>
      </c>
      <c r="CQ10" s="48">
        <f>OpEx!CQ$19</f>
        <v/>
      </c>
      <c r="CR10" s="48">
        <f>OpEx!CR$19</f>
        <v/>
      </c>
      <c r="CS10" s="48">
        <f>OpEx!CS$19</f>
        <v/>
      </c>
      <c r="CT10" s="48">
        <f>OpEx!CT$19</f>
        <v/>
      </c>
      <c r="CU10" s="48">
        <f>OpEx!CU$19</f>
        <v/>
      </c>
      <c r="CV10" s="48">
        <f>OpEx!CV$19</f>
        <v/>
      </c>
      <c r="CW10" s="48">
        <f>OpEx!CW$19</f>
        <v/>
      </c>
      <c r="CX10" s="48">
        <f>OpEx!CX$19</f>
        <v/>
      </c>
      <c r="CY10" s="48">
        <f>OpEx!CY$19</f>
        <v/>
      </c>
      <c r="CZ10" s="48">
        <f>OpEx!CZ$19</f>
        <v/>
      </c>
      <c r="DA10" s="48">
        <f>OpEx!DA$19</f>
        <v/>
      </c>
      <c r="DB10" s="48">
        <f>OpEx!DB$19</f>
        <v/>
      </c>
      <c r="DC10" s="48">
        <f>OpEx!DC$19</f>
        <v/>
      </c>
      <c r="DD10" s="48">
        <f>OpEx!DD$19</f>
        <v/>
      </c>
      <c r="DE10" s="48">
        <f>OpEx!DE$19</f>
        <v/>
      </c>
      <c r="DF10" s="48">
        <f>OpEx!DF$19</f>
        <v/>
      </c>
      <c r="DG10" s="48">
        <f>OpEx!DG$19</f>
        <v/>
      </c>
      <c r="DH10" s="48">
        <f>OpEx!DH$19</f>
        <v/>
      </c>
      <c r="DI10" s="48">
        <f>OpEx!DI$19</f>
        <v/>
      </c>
      <c r="DJ10" s="48">
        <f>OpEx!DJ$19</f>
        <v/>
      </c>
      <c r="DK10" s="48">
        <f>OpEx!DK$19</f>
        <v/>
      </c>
      <c r="DL10" s="48">
        <f>OpEx!DL$19</f>
        <v/>
      </c>
      <c r="DM10" s="48">
        <f>OpEx!DM$19</f>
        <v/>
      </c>
      <c r="DN10" s="48">
        <f>OpEx!DN$19</f>
        <v/>
      </c>
      <c r="DO10" s="48">
        <f>OpEx!DO$19</f>
        <v/>
      </c>
      <c r="DP10" s="48">
        <f>OpEx!DP$19</f>
        <v/>
      </c>
      <c r="DQ10" s="48">
        <f>OpEx!DQ$19</f>
        <v/>
      </c>
      <c r="DR10" s="48">
        <f>OpEx!DR$19</f>
        <v/>
      </c>
      <c r="DS10" s="48">
        <f>OpEx!DS$19</f>
        <v/>
      </c>
      <c r="DT10" s="48">
        <f>OpEx!DT$19</f>
        <v/>
      </c>
    </row>
    <row r="11">
      <c r="A11" s="10" t="inlineStr">
        <is>
          <t>Taxes</t>
        </is>
      </c>
      <c r="E11" s="48">
        <f>Taxes!E$8</f>
        <v/>
      </c>
      <c r="F11" s="48">
        <f>Taxes!F$8</f>
        <v/>
      </c>
      <c r="G11" s="48">
        <f>Taxes!G$8</f>
        <v/>
      </c>
      <c r="H11" s="48">
        <f>Taxes!H$8</f>
        <v/>
      </c>
      <c r="I11" s="48">
        <f>Taxes!I$8</f>
        <v/>
      </c>
      <c r="J11" s="48">
        <f>Taxes!J$8</f>
        <v/>
      </c>
      <c r="K11" s="48">
        <f>Taxes!K$8</f>
        <v/>
      </c>
      <c r="L11" s="48">
        <f>Taxes!L$8</f>
        <v/>
      </c>
      <c r="M11" s="48">
        <f>Taxes!M$8</f>
        <v/>
      </c>
      <c r="N11" s="48">
        <f>Taxes!N$8</f>
        <v/>
      </c>
      <c r="O11" s="48">
        <f>Taxes!O$8</f>
        <v/>
      </c>
      <c r="P11" s="48">
        <f>Taxes!P$8</f>
        <v/>
      </c>
      <c r="Q11" s="48">
        <f>Taxes!Q$8</f>
        <v/>
      </c>
      <c r="R11" s="48">
        <f>Taxes!R$8</f>
        <v/>
      </c>
      <c r="S11" s="48">
        <f>Taxes!S$8</f>
        <v/>
      </c>
      <c r="T11" s="48">
        <f>Taxes!T$8</f>
        <v/>
      </c>
      <c r="U11" s="48">
        <f>Taxes!U$8</f>
        <v/>
      </c>
      <c r="V11" s="48">
        <f>Taxes!V$8</f>
        <v/>
      </c>
      <c r="W11" s="48">
        <f>Taxes!W$8</f>
        <v/>
      </c>
      <c r="X11" s="48">
        <f>Taxes!X$8</f>
        <v/>
      </c>
      <c r="Y11" s="48">
        <f>Taxes!Y$8</f>
        <v/>
      </c>
      <c r="Z11" s="48">
        <f>Taxes!Z$8</f>
        <v/>
      </c>
      <c r="AA11" s="48">
        <f>Taxes!AA$8</f>
        <v/>
      </c>
      <c r="AB11" s="48">
        <f>Taxes!AB$8</f>
        <v/>
      </c>
      <c r="AC11" s="48">
        <f>Taxes!AC$8</f>
        <v/>
      </c>
      <c r="AD11" s="48">
        <f>Taxes!AD$8</f>
        <v/>
      </c>
      <c r="AE11" s="48">
        <f>Taxes!AE$8</f>
        <v/>
      </c>
      <c r="AF11" s="48">
        <f>Taxes!AF$8</f>
        <v/>
      </c>
      <c r="AG11" s="48">
        <f>Taxes!AG$8</f>
        <v/>
      </c>
      <c r="AH11" s="48">
        <f>Taxes!AH$8</f>
        <v/>
      </c>
      <c r="AI11" s="48">
        <f>Taxes!AI$8</f>
        <v/>
      </c>
      <c r="AJ11" s="48">
        <f>Taxes!AJ$8</f>
        <v/>
      </c>
      <c r="AK11" s="48">
        <f>Taxes!AK$8</f>
        <v/>
      </c>
      <c r="AL11" s="48">
        <f>Taxes!AL$8</f>
        <v/>
      </c>
      <c r="AM11" s="48">
        <f>Taxes!AM$8</f>
        <v/>
      </c>
      <c r="AN11" s="48">
        <f>Taxes!AN$8</f>
        <v/>
      </c>
      <c r="AO11" s="48">
        <f>Taxes!AO$8</f>
        <v/>
      </c>
      <c r="AP11" s="48">
        <f>Taxes!AP$8</f>
        <v/>
      </c>
      <c r="AQ11" s="48">
        <f>Taxes!AQ$8</f>
        <v/>
      </c>
      <c r="AR11" s="48">
        <f>Taxes!AR$8</f>
        <v/>
      </c>
      <c r="AS11" s="48">
        <f>Taxes!AS$8</f>
        <v/>
      </c>
      <c r="AT11" s="48">
        <f>Taxes!AT$8</f>
        <v/>
      </c>
      <c r="AU11" s="48">
        <f>Taxes!AU$8</f>
        <v/>
      </c>
      <c r="AV11" s="48">
        <f>Taxes!AV$8</f>
        <v/>
      </c>
      <c r="AW11" s="48">
        <f>Taxes!AW$8</f>
        <v/>
      </c>
      <c r="AX11" s="48">
        <f>Taxes!AX$8</f>
        <v/>
      </c>
      <c r="AY11" s="48">
        <f>Taxes!AY$8</f>
        <v/>
      </c>
      <c r="AZ11" s="48">
        <f>Taxes!AZ$8</f>
        <v/>
      </c>
      <c r="BA11" s="48">
        <f>Taxes!BA$8</f>
        <v/>
      </c>
      <c r="BB11" s="48">
        <f>Taxes!BB$8</f>
        <v/>
      </c>
      <c r="BC11" s="48">
        <f>Taxes!BC$8</f>
        <v/>
      </c>
      <c r="BD11" s="48">
        <f>Taxes!BD$8</f>
        <v/>
      </c>
      <c r="BE11" s="48">
        <f>Taxes!BE$8</f>
        <v/>
      </c>
      <c r="BF11" s="48">
        <f>Taxes!BF$8</f>
        <v/>
      </c>
      <c r="BG11" s="48">
        <f>Taxes!BG$8</f>
        <v/>
      </c>
      <c r="BH11" s="48">
        <f>Taxes!BH$8</f>
        <v/>
      </c>
      <c r="BI11" s="48">
        <f>Taxes!BI$8</f>
        <v/>
      </c>
      <c r="BJ11" s="48">
        <f>Taxes!BJ$8</f>
        <v/>
      </c>
      <c r="BK11" s="48">
        <f>Taxes!BK$8</f>
        <v/>
      </c>
      <c r="BL11" s="48">
        <f>Taxes!BL$8</f>
        <v/>
      </c>
      <c r="BM11" s="48">
        <f>Taxes!BM$8</f>
        <v/>
      </c>
      <c r="BN11" s="48">
        <f>Taxes!BN$8</f>
        <v/>
      </c>
      <c r="BO11" s="48">
        <f>Taxes!BO$8</f>
        <v/>
      </c>
      <c r="BP11" s="48">
        <f>Taxes!BP$8</f>
        <v/>
      </c>
      <c r="BQ11" s="48">
        <f>Taxes!BQ$8</f>
        <v/>
      </c>
      <c r="BR11" s="48">
        <f>Taxes!BR$8</f>
        <v/>
      </c>
      <c r="BS11" s="48">
        <f>Taxes!BS$8</f>
        <v/>
      </c>
      <c r="BT11" s="48">
        <f>Taxes!BT$8</f>
        <v/>
      </c>
      <c r="BU11" s="48">
        <f>Taxes!BU$8</f>
        <v/>
      </c>
      <c r="BV11" s="48">
        <f>Taxes!BV$8</f>
        <v/>
      </c>
      <c r="BW11" s="48">
        <f>Taxes!BW$8</f>
        <v/>
      </c>
      <c r="BX11" s="48">
        <f>Taxes!BX$8</f>
        <v/>
      </c>
      <c r="BY11" s="48">
        <f>Taxes!BY$8</f>
        <v/>
      </c>
      <c r="BZ11" s="48">
        <f>Taxes!BZ$8</f>
        <v/>
      </c>
      <c r="CA11" s="48">
        <f>Taxes!CA$8</f>
        <v/>
      </c>
      <c r="CB11" s="48">
        <f>Taxes!CB$8</f>
        <v/>
      </c>
      <c r="CC11" s="48">
        <f>Taxes!CC$8</f>
        <v/>
      </c>
      <c r="CD11" s="48">
        <f>Taxes!CD$8</f>
        <v/>
      </c>
      <c r="CE11" s="48">
        <f>Taxes!CE$8</f>
        <v/>
      </c>
      <c r="CF11" s="48">
        <f>Taxes!CF$8</f>
        <v/>
      </c>
      <c r="CG11" s="48">
        <f>Taxes!CG$8</f>
        <v/>
      </c>
      <c r="CH11" s="48">
        <f>Taxes!CH$8</f>
        <v/>
      </c>
      <c r="CI11" s="48">
        <f>Taxes!CI$8</f>
        <v/>
      </c>
      <c r="CJ11" s="48">
        <f>Taxes!CJ$8</f>
        <v/>
      </c>
      <c r="CK11" s="48">
        <f>Taxes!CK$8</f>
        <v/>
      </c>
      <c r="CL11" s="48">
        <f>Taxes!CL$8</f>
        <v/>
      </c>
      <c r="CM11" s="48">
        <f>Taxes!CM$8</f>
        <v/>
      </c>
      <c r="CN11" s="48">
        <f>Taxes!CN$8</f>
        <v/>
      </c>
      <c r="CO11" s="48">
        <f>Taxes!CO$8</f>
        <v/>
      </c>
      <c r="CP11" s="48">
        <f>Taxes!CP$8</f>
        <v/>
      </c>
      <c r="CQ11" s="48">
        <f>Taxes!CQ$8</f>
        <v/>
      </c>
      <c r="CR11" s="48">
        <f>Taxes!CR$8</f>
        <v/>
      </c>
      <c r="CS11" s="48">
        <f>Taxes!CS$8</f>
        <v/>
      </c>
      <c r="CT11" s="48">
        <f>Taxes!CT$8</f>
        <v/>
      </c>
      <c r="CU11" s="48">
        <f>Taxes!CU$8</f>
        <v/>
      </c>
      <c r="CV11" s="48">
        <f>Taxes!CV$8</f>
        <v/>
      </c>
      <c r="CW11" s="48">
        <f>Taxes!CW$8</f>
        <v/>
      </c>
      <c r="CX11" s="48">
        <f>Taxes!CX$8</f>
        <v/>
      </c>
      <c r="CY11" s="48">
        <f>Taxes!CY$8</f>
        <v/>
      </c>
      <c r="CZ11" s="48">
        <f>Taxes!CZ$8</f>
        <v/>
      </c>
      <c r="DA11" s="48">
        <f>Taxes!DA$8</f>
        <v/>
      </c>
      <c r="DB11" s="48">
        <f>Taxes!DB$8</f>
        <v/>
      </c>
      <c r="DC11" s="48">
        <f>Taxes!DC$8</f>
        <v/>
      </c>
      <c r="DD11" s="48">
        <f>Taxes!DD$8</f>
        <v/>
      </c>
      <c r="DE11" s="48">
        <f>Taxes!DE$8</f>
        <v/>
      </c>
      <c r="DF11" s="48">
        <f>Taxes!DF$8</f>
        <v/>
      </c>
      <c r="DG11" s="48">
        <f>Taxes!DG$8</f>
        <v/>
      </c>
      <c r="DH11" s="48">
        <f>Taxes!DH$8</f>
        <v/>
      </c>
      <c r="DI11" s="48">
        <f>Taxes!DI$8</f>
        <v/>
      </c>
      <c r="DJ11" s="48">
        <f>Taxes!DJ$8</f>
        <v/>
      </c>
      <c r="DK11" s="48">
        <f>Taxes!DK$8</f>
        <v/>
      </c>
      <c r="DL11" s="48">
        <f>Taxes!DL$8</f>
        <v/>
      </c>
      <c r="DM11" s="48">
        <f>Taxes!DM$8</f>
        <v/>
      </c>
      <c r="DN11" s="48">
        <f>Taxes!DN$8</f>
        <v/>
      </c>
      <c r="DO11" s="48">
        <f>Taxes!DO$8</f>
        <v/>
      </c>
      <c r="DP11" s="48">
        <f>Taxes!DP$8</f>
        <v/>
      </c>
      <c r="DQ11" s="48">
        <f>Taxes!DQ$8</f>
        <v/>
      </c>
      <c r="DR11" s="48">
        <f>Taxes!DR$8</f>
        <v/>
      </c>
      <c r="DS11" s="48">
        <f>Taxes!DS$8</f>
        <v/>
      </c>
      <c r="DT11" s="48">
        <f>Taxes!DT$8</f>
        <v/>
      </c>
    </row>
    <row r="12">
      <c r="A12" s="3" t="inlineStr">
        <is>
          <t>NOI</t>
        </is>
      </c>
      <c r="E12" s="60">
        <f>E$9+E$10+E$11</f>
        <v/>
      </c>
      <c r="F12" s="60">
        <f>F$9+F$10+F$11</f>
        <v/>
      </c>
      <c r="G12" s="60">
        <f>G$9+G$10+G$11</f>
        <v/>
      </c>
      <c r="H12" s="60">
        <f>H$9+H$10+H$11</f>
        <v/>
      </c>
      <c r="I12" s="60">
        <f>I$9+I$10+I$11</f>
        <v/>
      </c>
      <c r="J12" s="60">
        <f>J$9+J$10+J$11</f>
        <v/>
      </c>
      <c r="K12" s="60">
        <f>K$9+K$10+K$11</f>
        <v/>
      </c>
      <c r="L12" s="60">
        <f>L$9+L$10+L$11</f>
        <v/>
      </c>
      <c r="M12" s="60">
        <f>M$9+M$10+M$11</f>
        <v/>
      </c>
      <c r="N12" s="60">
        <f>N$9+N$10+N$11</f>
        <v/>
      </c>
      <c r="O12" s="60">
        <f>O$9+O$10+O$11</f>
        <v/>
      </c>
      <c r="P12" s="60">
        <f>P$9+P$10+P$11</f>
        <v/>
      </c>
      <c r="Q12" s="60">
        <f>Q$9+Q$10+Q$11</f>
        <v/>
      </c>
      <c r="R12" s="60">
        <f>R$9+R$10+R$11</f>
        <v/>
      </c>
      <c r="S12" s="60">
        <f>S$9+S$10+S$11</f>
        <v/>
      </c>
      <c r="T12" s="60">
        <f>T$9+T$10+T$11</f>
        <v/>
      </c>
      <c r="U12" s="60">
        <f>U$9+U$10+U$11</f>
        <v/>
      </c>
      <c r="V12" s="60">
        <f>V$9+V$10+V$11</f>
        <v/>
      </c>
      <c r="W12" s="60">
        <f>W$9+W$10+W$11</f>
        <v/>
      </c>
      <c r="X12" s="60">
        <f>X$9+X$10+X$11</f>
        <v/>
      </c>
      <c r="Y12" s="60">
        <f>Y$9+Y$10+Y$11</f>
        <v/>
      </c>
      <c r="Z12" s="60">
        <f>Z$9+Z$10+Z$11</f>
        <v/>
      </c>
      <c r="AA12" s="60">
        <f>AA$9+AA$10+AA$11</f>
        <v/>
      </c>
      <c r="AB12" s="60">
        <f>AB$9+AB$10+AB$11</f>
        <v/>
      </c>
      <c r="AC12" s="60">
        <f>AC$9+AC$10+AC$11</f>
        <v/>
      </c>
      <c r="AD12" s="60">
        <f>AD$9+AD$10+AD$11</f>
        <v/>
      </c>
      <c r="AE12" s="60">
        <f>AE$9+AE$10+AE$11</f>
        <v/>
      </c>
      <c r="AF12" s="60">
        <f>AF$9+AF$10+AF$11</f>
        <v/>
      </c>
      <c r="AG12" s="60">
        <f>AG$9+AG$10+AG$11</f>
        <v/>
      </c>
      <c r="AH12" s="60">
        <f>AH$9+AH$10+AH$11</f>
        <v/>
      </c>
      <c r="AI12" s="60">
        <f>AI$9+AI$10+AI$11</f>
        <v/>
      </c>
      <c r="AJ12" s="60">
        <f>AJ$9+AJ$10+AJ$11</f>
        <v/>
      </c>
      <c r="AK12" s="60">
        <f>AK$9+AK$10+AK$11</f>
        <v/>
      </c>
      <c r="AL12" s="60">
        <f>AL$9+AL$10+AL$11</f>
        <v/>
      </c>
      <c r="AM12" s="60">
        <f>AM$9+AM$10+AM$11</f>
        <v/>
      </c>
      <c r="AN12" s="60">
        <f>AN$9+AN$10+AN$11</f>
        <v/>
      </c>
      <c r="AO12" s="60">
        <f>AO$9+AO$10+AO$11</f>
        <v/>
      </c>
      <c r="AP12" s="60">
        <f>AP$9+AP$10+AP$11</f>
        <v/>
      </c>
      <c r="AQ12" s="60">
        <f>AQ$9+AQ$10+AQ$11</f>
        <v/>
      </c>
      <c r="AR12" s="60">
        <f>AR$9+AR$10+AR$11</f>
        <v/>
      </c>
      <c r="AS12" s="60">
        <f>AS$9+AS$10+AS$11</f>
        <v/>
      </c>
      <c r="AT12" s="60">
        <f>AT$9+AT$10+AT$11</f>
        <v/>
      </c>
      <c r="AU12" s="60">
        <f>AU$9+AU$10+AU$11</f>
        <v/>
      </c>
      <c r="AV12" s="60">
        <f>AV$9+AV$10+AV$11</f>
        <v/>
      </c>
      <c r="AW12" s="60">
        <f>AW$9+AW$10+AW$11</f>
        <v/>
      </c>
      <c r="AX12" s="60">
        <f>AX$9+AX$10+AX$11</f>
        <v/>
      </c>
      <c r="AY12" s="60">
        <f>AY$9+AY$10+AY$11</f>
        <v/>
      </c>
      <c r="AZ12" s="60">
        <f>AZ$9+AZ$10+AZ$11</f>
        <v/>
      </c>
      <c r="BA12" s="60">
        <f>BA$9+BA$10+BA$11</f>
        <v/>
      </c>
      <c r="BB12" s="60">
        <f>BB$9+BB$10+BB$11</f>
        <v/>
      </c>
      <c r="BC12" s="60">
        <f>BC$9+BC$10+BC$11</f>
        <v/>
      </c>
      <c r="BD12" s="60">
        <f>BD$9+BD$10+BD$11</f>
        <v/>
      </c>
      <c r="BE12" s="60">
        <f>BE$9+BE$10+BE$11</f>
        <v/>
      </c>
      <c r="BF12" s="60">
        <f>BF$9+BF$10+BF$11</f>
        <v/>
      </c>
      <c r="BG12" s="60">
        <f>BG$9+BG$10+BG$11</f>
        <v/>
      </c>
      <c r="BH12" s="60">
        <f>BH$9+BH$10+BH$11</f>
        <v/>
      </c>
      <c r="BI12" s="60">
        <f>BI$9+BI$10+BI$11</f>
        <v/>
      </c>
      <c r="BJ12" s="60">
        <f>BJ$9+BJ$10+BJ$11</f>
        <v/>
      </c>
      <c r="BK12" s="60">
        <f>BK$9+BK$10+BK$11</f>
        <v/>
      </c>
      <c r="BL12" s="60">
        <f>BL$9+BL$10+BL$11</f>
        <v/>
      </c>
      <c r="BM12" s="60">
        <f>BM$9+BM$10+BM$11</f>
        <v/>
      </c>
      <c r="BN12" s="60">
        <f>BN$9+BN$10+BN$11</f>
        <v/>
      </c>
      <c r="BO12" s="60">
        <f>BO$9+BO$10+BO$11</f>
        <v/>
      </c>
      <c r="BP12" s="60">
        <f>BP$9+BP$10+BP$11</f>
        <v/>
      </c>
      <c r="BQ12" s="60">
        <f>BQ$9+BQ$10+BQ$11</f>
        <v/>
      </c>
      <c r="BR12" s="60">
        <f>BR$9+BR$10+BR$11</f>
        <v/>
      </c>
      <c r="BS12" s="60">
        <f>BS$9+BS$10+BS$11</f>
        <v/>
      </c>
      <c r="BT12" s="60">
        <f>BT$9+BT$10+BT$11</f>
        <v/>
      </c>
      <c r="BU12" s="60">
        <f>BU$9+BU$10+BU$11</f>
        <v/>
      </c>
      <c r="BV12" s="60">
        <f>BV$9+BV$10+BV$11</f>
        <v/>
      </c>
      <c r="BW12" s="60">
        <f>BW$9+BW$10+BW$11</f>
        <v/>
      </c>
      <c r="BX12" s="60">
        <f>BX$9+BX$10+BX$11</f>
        <v/>
      </c>
      <c r="BY12" s="60">
        <f>BY$9+BY$10+BY$11</f>
        <v/>
      </c>
      <c r="BZ12" s="60">
        <f>BZ$9+BZ$10+BZ$11</f>
        <v/>
      </c>
      <c r="CA12" s="60">
        <f>CA$9+CA$10+CA$11</f>
        <v/>
      </c>
      <c r="CB12" s="60">
        <f>CB$9+CB$10+CB$11</f>
        <v/>
      </c>
      <c r="CC12" s="60">
        <f>CC$9+CC$10+CC$11</f>
        <v/>
      </c>
      <c r="CD12" s="60">
        <f>CD$9+CD$10+CD$11</f>
        <v/>
      </c>
      <c r="CE12" s="60">
        <f>CE$9+CE$10+CE$11</f>
        <v/>
      </c>
      <c r="CF12" s="60">
        <f>CF$9+CF$10+CF$11</f>
        <v/>
      </c>
      <c r="CG12" s="60">
        <f>CG$9+CG$10+CG$11</f>
        <v/>
      </c>
      <c r="CH12" s="60">
        <f>CH$9+CH$10+CH$11</f>
        <v/>
      </c>
      <c r="CI12" s="60">
        <f>CI$9+CI$10+CI$11</f>
        <v/>
      </c>
      <c r="CJ12" s="60">
        <f>CJ$9+CJ$10+CJ$11</f>
        <v/>
      </c>
      <c r="CK12" s="60">
        <f>CK$9+CK$10+CK$11</f>
        <v/>
      </c>
      <c r="CL12" s="60">
        <f>CL$9+CL$10+CL$11</f>
        <v/>
      </c>
      <c r="CM12" s="60">
        <f>CM$9+CM$10+CM$11</f>
        <v/>
      </c>
      <c r="CN12" s="60">
        <f>CN$9+CN$10+CN$11</f>
        <v/>
      </c>
      <c r="CO12" s="60">
        <f>CO$9+CO$10+CO$11</f>
        <v/>
      </c>
      <c r="CP12" s="60">
        <f>CP$9+CP$10+CP$11</f>
        <v/>
      </c>
      <c r="CQ12" s="60">
        <f>CQ$9+CQ$10+CQ$11</f>
        <v/>
      </c>
      <c r="CR12" s="60">
        <f>CR$9+CR$10+CR$11</f>
        <v/>
      </c>
      <c r="CS12" s="60">
        <f>CS$9+CS$10+CS$11</f>
        <v/>
      </c>
      <c r="CT12" s="60">
        <f>CT$9+CT$10+CT$11</f>
        <v/>
      </c>
      <c r="CU12" s="60">
        <f>CU$9+CU$10+CU$11</f>
        <v/>
      </c>
      <c r="CV12" s="60">
        <f>CV$9+CV$10+CV$11</f>
        <v/>
      </c>
      <c r="CW12" s="60">
        <f>CW$9+CW$10+CW$11</f>
        <v/>
      </c>
      <c r="CX12" s="60">
        <f>CX$9+CX$10+CX$11</f>
        <v/>
      </c>
      <c r="CY12" s="60">
        <f>CY$9+CY$10+CY$11</f>
        <v/>
      </c>
      <c r="CZ12" s="60">
        <f>CZ$9+CZ$10+CZ$11</f>
        <v/>
      </c>
      <c r="DA12" s="60">
        <f>DA$9+DA$10+DA$11</f>
        <v/>
      </c>
      <c r="DB12" s="60">
        <f>DB$9+DB$10+DB$11</f>
        <v/>
      </c>
      <c r="DC12" s="60">
        <f>DC$9+DC$10+DC$11</f>
        <v/>
      </c>
      <c r="DD12" s="60">
        <f>DD$9+DD$10+DD$11</f>
        <v/>
      </c>
      <c r="DE12" s="60">
        <f>DE$9+DE$10+DE$11</f>
        <v/>
      </c>
      <c r="DF12" s="60">
        <f>DF$9+DF$10+DF$11</f>
        <v/>
      </c>
      <c r="DG12" s="60">
        <f>DG$9+DG$10+DG$11</f>
        <v/>
      </c>
      <c r="DH12" s="60">
        <f>DH$9+DH$10+DH$11</f>
        <v/>
      </c>
      <c r="DI12" s="60">
        <f>DI$9+DI$10+DI$11</f>
        <v/>
      </c>
      <c r="DJ12" s="60">
        <f>DJ$9+DJ$10+DJ$11</f>
        <v/>
      </c>
      <c r="DK12" s="60">
        <f>DK$9+DK$10+DK$11</f>
        <v/>
      </c>
      <c r="DL12" s="60">
        <f>DL$9+DL$10+DL$11</f>
        <v/>
      </c>
      <c r="DM12" s="60">
        <f>DM$9+DM$10+DM$11</f>
        <v/>
      </c>
      <c r="DN12" s="60">
        <f>DN$9+DN$10+DN$11</f>
        <v/>
      </c>
      <c r="DO12" s="60">
        <f>DO$9+DO$10+DO$11</f>
        <v/>
      </c>
      <c r="DP12" s="60">
        <f>DP$9+DP$10+DP$11</f>
        <v/>
      </c>
      <c r="DQ12" s="60">
        <f>DQ$9+DQ$10+DQ$11</f>
        <v/>
      </c>
      <c r="DR12" s="60">
        <f>DR$9+DR$10+DR$11</f>
        <v/>
      </c>
      <c r="DS12" s="60">
        <f>DS$9+DS$10+DS$11</f>
        <v/>
      </c>
      <c r="DT12" s="60">
        <f>DT$9+DT$10+DT$11</f>
        <v/>
      </c>
    </row>
    <row r="13">
      <c r="A13" s="10" t="inlineStr">
        <is>
          <t>Replacement reserves</t>
        </is>
      </c>
      <c r="E13" s="48">
        <f>OpEx!E$18</f>
        <v/>
      </c>
      <c r="F13" s="48">
        <f>OpEx!F$18</f>
        <v/>
      </c>
      <c r="G13" s="48">
        <f>OpEx!G$18</f>
        <v/>
      </c>
      <c r="H13" s="48">
        <f>OpEx!H$18</f>
        <v/>
      </c>
      <c r="I13" s="48">
        <f>OpEx!I$18</f>
        <v/>
      </c>
      <c r="J13" s="48">
        <f>OpEx!J$18</f>
        <v/>
      </c>
      <c r="K13" s="48">
        <f>OpEx!K$18</f>
        <v/>
      </c>
      <c r="L13" s="48">
        <f>OpEx!L$18</f>
        <v/>
      </c>
      <c r="M13" s="48">
        <f>OpEx!M$18</f>
        <v/>
      </c>
      <c r="N13" s="48">
        <f>OpEx!N$18</f>
        <v/>
      </c>
      <c r="O13" s="48">
        <f>OpEx!O$18</f>
        <v/>
      </c>
      <c r="P13" s="48">
        <f>OpEx!P$18</f>
        <v/>
      </c>
      <c r="Q13" s="48">
        <f>OpEx!Q$18</f>
        <v/>
      </c>
      <c r="R13" s="48">
        <f>OpEx!R$18</f>
        <v/>
      </c>
      <c r="S13" s="48">
        <f>OpEx!S$18</f>
        <v/>
      </c>
      <c r="T13" s="48">
        <f>OpEx!T$18</f>
        <v/>
      </c>
      <c r="U13" s="48">
        <f>OpEx!U$18</f>
        <v/>
      </c>
      <c r="V13" s="48">
        <f>OpEx!V$18</f>
        <v/>
      </c>
      <c r="W13" s="48">
        <f>OpEx!W$18</f>
        <v/>
      </c>
      <c r="X13" s="48">
        <f>OpEx!X$18</f>
        <v/>
      </c>
      <c r="Y13" s="48">
        <f>OpEx!Y$18</f>
        <v/>
      </c>
      <c r="Z13" s="48">
        <f>OpEx!Z$18</f>
        <v/>
      </c>
      <c r="AA13" s="48">
        <f>OpEx!AA$18</f>
        <v/>
      </c>
      <c r="AB13" s="48">
        <f>OpEx!AB$18</f>
        <v/>
      </c>
      <c r="AC13" s="48">
        <f>OpEx!AC$18</f>
        <v/>
      </c>
      <c r="AD13" s="48">
        <f>OpEx!AD$18</f>
        <v/>
      </c>
      <c r="AE13" s="48">
        <f>OpEx!AE$18</f>
        <v/>
      </c>
      <c r="AF13" s="48">
        <f>OpEx!AF$18</f>
        <v/>
      </c>
      <c r="AG13" s="48">
        <f>OpEx!AG$18</f>
        <v/>
      </c>
      <c r="AH13" s="48">
        <f>OpEx!AH$18</f>
        <v/>
      </c>
      <c r="AI13" s="48">
        <f>OpEx!AI$18</f>
        <v/>
      </c>
      <c r="AJ13" s="48">
        <f>OpEx!AJ$18</f>
        <v/>
      </c>
      <c r="AK13" s="48">
        <f>OpEx!AK$18</f>
        <v/>
      </c>
      <c r="AL13" s="48">
        <f>OpEx!AL$18</f>
        <v/>
      </c>
      <c r="AM13" s="48">
        <f>OpEx!AM$18</f>
        <v/>
      </c>
      <c r="AN13" s="48">
        <f>OpEx!AN$18</f>
        <v/>
      </c>
      <c r="AO13" s="48">
        <f>OpEx!AO$18</f>
        <v/>
      </c>
      <c r="AP13" s="48">
        <f>OpEx!AP$18</f>
        <v/>
      </c>
      <c r="AQ13" s="48">
        <f>OpEx!AQ$18</f>
        <v/>
      </c>
      <c r="AR13" s="48">
        <f>OpEx!AR$18</f>
        <v/>
      </c>
      <c r="AS13" s="48">
        <f>OpEx!AS$18</f>
        <v/>
      </c>
      <c r="AT13" s="48">
        <f>OpEx!AT$18</f>
        <v/>
      </c>
      <c r="AU13" s="48">
        <f>OpEx!AU$18</f>
        <v/>
      </c>
      <c r="AV13" s="48">
        <f>OpEx!AV$18</f>
        <v/>
      </c>
      <c r="AW13" s="48">
        <f>OpEx!AW$18</f>
        <v/>
      </c>
      <c r="AX13" s="48">
        <f>OpEx!AX$18</f>
        <v/>
      </c>
      <c r="AY13" s="48">
        <f>OpEx!AY$18</f>
        <v/>
      </c>
      <c r="AZ13" s="48">
        <f>OpEx!AZ$18</f>
        <v/>
      </c>
      <c r="BA13" s="48">
        <f>OpEx!BA$18</f>
        <v/>
      </c>
      <c r="BB13" s="48">
        <f>OpEx!BB$18</f>
        <v/>
      </c>
      <c r="BC13" s="48">
        <f>OpEx!BC$18</f>
        <v/>
      </c>
      <c r="BD13" s="48">
        <f>OpEx!BD$18</f>
        <v/>
      </c>
      <c r="BE13" s="48">
        <f>OpEx!BE$18</f>
        <v/>
      </c>
      <c r="BF13" s="48">
        <f>OpEx!BF$18</f>
        <v/>
      </c>
      <c r="BG13" s="48">
        <f>OpEx!BG$18</f>
        <v/>
      </c>
      <c r="BH13" s="48">
        <f>OpEx!BH$18</f>
        <v/>
      </c>
      <c r="BI13" s="48">
        <f>OpEx!BI$18</f>
        <v/>
      </c>
      <c r="BJ13" s="48">
        <f>OpEx!BJ$18</f>
        <v/>
      </c>
      <c r="BK13" s="48">
        <f>OpEx!BK$18</f>
        <v/>
      </c>
      <c r="BL13" s="48">
        <f>OpEx!BL$18</f>
        <v/>
      </c>
      <c r="BM13" s="48">
        <f>OpEx!BM$18</f>
        <v/>
      </c>
      <c r="BN13" s="48">
        <f>OpEx!BN$18</f>
        <v/>
      </c>
      <c r="BO13" s="48">
        <f>OpEx!BO$18</f>
        <v/>
      </c>
      <c r="BP13" s="48">
        <f>OpEx!BP$18</f>
        <v/>
      </c>
      <c r="BQ13" s="48">
        <f>OpEx!BQ$18</f>
        <v/>
      </c>
      <c r="BR13" s="48">
        <f>OpEx!BR$18</f>
        <v/>
      </c>
      <c r="BS13" s="48">
        <f>OpEx!BS$18</f>
        <v/>
      </c>
      <c r="BT13" s="48">
        <f>OpEx!BT$18</f>
        <v/>
      </c>
      <c r="BU13" s="48">
        <f>OpEx!BU$18</f>
        <v/>
      </c>
      <c r="BV13" s="48">
        <f>OpEx!BV$18</f>
        <v/>
      </c>
      <c r="BW13" s="48">
        <f>OpEx!BW$18</f>
        <v/>
      </c>
      <c r="BX13" s="48">
        <f>OpEx!BX$18</f>
        <v/>
      </c>
      <c r="BY13" s="48">
        <f>OpEx!BY$18</f>
        <v/>
      </c>
      <c r="BZ13" s="48">
        <f>OpEx!BZ$18</f>
        <v/>
      </c>
      <c r="CA13" s="48">
        <f>OpEx!CA$18</f>
        <v/>
      </c>
      <c r="CB13" s="48">
        <f>OpEx!CB$18</f>
        <v/>
      </c>
      <c r="CC13" s="48">
        <f>OpEx!CC$18</f>
        <v/>
      </c>
      <c r="CD13" s="48">
        <f>OpEx!CD$18</f>
        <v/>
      </c>
      <c r="CE13" s="48">
        <f>OpEx!CE$18</f>
        <v/>
      </c>
      <c r="CF13" s="48">
        <f>OpEx!CF$18</f>
        <v/>
      </c>
      <c r="CG13" s="48">
        <f>OpEx!CG$18</f>
        <v/>
      </c>
      <c r="CH13" s="48">
        <f>OpEx!CH$18</f>
        <v/>
      </c>
      <c r="CI13" s="48">
        <f>OpEx!CI$18</f>
        <v/>
      </c>
      <c r="CJ13" s="48">
        <f>OpEx!CJ$18</f>
        <v/>
      </c>
      <c r="CK13" s="48">
        <f>OpEx!CK$18</f>
        <v/>
      </c>
      <c r="CL13" s="48">
        <f>OpEx!CL$18</f>
        <v/>
      </c>
      <c r="CM13" s="48">
        <f>OpEx!CM$18</f>
        <v/>
      </c>
      <c r="CN13" s="48">
        <f>OpEx!CN$18</f>
        <v/>
      </c>
      <c r="CO13" s="48">
        <f>OpEx!CO$18</f>
        <v/>
      </c>
      <c r="CP13" s="48">
        <f>OpEx!CP$18</f>
        <v/>
      </c>
      <c r="CQ13" s="48">
        <f>OpEx!CQ$18</f>
        <v/>
      </c>
      <c r="CR13" s="48">
        <f>OpEx!CR$18</f>
        <v/>
      </c>
      <c r="CS13" s="48">
        <f>OpEx!CS$18</f>
        <v/>
      </c>
      <c r="CT13" s="48">
        <f>OpEx!CT$18</f>
        <v/>
      </c>
      <c r="CU13" s="48">
        <f>OpEx!CU$18</f>
        <v/>
      </c>
      <c r="CV13" s="48">
        <f>OpEx!CV$18</f>
        <v/>
      </c>
      <c r="CW13" s="48">
        <f>OpEx!CW$18</f>
        <v/>
      </c>
      <c r="CX13" s="48">
        <f>OpEx!CX$18</f>
        <v/>
      </c>
      <c r="CY13" s="48">
        <f>OpEx!CY$18</f>
        <v/>
      </c>
      <c r="CZ13" s="48">
        <f>OpEx!CZ$18</f>
        <v/>
      </c>
      <c r="DA13" s="48">
        <f>OpEx!DA$18</f>
        <v/>
      </c>
      <c r="DB13" s="48">
        <f>OpEx!DB$18</f>
        <v/>
      </c>
      <c r="DC13" s="48">
        <f>OpEx!DC$18</f>
        <v/>
      </c>
      <c r="DD13" s="48">
        <f>OpEx!DD$18</f>
        <v/>
      </c>
      <c r="DE13" s="48">
        <f>OpEx!DE$18</f>
        <v/>
      </c>
      <c r="DF13" s="48">
        <f>OpEx!DF$18</f>
        <v/>
      </c>
      <c r="DG13" s="48">
        <f>OpEx!DG$18</f>
        <v/>
      </c>
      <c r="DH13" s="48">
        <f>OpEx!DH$18</f>
        <v/>
      </c>
      <c r="DI13" s="48">
        <f>OpEx!DI$18</f>
        <v/>
      </c>
      <c r="DJ13" s="48">
        <f>OpEx!DJ$18</f>
        <v/>
      </c>
      <c r="DK13" s="48">
        <f>OpEx!DK$18</f>
        <v/>
      </c>
      <c r="DL13" s="48">
        <f>OpEx!DL$18</f>
        <v/>
      </c>
      <c r="DM13" s="48">
        <f>OpEx!DM$18</f>
        <v/>
      </c>
      <c r="DN13" s="48">
        <f>OpEx!DN$18</f>
        <v/>
      </c>
      <c r="DO13" s="48">
        <f>OpEx!DO$18</f>
        <v/>
      </c>
      <c r="DP13" s="48">
        <f>OpEx!DP$18</f>
        <v/>
      </c>
      <c r="DQ13" s="48">
        <f>OpEx!DQ$18</f>
        <v/>
      </c>
      <c r="DR13" s="48">
        <f>OpEx!DR$18</f>
        <v/>
      </c>
      <c r="DS13" s="48">
        <f>OpEx!DS$18</f>
        <v/>
      </c>
      <c r="DT13" s="48">
        <f>OpEx!DT$18</f>
        <v/>
      </c>
    </row>
    <row r="14">
      <c r="A14" s="10" t="inlineStr">
        <is>
          <t>CapEx / TI/LC</t>
        </is>
      </c>
      <c r="E14" s="48">
        <f>CapEx!E$19</f>
        <v/>
      </c>
      <c r="F14" s="48">
        <f>CapEx!F$19</f>
        <v/>
      </c>
      <c r="G14" s="48">
        <f>CapEx!G$19</f>
        <v/>
      </c>
      <c r="H14" s="48">
        <f>CapEx!H$19</f>
        <v/>
      </c>
      <c r="I14" s="48">
        <f>CapEx!I$19</f>
        <v/>
      </c>
      <c r="J14" s="48">
        <f>CapEx!J$19</f>
        <v/>
      </c>
      <c r="K14" s="48">
        <f>CapEx!K$19</f>
        <v/>
      </c>
      <c r="L14" s="48">
        <f>CapEx!L$19</f>
        <v/>
      </c>
      <c r="M14" s="48">
        <f>CapEx!M$19</f>
        <v/>
      </c>
      <c r="N14" s="48">
        <f>CapEx!N$19</f>
        <v/>
      </c>
      <c r="O14" s="48">
        <f>CapEx!O$19</f>
        <v/>
      </c>
      <c r="P14" s="48">
        <f>CapEx!P$19</f>
        <v/>
      </c>
      <c r="Q14" s="48">
        <f>CapEx!Q$19</f>
        <v/>
      </c>
      <c r="R14" s="48">
        <f>CapEx!R$19</f>
        <v/>
      </c>
      <c r="S14" s="48">
        <f>CapEx!S$19</f>
        <v/>
      </c>
      <c r="T14" s="48">
        <f>CapEx!T$19</f>
        <v/>
      </c>
      <c r="U14" s="48">
        <f>CapEx!U$19</f>
        <v/>
      </c>
      <c r="V14" s="48">
        <f>CapEx!V$19</f>
        <v/>
      </c>
      <c r="W14" s="48">
        <f>CapEx!W$19</f>
        <v/>
      </c>
      <c r="X14" s="48">
        <f>CapEx!X$19</f>
        <v/>
      </c>
      <c r="Y14" s="48">
        <f>CapEx!Y$19</f>
        <v/>
      </c>
      <c r="Z14" s="48">
        <f>CapEx!Z$19</f>
        <v/>
      </c>
      <c r="AA14" s="48">
        <f>CapEx!AA$19</f>
        <v/>
      </c>
      <c r="AB14" s="48">
        <f>CapEx!AB$19</f>
        <v/>
      </c>
      <c r="AC14" s="48">
        <f>CapEx!AC$19</f>
        <v/>
      </c>
      <c r="AD14" s="48">
        <f>CapEx!AD$19</f>
        <v/>
      </c>
      <c r="AE14" s="48">
        <f>CapEx!AE$19</f>
        <v/>
      </c>
      <c r="AF14" s="48">
        <f>CapEx!AF$19</f>
        <v/>
      </c>
      <c r="AG14" s="48">
        <f>CapEx!AG$19</f>
        <v/>
      </c>
      <c r="AH14" s="48">
        <f>CapEx!AH$19</f>
        <v/>
      </c>
      <c r="AI14" s="48">
        <f>CapEx!AI$19</f>
        <v/>
      </c>
      <c r="AJ14" s="48">
        <f>CapEx!AJ$19</f>
        <v/>
      </c>
      <c r="AK14" s="48">
        <f>CapEx!AK$19</f>
        <v/>
      </c>
      <c r="AL14" s="48">
        <f>CapEx!AL$19</f>
        <v/>
      </c>
      <c r="AM14" s="48">
        <f>CapEx!AM$19</f>
        <v/>
      </c>
      <c r="AN14" s="48">
        <f>CapEx!AN$19</f>
        <v/>
      </c>
      <c r="AO14" s="48">
        <f>CapEx!AO$19</f>
        <v/>
      </c>
      <c r="AP14" s="48">
        <f>CapEx!AP$19</f>
        <v/>
      </c>
      <c r="AQ14" s="48">
        <f>CapEx!AQ$19</f>
        <v/>
      </c>
      <c r="AR14" s="48">
        <f>CapEx!AR$19</f>
        <v/>
      </c>
      <c r="AS14" s="48">
        <f>CapEx!AS$19</f>
        <v/>
      </c>
      <c r="AT14" s="48">
        <f>CapEx!AT$19</f>
        <v/>
      </c>
      <c r="AU14" s="48">
        <f>CapEx!AU$19</f>
        <v/>
      </c>
      <c r="AV14" s="48">
        <f>CapEx!AV$19</f>
        <v/>
      </c>
      <c r="AW14" s="48">
        <f>CapEx!AW$19</f>
        <v/>
      </c>
      <c r="AX14" s="48">
        <f>CapEx!AX$19</f>
        <v/>
      </c>
      <c r="AY14" s="48">
        <f>CapEx!AY$19</f>
        <v/>
      </c>
      <c r="AZ14" s="48">
        <f>CapEx!AZ$19</f>
        <v/>
      </c>
      <c r="BA14" s="48">
        <f>CapEx!BA$19</f>
        <v/>
      </c>
      <c r="BB14" s="48">
        <f>CapEx!BB$19</f>
        <v/>
      </c>
      <c r="BC14" s="48">
        <f>CapEx!BC$19</f>
        <v/>
      </c>
      <c r="BD14" s="48">
        <f>CapEx!BD$19</f>
        <v/>
      </c>
      <c r="BE14" s="48">
        <f>CapEx!BE$19</f>
        <v/>
      </c>
      <c r="BF14" s="48">
        <f>CapEx!BF$19</f>
        <v/>
      </c>
      <c r="BG14" s="48">
        <f>CapEx!BG$19</f>
        <v/>
      </c>
      <c r="BH14" s="48">
        <f>CapEx!BH$19</f>
        <v/>
      </c>
      <c r="BI14" s="48">
        <f>CapEx!BI$19</f>
        <v/>
      </c>
      <c r="BJ14" s="48">
        <f>CapEx!BJ$19</f>
        <v/>
      </c>
      <c r="BK14" s="48">
        <f>CapEx!BK$19</f>
        <v/>
      </c>
      <c r="BL14" s="48">
        <f>CapEx!BL$19</f>
        <v/>
      </c>
      <c r="BM14" s="48">
        <f>CapEx!BM$19</f>
        <v/>
      </c>
      <c r="BN14" s="48">
        <f>CapEx!BN$19</f>
        <v/>
      </c>
      <c r="BO14" s="48">
        <f>CapEx!BO$19</f>
        <v/>
      </c>
      <c r="BP14" s="48">
        <f>CapEx!BP$19</f>
        <v/>
      </c>
      <c r="BQ14" s="48">
        <f>CapEx!BQ$19</f>
        <v/>
      </c>
      <c r="BR14" s="48">
        <f>CapEx!BR$19</f>
        <v/>
      </c>
      <c r="BS14" s="48">
        <f>CapEx!BS$19</f>
        <v/>
      </c>
      <c r="BT14" s="48">
        <f>CapEx!BT$19</f>
        <v/>
      </c>
      <c r="BU14" s="48">
        <f>CapEx!BU$19</f>
        <v/>
      </c>
      <c r="BV14" s="48">
        <f>CapEx!BV$19</f>
        <v/>
      </c>
      <c r="BW14" s="48">
        <f>CapEx!BW$19</f>
        <v/>
      </c>
      <c r="BX14" s="48">
        <f>CapEx!BX$19</f>
        <v/>
      </c>
      <c r="BY14" s="48">
        <f>CapEx!BY$19</f>
        <v/>
      </c>
      <c r="BZ14" s="48">
        <f>CapEx!BZ$19</f>
        <v/>
      </c>
      <c r="CA14" s="48">
        <f>CapEx!CA$19</f>
        <v/>
      </c>
      <c r="CB14" s="48">
        <f>CapEx!CB$19</f>
        <v/>
      </c>
      <c r="CC14" s="48">
        <f>CapEx!CC$19</f>
        <v/>
      </c>
      <c r="CD14" s="48">
        <f>CapEx!CD$19</f>
        <v/>
      </c>
      <c r="CE14" s="48">
        <f>CapEx!CE$19</f>
        <v/>
      </c>
      <c r="CF14" s="48">
        <f>CapEx!CF$19</f>
        <v/>
      </c>
      <c r="CG14" s="48">
        <f>CapEx!CG$19</f>
        <v/>
      </c>
      <c r="CH14" s="48">
        <f>CapEx!CH$19</f>
        <v/>
      </c>
      <c r="CI14" s="48">
        <f>CapEx!CI$19</f>
        <v/>
      </c>
      <c r="CJ14" s="48">
        <f>CapEx!CJ$19</f>
        <v/>
      </c>
      <c r="CK14" s="48">
        <f>CapEx!CK$19</f>
        <v/>
      </c>
      <c r="CL14" s="48">
        <f>CapEx!CL$19</f>
        <v/>
      </c>
      <c r="CM14" s="48">
        <f>CapEx!CM$19</f>
        <v/>
      </c>
      <c r="CN14" s="48">
        <f>CapEx!CN$19</f>
        <v/>
      </c>
      <c r="CO14" s="48">
        <f>CapEx!CO$19</f>
        <v/>
      </c>
      <c r="CP14" s="48">
        <f>CapEx!CP$19</f>
        <v/>
      </c>
      <c r="CQ14" s="48">
        <f>CapEx!CQ$19</f>
        <v/>
      </c>
      <c r="CR14" s="48">
        <f>CapEx!CR$19</f>
        <v/>
      </c>
      <c r="CS14" s="48">
        <f>CapEx!CS$19</f>
        <v/>
      </c>
      <c r="CT14" s="48">
        <f>CapEx!CT$19</f>
        <v/>
      </c>
      <c r="CU14" s="48">
        <f>CapEx!CU$19</f>
        <v/>
      </c>
      <c r="CV14" s="48">
        <f>CapEx!CV$19</f>
        <v/>
      </c>
      <c r="CW14" s="48">
        <f>CapEx!CW$19</f>
        <v/>
      </c>
      <c r="CX14" s="48">
        <f>CapEx!CX$19</f>
        <v/>
      </c>
      <c r="CY14" s="48">
        <f>CapEx!CY$19</f>
        <v/>
      </c>
      <c r="CZ14" s="48">
        <f>CapEx!CZ$19</f>
        <v/>
      </c>
      <c r="DA14" s="48">
        <f>CapEx!DA$19</f>
        <v/>
      </c>
      <c r="DB14" s="48">
        <f>CapEx!DB$19</f>
        <v/>
      </c>
      <c r="DC14" s="48">
        <f>CapEx!DC$19</f>
        <v/>
      </c>
      <c r="DD14" s="48">
        <f>CapEx!DD$19</f>
        <v/>
      </c>
      <c r="DE14" s="48">
        <f>CapEx!DE$19</f>
        <v/>
      </c>
      <c r="DF14" s="48">
        <f>CapEx!DF$19</f>
        <v/>
      </c>
      <c r="DG14" s="48">
        <f>CapEx!DG$19</f>
        <v/>
      </c>
      <c r="DH14" s="48">
        <f>CapEx!DH$19</f>
        <v/>
      </c>
      <c r="DI14" s="48">
        <f>CapEx!DI$19</f>
        <v/>
      </c>
      <c r="DJ14" s="48">
        <f>CapEx!DJ$19</f>
        <v/>
      </c>
      <c r="DK14" s="48">
        <f>CapEx!DK$19</f>
        <v/>
      </c>
      <c r="DL14" s="48">
        <f>CapEx!DL$19</f>
        <v/>
      </c>
      <c r="DM14" s="48">
        <f>CapEx!DM$19</f>
        <v/>
      </c>
      <c r="DN14" s="48">
        <f>CapEx!DN$19</f>
        <v/>
      </c>
      <c r="DO14" s="48">
        <f>CapEx!DO$19</f>
        <v/>
      </c>
      <c r="DP14" s="48">
        <f>CapEx!DP$19</f>
        <v/>
      </c>
      <c r="DQ14" s="48">
        <f>CapEx!DQ$19</f>
        <v/>
      </c>
      <c r="DR14" s="48">
        <f>CapEx!DR$19</f>
        <v/>
      </c>
      <c r="DS14" s="48">
        <f>CapEx!DS$19</f>
        <v/>
      </c>
      <c r="DT14" s="48">
        <f>CapEx!DT$19</f>
        <v/>
      </c>
    </row>
    <row r="15">
      <c r="A15" s="3" t="inlineStr">
        <is>
          <t>Unlevered cash flow (ops)</t>
        </is>
      </c>
      <c r="E15" s="60">
        <f>E$12+E$13+E$14</f>
        <v/>
      </c>
      <c r="F15" s="60">
        <f>F$12+F$13+F$14</f>
        <v/>
      </c>
      <c r="G15" s="60">
        <f>G$12+G$13+G$14</f>
        <v/>
      </c>
      <c r="H15" s="60">
        <f>H$12+H$13+H$14</f>
        <v/>
      </c>
      <c r="I15" s="60">
        <f>I$12+I$13+I$14</f>
        <v/>
      </c>
      <c r="J15" s="60">
        <f>J$12+J$13+J$14</f>
        <v/>
      </c>
      <c r="K15" s="60">
        <f>K$12+K$13+K$14</f>
        <v/>
      </c>
      <c r="L15" s="60">
        <f>L$12+L$13+L$14</f>
        <v/>
      </c>
      <c r="M15" s="60">
        <f>M$12+M$13+M$14</f>
        <v/>
      </c>
      <c r="N15" s="60">
        <f>N$12+N$13+N$14</f>
        <v/>
      </c>
      <c r="O15" s="60">
        <f>O$12+O$13+O$14</f>
        <v/>
      </c>
      <c r="P15" s="60">
        <f>P$12+P$13+P$14</f>
        <v/>
      </c>
      <c r="Q15" s="60">
        <f>Q$12+Q$13+Q$14</f>
        <v/>
      </c>
      <c r="R15" s="60">
        <f>R$12+R$13+R$14</f>
        <v/>
      </c>
      <c r="S15" s="60">
        <f>S$12+S$13+S$14</f>
        <v/>
      </c>
      <c r="T15" s="60">
        <f>T$12+T$13+T$14</f>
        <v/>
      </c>
      <c r="U15" s="60">
        <f>U$12+U$13+U$14</f>
        <v/>
      </c>
      <c r="V15" s="60">
        <f>V$12+V$13+V$14</f>
        <v/>
      </c>
      <c r="W15" s="60">
        <f>W$12+W$13+W$14</f>
        <v/>
      </c>
      <c r="X15" s="60">
        <f>X$12+X$13+X$14</f>
        <v/>
      </c>
      <c r="Y15" s="60">
        <f>Y$12+Y$13+Y$14</f>
        <v/>
      </c>
      <c r="Z15" s="60">
        <f>Z$12+Z$13+Z$14</f>
        <v/>
      </c>
      <c r="AA15" s="60">
        <f>AA$12+AA$13+AA$14</f>
        <v/>
      </c>
      <c r="AB15" s="60">
        <f>AB$12+AB$13+AB$14</f>
        <v/>
      </c>
      <c r="AC15" s="60">
        <f>AC$12+AC$13+AC$14</f>
        <v/>
      </c>
      <c r="AD15" s="60">
        <f>AD$12+AD$13+AD$14</f>
        <v/>
      </c>
      <c r="AE15" s="60">
        <f>AE$12+AE$13+AE$14</f>
        <v/>
      </c>
      <c r="AF15" s="60">
        <f>AF$12+AF$13+AF$14</f>
        <v/>
      </c>
      <c r="AG15" s="60">
        <f>AG$12+AG$13+AG$14</f>
        <v/>
      </c>
      <c r="AH15" s="60">
        <f>AH$12+AH$13+AH$14</f>
        <v/>
      </c>
      <c r="AI15" s="60">
        <f>AI$12+AI$13+AI$14</f>
        <v/>
      </c>
      <c r="AJ15" s="60">
        <f>AJ$12+AJ$13+AJ$14</f>
        <v/>
      </c>
      <c r="AK15" s="60">
        <f>AK$12+AK$13+AK$14</f>
        <v/>
      </c>
      <c r="AL15" s="60">
        <f>AL$12+AL$13+AL$14</f>
        <v/>
      </c>
      <c r="AM15" s="60">
        <f>AM$12+AM$13+AM$14</f>
        <v/>
      </c>
      <c r="AN15" s="60">
        <f>AN$12+AN$13+AN$14</f>
        <v/>
      </c>
      <c r="AO15" s="60">
        <f>AO$12+AO$13+AO$14</f>
        <v/>
      </c>
      <c r="AP15" s="60">
        <f>AP$12+AP$13+AP$14</f>
        <v/>
      </c>
      <c r="AQ15" s="60">
        <f>AQ$12+AQ$13+AQ$14</f>
        <v/>
      </c>
      <c r="AR15" s="60">
        <f>AR$12+AR$13+AR$14</f>
        <v/>
      </c>
      <c r="AS15" s="60">
        <f>AS$12+AS$13+AS$14</f>
        <v/>
      </c>
      <c r="AT15" s="60">
        <f>AT$12+AT$13+AT$14</f>
        <v/>
      </c>
      <c r="AU15" s="60">
        <f>AU$12+AU$13+AU$14</f>
        <v/>
      </c>
      <c r="AV15" s="60">
        <f>AV$12+AV$13+AV$14</f>
        <v/>
      </c>
      <c r="AW15" s="60">
        <f>AW$12+AW$13+AW$14</f>
        <v/>
      </c>
      <c r="AX15" s="60">
        <f>AX$12+AX$13+AX$14</f>
        <v/>
      </c>
      <c r="AY15" s="60">
        <f>AY$12+AY$13+AY$14</f>
        <v/>
      </c>
      <c r="AZ15" s="60">
        <f>AZ$12+AZ$13+AZ$14</f>
        <v/>
      </c>
      <c r="BA15" s="60">
        <f>BA$12+BA$13+BA$14</f>
        <v/>
      </c>
      <c r="BB15" s="60">
        <f>BB$12+BB$13+BB$14</f>
        <v/>
      </c>
      <c r="BC15" s="60">
        <f>BC$12+BC$13+BC$14</f>
        <v/>
      </c>
      <c r="BD15" s="60">
        <f>BD$12+BD$13+BD$14</f>
        <v/>
      </c>
      <c r="BE15" s="60">
        <f>BE$12+BE$13+BE$14</f>
        <v/>
      </c>
      <c r="BF15" s="60">
        <f>BF$12+BF$13+BF$14</f>
        <v/>
      </c>
      <c r="BG15" s="60">
        <f>BG$12+BG$13+BG$14</f>
        <v/>
      </c>
      <c r="BH15" s="60">
        <f>BH$12+BH$13+BH$14</f>
        <v/>
      </c>
      <c r="BI15" s="60">
        <f>BI$12+BI$13+BI$14</f>
        <v/>
      </c>
      <c r="BJ15" s="60">
        <f>BJ$12+BJ$13+BJ$14</f>
        <v/>
      </c>
      <c r="BK15" s="60">
        <f>BK$12+BK$13+BK$14</f>
        <v/>
      </c>
      <c r="BL15" s="60">
        <f>BL$12+BL$13+BL$14</f>
        <v/>
      </c>
      <c r="BM15" s="60">
        <f>BM$12+BM$13+BM$14</f>
        <v/>
      </c>
      <c r="BN15" s="60">
        <f>BN$12+BN$13+BN$14</f>
        <v/>
      </c>
      <c r="BO15" s="60">
        <f>BO$12+BO$13+BO$14</f>
        <v/>
      </c>
      <c r="BP15" s="60">
        <f>BP$12+BP$13+BP$14</f>
        <v/>
      </c>
      <c r="BQ15" s="60">
        <f>BQ$12+BQ$13+BQ$14</f>
        <v/>
      </c>
      <c r="BR15" s="60">
        <f>BR$12+BR$13+BR$14</f>
        <v/>
      </c>
      <c r="BS15" s="60">
        <f>BS$12+BS$13+BS$14</f>
        <v/>
      </c>
      <c r="BT15" s="60">
        <f>BT$12+BT$13+BT$14</f>
        <v/>
      </c>
      <c r="BU15" s="60">
        <f>BU$12+BU$13+BU$14</f>
        <v/>
      </c>
      <c r="BV15" s="60">
        <f>BV$12+BV$13+BV$14</f>
        <v/>
      </c>
      <c r="BW15" s="60">
        <f>BW$12+BW$13+BW$14</f>
        <v/>
      </c>
      <c r="BX15" s="60">
        <f>BX$12+BX$13+BX$14</f>
        <v/>
      </c>
      <c r="BY15" s="60">
        <f>BY$12+BY$13+BY$14</f>
        <v/>
      </c>
      <c r="BZ15" s="60">
        <f>BZ$12+BZ$13+BZ$14</f>
        <v/>
      </c>
      <c r="CA15" s="60">
        <f>CA$12+CA$13+CA$14</f>
        <v/>
      </c>
      <c r="CB15" s="60">
        <f>CB$12+CB$13+CB$14</f>
        <v/>
      </c>
      <c r="CC15" s="60">
        <f>CC$12+CC$13+CC$14</f>
        <v/>
      </c>
      <c r="CD15" s="60">
        <f>CD$12+CD$13+CD$14</f>
        <v/>
      </c>
      <c r="CE15" s="60">
        <f>CE$12+CE$13+CE$14</f>
        <v/>
      </c>
      <c r="CF15" s="60">
        <f>CF$12+CF$13+CF$14</f>
        <v/>
      </c>
      <c r="CG15" s="60">
        <f>CG$12+CG$13+CG$14</f>
        <v/>
      </c>
      <c r="CH15" s="60">
        <f>CH$12+CH$13+CH$14</f>
        <v/>
      </c>
      <c r="CI15" s="60">
        <f>CI$12+CI$13+CI$14</f>
        <v/>
      </c>
      <c r="CJ15" s="60">
        <f>CJ$12+CJ$13+CJ$14</f>
        <v/>
      </c>
      <c r="CK15" s="60">
        <f>CK$12+CK$13+CK$14</f>
        <v/>
      </c>
      <c r="CL15" s="60">
        <f>CL$12+CL$13+CL$14</f>
        <v/>
      </c>
      <c r="CM15" s="60">
        <f>CM$12+CM$13+CM$14</f>
        <v/>
      </c>
      <c r="CN15" s="60">
        <f>CN$12+CN$13+CN$14</f>
        <v/>
      </c>
      <c r="CO15" s="60">
        <f>CO$12+CO$13+CO$14</f>
        <v/>
      </c>
      <c r="CP15" s="60">
        <f>CP$12+CP$13+CP$14</f>
        <v/>
      </c>
      <c r="CQ15" s="60">
        <f>CQ$12+CQ$13+CQ$14</f>
        <v/>
      </c>
      <c r="CR15" s="60">
        <f>CR$12+CR$13+CR$14</f>
        <v/>
      </c>
      <c r="CS15" s="60">
        <f>CS$12+CS$13+CS$14</f>
        <v/>
      </c>
      <c r="CT15" s="60">
        <f>CT$12+CT$13+CT$14</f>
        <v/>
      </c>
      <c r="CU15" s="60">
        <f>CU$12+CU$13+CU$14</f>
        <v/>
      </c>
      <c r="CV15" s="60">
        <f>CV$12+CV$13+CV$14</f>
        <v/>
      </c>
      <c r="CW15" s="60">
        <f>CW$12+CW$13+CW$14</f>
        <v/>
      </c>
      <c r="CX15" s="60">
        <f>CX$12+CX$13+CX$14</f>
        <v/>
      </c>
      <c r="CY15" s="60">
        <f>CY$12+CY$13+CY$14</f>
        <v/>
      </c>
      <c r="CZ15" s="60">
        <f>CZ$12+CZ$13+CZ$14</f>
        <v/>
      </c>
      <c r="DA15" s="60">
        <f>DA$12+DA$13+DA$14</f>
        <v/>
      </c>
      <c r="DB15" s="60">
        <f>DB$12+DB$13+DB$14</f>
        <v/>
      </c>
      <c r="DC15" s="60">
        <f>DC$12+DC$13+DC$14</f>
        <v/>
      </c>
      <c r="DD15" s="60">
        <f>DD$12+DD$13+DD$14</f>
        <v/>
      </c>
      <c r="DE15" s="60">
        <f>DE$12+DE$13+DE$14</f>
        <v/>
      </c>
      <c r="DF15" s="60">
        <f>DF$12+DF$13+DF$14</f>
        <v/>
      </c>
      <c r="DG15" s="60">
        <f>DG$12+DG$13+DG$14</f>
        <v/>
      </c>
      <c r="DH15" s="60">
        <f>DH$12+DH$13+DH$14</f>
        <v/>
      </c>
      <c r="DI15" s="60">
        <f>DI$12+DI$13+DI$14</f>
        <v/>
      </c>
      <c r="DJ15" s="60">
        <f>DJ$12+DJ$13+DJ$14</f>
        <v/>
      </c>
      <c r="DK15" s="60">
        <f>DK$12+DK$13+DK$14</f>
        <v/>
      </c>
      <c r="DL15" s="60">
        <f>DL$12+DL$13+DL$14</f>
        <v/>
      </c>
      <c r="DM15" s="60">
        <f>DM$12+DM$13+DM$14</f>
        <v/>
      </c>
      <c r="DN15" s="60">
        <f>DN$12+DN$13+DN$14</f>
        <v/>
      </c>
      <c r="DO15" s="60">
        <f>DO$12+DO$13+DO$14</f>
        <v/>
      </c>
      <c r="DP15" s="60">
        <f>DP$12+DP$13+DP$14</f>
        <v/>
      </c>
      <c r="DQ15" s="60">
        <f>DQ$12+DQ$13+DQ$14</f>
        <v/>
      </c>
      <c r="DR15" s="60">
        <f>DR$12+DR$13+DR$14</f>
        <v/>
      </c>
      <c r="DS15" s="60">
        <f>DS$12+DS$13+DS$14</f>
        <v/>
      </c>
      <c r="DT15" s="60">
        <f>DT$12+DT$13+DT$14</f>
        <v/>
      </c>
    </row>
    <row r="16">
      <c r="A16" s="10" t="inlineStr">
        <is>
          <t>Debt service</t>
        </is>
      </c>
      <c r="E16" s="48">
        <f>-Debt!E$47</f>
        <v/>
      </c>
      <c r="F16" s="48">
        <f>-Debt!F$47</f>
        <v/>
      </c>
      <c r="G16" s="48">
        <f>-Debt!G$47</f>
        <v/>
      </c>
      <c r="H16" s="48">
        <f>-Debt!H$47</f>
        <v/>
      </c>
      <c r="I16" s="48">
        <f>-Debt!I$47</f>
        <v/>
      </c>
      <c r="J16" s="48">
        <f>-Debt!J$47</f>
        <v/>
      </c>
      <c r="K16" s="48">
        <f>-Debt!K$47</f>
        <v/>
      </c>
      <c r="L16" s="48">
        <f>-Debt!L$47</f>
        <v/>
      </c>
      <c r="M16" s="48">
        <f>-Debt!M$47</f>
        <v/>
      </c>
      <c r="N16" s="48">
        <f>-Debt!N$47</f>
        <v/>
      </c>
      <c r="O16" s="48">
        <f>-Debt!O$47</f>
        <v/>
      </c>
      <c r="P16" s="48">
        <f>-Debt!P$47</f>
        <v/>
      </c>
      <c r="Q16" s="48">
        <f>-Debt!Q$47</f>
        <v/>
      </c>
      <c r="R16" s="48">
        <f>-Debt!R$47</f>
        <v/>
      </c>
      <c r="S16" s="48">
        <f>-Debt!S$47</f>
        <v/>
      </c>
      <c r="T16" s="48">
        <f>-Debt!T$47</f>
        <v/>
      </c>
      <c r="U16" s="48">
        <f>-Debt!U$47</f>
        <v/>
      </c>
      <c r="V16" s="48">
        <f>-Debt!V$47</f>
        <v/>
      </c>
      <c r="W16" s="48">
        <f>-Debt!W$47</f>
        <v/>
      </c>
      <c r="X16" s="48">
        <f>-Debt!X$47</f>
        <v/>
      </c>
      <c r="Y16" s="48">
        <f>-Debt!Y$47</f>
        <v/>
      </c>
      <c r="Z16" s="48">
        <f>-Debt!Z$47</f>
        <v/>
      </c>
      <c r="AA16" s="48">
        <f>-Debt!AA$47</f>
        <v/>
      </c>
      <c r="AB16" s="48">
        <f>-Debt!AB$47</f>
        <v/>
      </c>
      <c r="AC16" s="48">
        <f>-Debt!AC$47</f>
        <v/>
      </c>
      <c r="AD16" s="48">
        <f>-Debt!AD$47</f>
        <v/>
      </c>
      <c r="AE16" s="48">
        <f>-Debt!AE$47</f>
        <v/>
      </c>
      <c r="AF16" s="48">
        <f>-Debt!AF$47</f>
        <v/>
      </c>
      <c r="AG16" s="48">
        <f>-Debt!AG$47</f>
        <v/>
      </c>
      <c r="AH16" s="48">
        <f>-Debt!AH$47</f>
        <v/>
      </c>
      <c r="AI16" s="48">
        <f>-Debt!AI$47</f>
        <v/>
      </c>
      <c r="AJ16" s="48">
        <f>-Debt!AJ$47</f>
        <v/>
      </c>
      <c r="AK16" s="48">
        <f>-Debt!AK$47</f>
        <v/>
      </c>
      <c r="AL16" s="48">
        <f>-Debt!AL$47</f>
        <v/>
      </c>
      <c r="AM16" s="48">
        <f>-Debt!AM$47</f>
        <v/>
      </c>
      <c r="AN16" s="48">
        <f>-Debt!AN$47</f>
        <v/>
      </c>
      <c r="AO16" s="48">
        <f>-Debt!AO$47</f>
        <v/>
      </c>
      <c r="AP16" s="48">
        <f>-Debt!AP$47</f>
        <v/>
      </c>
      <c r="AQ16" s="48">
        <f>-Debt!AQ$47</f>
        <v/>
      </c>
      <c r="AR16" s="48">
        <f>-Debt!AR$47</f>
        <v/>
      </c>
      <c r="AS16" s="48">
        <f>-Debt!AS$47</f>
        <v/>
      </c>
      <c r="AT16" s="48">
        <f>-Debt!AT$47</f>
        <v/>
      </c>
      <c r="AU16" s="48">
        <f>-Debt!AU$47</f>
        <v/>
      </c>
      <c r="AV16" s="48">
        <f>-Debt!AV$47</f>
        <v/>
      </c>
      <c r="AW16" s="48">
        <f>-Debt!AW$47</f>
        <v/>
      </c>
      <c r="AX16" s="48">
        <f>-Debt!AX$47</f>
        <v/>
      </c>
      <c r="AY16" s="48">
        <f>-Debt!AY$47</f>
        <v/>
      </c>
      <c r="AZ16" s="48">
        <f>-Debt!AZ$47</f>
        <v/>
      </c>
      <c r="BA16" s="48">
        <f>-Debt!BA$47</f>
        <v/>
      </c>
      <c r="BB16" s="48">
        <f>-Debt!BB$47</f>
        <v/>
      </c>
      <c r="BC16" s="48">
        <f>-Debt!BC$47</f>
        <v/>
      </c>
      <c r="BD16" s="48">
        <f>-Debt!BD$47</f>
        <v/>
      </c>
      <c r="BE16" s="48">
        <f>-Debt!BE$47</f>
        <v/>
      </c>
      <c r="BF16" s="48">
        <f>-Debt!BF$47</f>
        <v/>
      </c>
      <c r="BG16" s="48">
        <f>-Debt!BG$47</f>
        <v/>
      </c>
      <c r="BH16" s="48">
        <f>-Debt!BH$47</f>
        <v/>
      </c>
      <c r="BI16" s="48">
        <f>-Debt!BI$47</f>
        <v/>
      </c>
      <c r="BJ16" s="48">
        <f>-Debt!BJ$47</f>
        <v/>
      </c>
      <c r="BK16" s="48">
        <f>-Debt!BK$47</f>
        <v/>
      </c>
      <c r="BL16" s="48">
        <f>-Debt!BL$47</f>
        <v/>
      </c>
      <c r="BM16" s="48">
        <f>-Debt!BM$47</f>
        <v/>
      </c>
      <c r="BN16" s="48">
        <f>-Debt!BN$47</f>
        <v/>
      </c>
      <c r="BO16" s="48">
        <f>-Debt!BO$47</f>
        <v/>
      </c>
      <c r="BP16" s="48">
        <f>-Debt!BP$47</f>
        <v/>
      </c>
      <c r="BQ16" s="48">
        <f>-Debt!BQ$47</f>
        <v/>
      </c>
      <c r="BR16" s="48">
        <f>-Debt!BR$47</f>
        <v/>
      </c>
      <c r="BS16" s="48">
        <f>-Debt!BS$47</f>
        <v/>
      </c>
      <c r="BT16" s="48">
        <f>-Debt!BT$47</f>
        <v/>
      </c>
      <c r="BU16" s="48">
        <f>-Debt!BU$47</f>
        <v/>
      </c>
      <c r="BV16" s="48">
        <f>-Debt!BV$47</f>
        <v/>
      </c>
      <c r="BW16" s="48">
        <f>-Debt!BW$47</f>
        <v/>
      </c>
      <c r="BX16" s="48">
        <f>-Debt!BX$47</f>
        <v/>
      </c>
      <c r="BY16" s="48">
        <f>-Debt!BY$47</f>
        <v/>
      </c>
      <c r="BZ16" s="48">
        <f>-Debt!BZ$47</f>
        <v/>
      </c>
      <c r="CA16" s="48">
        <f>-Debt!CA$47</f>
        <v/>
      </c>
      <c r="CB16" s="48">
        <f>-Debt!CB$47</f>
        <v/>
      </c>
      <c r="CC16" s="48">
        <f>-Debt!CC$47</f>
        <v/>
      </c>
      <c r="CD16" s="48">
        <f>-Debt!CD$47</f>
        <v/>
      </c>
      <c r="CE16" s="48">
        <f>-Debt!CE$47</f>
        <v/>
      </c>
      <c r="CF16" s="48">
        <f>-Debt!CF$47</f>
        <v/>
      </c>
      <c r="CG16" s="48">
        <f>-Debt!CG$47</f>
        <v/>
      </c>
      <c r="CH16" s="48">
        <f>-Debt!CH$47</f>
        <v/>
      </c>
      <c r="CI16" s="48">
        <f>-Debt!CI$47</f>
        <v/>
      </c>
      <c r="CJ16" s="48">
        <f>-Debt!CJ$47</f>
        <v/>
      </c>
      <c r="CK16" s="48">
        <f>-Debt!CK$47</f>
        <v/>
      </c>
      <c r="CL16" s="48">
        <f>-Debt!CL$47</f>
        <v/>
      </c>
      <c r="CM16" s="48">
        <f>-Debt!CM$47</f>
        <v/>
      </c>
      <c r="CN16" s="48">
        <f>-Debt!CN$47</f>
        <v/>
      </c>
      <c r="CO16" s="48">
        <f>-Debt!CO$47</f>
        <v/>
      </c>
      <c r="CP16" s="48">
        <f>-Debt!CP$47</f>
        <v/>
      </c>
      <c r="CQ16" s="48">
        <f>-Debt!CQ$47</f>
        <v/>
      </c>
      <c r="CR16" s="48">
        <f>-Debt!CR$47</f>
        <v/>
      </c>
      <c r="CS16" s="48">
        <f>-Debt!CS$47</f>
        <v/>
      </c>
      <c r="CT16" s="48">
        <f>-Debt!CT$47</f>
        <v/>
      </c>
      <c r="CU16" s="48">
        <f>-Debt!CU$47</f>
        <v/>
      </c>
      <c r="CV16" s="48">
        <f>-Debt!CV$47</f>
        <v/>
      </c>
      <c r="CW16" s="48">
        <f>-Debt!CW$47</f>
        <v/>
      </c>
      <c r="CX16" s="48">
        <f>-Debt!CX$47</f>
        <v/>
      </c>
      <c r="CY16" s="48">
        <f>-Debt!CY$47</f>
        <v/>
      </c>
      <c r="CZ16" s="48">
        <f>-Debt!CZ$47</f>
        <v/>
      </c>
      <c r="DA16" s="48">
        <f>-Debt!DA$47</f>
        <v/>
      </c>
      <c r="DB16" s="48">
        <f>-Debt!DB$47</f>
        <v/>
      </c>
      <c r="DC16" s="48">
        <f>-Debt!DC$47</f>
        <v/>
      </c>
      <c r="DD16" s="48">
        <f>-Debt!DD$47</f>
        <v/>
      </c>
      <c r="DE16" s="48">
        <f>-Debt!DE$47</f>
        <v/>
      </c>
      <c r="DF16" s="48">
        <f>-Debt!DF$47</f>
        <v/>
      </c>
      <c r="DG16" s="48">
        <f>-Debt!DG$47</f>
        <v/>
      </c>
      <c r="DH16" s="48">
        <f>-Debt!DH$47</f>
        <v/>
      </c>
      <c r="DI16" s="48">
        <f>-Debt!DI$47</f>
        <v/>
      </c>
      <c r="DJ16" s="48">
        <f>-Debt!DJ$47</f>
        <v/>
      </c>
      <c r="DK16" s="48">
        <f>-Debt!DK$47</f>
        <v/>
      </c>
      <c r="DL16" s="48">
        <f>-Debt!DL$47</f>
        <v/>
      </c>
      <c r="DM16" s="48">
        <f>-Debt!DM$47</f>
        <v/>
      </c>
      <c r="DN16" s="48">
        <f>-Debt!DN$47</f>
        <v/>
      </c>
      <c r="DO16" s="48">
        <f>-Debt!DO$47</f>
        <v/>
      </c>
      <c r="DP16" s="48">
        <f>-Debt!DP$47</f>
        <v/>
      </c>
      <c r="DQ16" s="48">
        <f>-Debt!DQ$47</f>
        <v/>
      </c>
      <c r="DR16" s="48">
        <f>-Debt!DR$47</f>
        <v/>
      </c>
      <c r="DS16" s="48">
        <f>-Debt!DS$47</f>
        <v/>
      </c>
      <c r="DT16" s="48">
        <f>-Debt!DT$47</f>
        <v/>
      </c>
    </row>
    <row r="17">
      <c r="A17" s="10" t="inlineStr">
        <is>
          <t>Loan draws / refi events</t>
        </is>
      </c>
      <c r="E17" s="48">
        <f>Debt!E$48+Debt!E$49</f>
        <v/>
      </c>
      <c r="F17" s="48">
        <f>Debt!F$48+Debt!F$49</f>
        <v/>
      </c>
      <c r="G17" s="48">
        <f>Debt!G$48+Debt!G$49</f>
        <v/>
      </c>
      <c r="H17" s="48">
        <f>Debt!H$48+Debt!H$49</f>
        <v/>
      </c>
      <c r="I17" s="48">
        <f>Debt!I$48+Debt!I$49</f>
        <v/>
      </c>
      <c r="J17" s="48">
        <f>Debt!J$48+Debt!J$49</f>
        <v/>
      </c>
      <c r="K17" s="48">
        <f>Debt!K$48+Debt!K$49</f>
        <v/>
      </c>
      <c r="L17" s="48">
        <f>Debt!L$48+Debt!L$49</f>
        <v/>
      </c>
      <c r="M17" s="48">
        <f>Debt!M$48+Debt!M$49</f>
        <v/>
      </c>
      <c r="N17" s="48">
        <f>Debt!N$48+Debt!N$49</f>
        <v/>
      </c>
      <c r="O17" s="48">
        <f>Debt!O$48+Debt!O$49</f>
        <v/>
      </c>
      <c r="P17" s="48">
        <f>Debt!P$48+Debt!P$49</f>
        <v/>
      </c>
      <c r="Q17" s="48">
        <f>Debt!Q$48+Debt!Q$49</f>
        <v/>
      </c>
      <c r="R17" s="48">
        <f>Debt!R$48+Debt!R$49</f>
        <v/>
      </c>
      <c r="S17" s="48">
        <f>Debt!S$48+Debt!S$49</f>
        <v/>
      </c>
      <c r="T17" s="48">
        <f>Debt!T$48+Debt!T$49</f>
        <v/>
      </c>
      <c r="U17" s="48">
        <f>Debt!U$48+Debt!U$49</f>
        <v/>
      </c>
      <c r="V17" s="48">
        <f>Debt!V$48+Debt!V$49</f>
        <v/>
      </c>
      <c r="W17" s="48">
        <f>Debt!W$48+Debt!W$49</f>
        <v/>
      </c>
      <c r="X17" s="48">
        <f>Debt!X$48+Debt!X$49</f>
        <v/>
      </c>
      <c r="Y17" s="48">
        <f>Debt!Y$48+Debt!Y$49</f>
        <v/>
      </c>
      <c r="Z17" s="48">
        <f>Debt!Z$48+Debt!Z$49</f>
        <v/>
      </c>
      <c r="AA17" s="48">
        <f>Debt!AA$48+Debt!AA$49</f>
        <v/>
      </c>
      <c r="AB17" s="48">
        <f>Debt!AB$48+Debt!AB$49</f>
        <v/>
      </c>
      <c r="AC17" s="48">
        <f>Debt!AC$48+Debt!AC$49</f>
        <v/>
      </c>
      <c r="AD17" s="48">
        <f>Debt!AD$48+Debt!AD$49</f>
        <v/>
      </c>
      <c r="AE17" s="48">
        <f>Debt!AE$48+Debt!AE$49</f>
        <v/>
      </c>
      <c r="AF17" s="48">
        <f>Debt!AF$48+Debt!AF$49</f>
        <v/>
      </c>
      <c r="AG17" s="48">
        <f>Debt!AG$48+Debt!AG$49</f>
        <v/>
      </c>
      <c r="AH17" s="48">
        <f>Debt!AH$48+Debt!AH$49</f>
        <v/>
      </c>
      <c r="AI17" s="48">
        <f>Debt!AI$48+Debt!AI$49</f>
        <v/>
      </c>
      <c r="AJ17" s="48">
        <f>Debt!AJ$48+Debt!AJ$49</f>
        <v/>
      </c>
      <c r="AK17" s="48">
        <f>Debt!AK$48+Debt!AK$49</f>
        <v/>
      </c>
      <c r="AL17" s="48">
        <f>Debt!AL$48+Debt!AL$49</f>
        <v/>
      </c>
      <c r="AM17" s="48">
        <f>Debt!AM$48+Debt!AM$49</f>
        <v/>
      </c>
      <c r="AN17" s="48">
        <f>Debt!AN$48+Debt!AN$49</f>
        <v/>
      </c>
      <c r="AO17" s="48">
        <f>Debt!AO$48+Debt!AO$49</f>
        <v/>
      </c>
      <c r="AP17" s="48">
        <f>Debt!AP$48+Debt!AP$49</f>
        <v/>
      </c>
      <c r="AQ17" s="48">
        <f>Debt!AQ$48+Debt!AQ$49</f>
        <v/>
      </c>
      <c r="AR17" s="48">
        <f>Debt!AR$48+Debt!AR$49</f>
        <v/>
      </c>
      <c r="AS17" s="48">
        <f>Debt!AS$48+Debt!AS$49</f>
        <v/>
      </c>
      <c r="AT17" s="48">
        <f>Debt!AT$48+Debt!AT$49</f>
        <v/>
      </c>
      <c r="AU17" s="48">
        <f>Debt!AU$48+Debt!AU$49</f>
        <v/>
      </c>
      <c r="AV17" s="48">
        <f>Debt!AV$48+Debt!AV$49</f>
        <v/>
      </c>
      <c r="AW17" s="48">
        <f>Debt!AW$48+Debt!AW$49</f>
        <v/>
      </c>
      <c r="AX17" s="48">
        <f>Debt!AX$48+Debt!AX$49</f>
        <v/>
      </c>
      <c r="AY17" s="48">
        <f>Debt!AY$48+Debt!AY$49</f>
        <v/>
      </c>
      <c r="AZ17" s="48">
        <f>Debt!AZ$48+Debt!AZ$49</f>
        <v/>
      </c>
      <c r="BA17" s="48">
        <f>Debt!BA$48+Debt!BA$49</f>
        <v/>
      </c>
      <c r="BB17" s="48">
        <f>Debt!BB$48+Debt!BB$49</f>
        <v/>
      </c>
      <c r="BC17" s="48">
        <f>Debt!BC$48+Debt!BC$49</f>
        <v/>
      </c>
      <c r="BD17" s="48">
        <f>Debt!BD$48+Debt!BD$49</f>
        <v/>
      </c>
      <c r="BE17" s="48">
        <f>Debt!BE$48+Debt!BE$49</f>
        <v/>
      </c>
      <c r="BF17" s="48">
        <f>Debt!BF$48+Debt!BF$49</f>
        <v/>
      </c>
      <c r="BG17" s="48">
        <f>Debt!BG$48+Debt!BG$49</f>
        <v/>
      </c>
      <c r="BH17" s="48">
        <f>Debt!BH$48+Debt!BH$49</f>
        <v/>
      </c>
      <c r="BI17" s="48">
        <f>Debt!BI$48+Debt!BI$49</f>
        <v/>
      </c>
      <c r="BJ17" s="48">
        <f>Debt!BJ$48+Debt!BJ$49</f>
        <v/>
      </c>
      <c r="BK17" s="48">
        <f>Debt!BK$48+Debt!BK$49</f>
        <v/>
      </c>
      <c r="BL17" s="48">
        <f>Debt!BL$48+Debt!BL$49</f>
        <v/>
      </c>
      <c r="BM17" s="48">
        <f>Debt!BM$48+Debt!BM$49</f>
        <v/>
      </c>
      <c r="BN17" s="48">
        <f>Debt!BN$48+Debt!BN$49</f>
        <v/>
      </c>
      <c r="BO17" s="48">
        <f>Debt!BO$48+Debt!BO$49</f>
        <v/>
      </c>
      <c r="BP17" s="48">
        <f>Debt!BP$48+Debt!BP$49</f>
        <v/>
      </c>
      <c r="BQ17" s="48">
        <f>Debt!BQ$48+Debt!BQ$49</f>
        <v/>
      </c>
      <c r="BR17" s="48">
        <f>Debt!BR$48+Debt!BR$49</f>
        <v/>
      </c>
      <c r="BS17" s="48">
        <f>Debt!BS$48+Debt!BS$49</f>
        <v/>
      </c>
      <c r="BT17" s="48">
        <f>Debt!BT$48+Debt!BT$49</f>
        <v/>
      </c>
      <c r="BU17" s="48">
        <f>Debt!BU$48+Debt!BU$49</f>
        <v/>
      </c>
      <c r="BV17" s="48">
        <f>Debt!BV$48+Debt!BV$49</f>
        <v/>
      </c>
      <c r="BW17" s="48">
        <f>Debt!BW$48+Debt!BW$49</f>
        <v/>
      </c>
      <c r="BX17" s="48">
        <f>Debt!BX$48+Debt!BX$49</f>
        <v/>
      </c>
      <c r="BY17" s="48">
        <f>Debt!BY$48+Debt!BY$49</f>
        <v/>
      </c>
      <c r="BZ17" s="48">
        <f>Debt!BZ$48+Debt!BZ$49</f>
        <v/>
      </c>
      <c r="CA17" s="48">
        <f>Debt!CA$48+Debt!CA$49</f>
        <v/>
      </c>
      <c r="CB17" s="48">
        <f>Debt!CB$48+Debt!CB$49</f>
        <v/>
      </c>
      <c r="CC17" s="48">
        <f>Debt!CC$48+Debt!CC$49</f>
        <v/>
      </c>
      <c r="CD17" s="48">
        <f>Debt!CD$48+Debt!CD$49</f>
        <v/>
      </c>
      <c r="CE17" s="48">
        <f>Debt!CE$48+Debt!CE$49</f>
        <v/>
      </c>
      <c r="CF17" s="48">
        <f>Debt!CF$48+Debt!CF$49</f>
        <v/>
      </c>
      <c r="CG17" s="48">
        <f>Debt!CG$48+Debt!CG$49</f>
        <v/>
      </c>
      <c r="CH17" s="48">
        <f>Debt!CH$48+Debt!CH$49</f>
        <v/>
      </c>
      <c r="CI17" s="48">
        <f>Debt!CI$48+Debt!CI$49</f>
        <v/>
      </c>
      <c r="CJ17" s="48">
        <f>Debt!CJ$48+Debt!CJ$49</f>
        <v/>
      </c>
      <c r="CK17" s="48">
        <f>Debt!CK$48+Debt!CK$49</f>
        <v/>
      </c>
      <c r="CL17" s="48">
        <f>Debt!CL$48+Debt!CL$49</f>
        <v/>
      </c>
      <c r="CM17" s="48">
        <f>Debt!CM$48+Debt!CM$49</f>
        <v/>
      </c>
      <c r="CN17" s="48">
        <f>Debt!CN$48+Debt!CN$49</f>
        <v/>
      </c>
      <c r="CO17" s="48">
        <f>Debt!CO$48+Debt!CO$49</f>
        <v/>
      </c>
      <c r="CP17" s="48">
        <f>Debt!CP$48+Debt!CP$49</f>
        <v/>
      </c>
      <c r="CQ17" s="48">
        <f>Debt!CQ$48+Debt!CQ$49</f>
        <v/>
      </c>
      <c r="CR17" s="48">
        <f>Debt!CR$48+Debt!CR$49</f>
        <v/>
      </c>
      <c r="CS17" s="48">
        <f>Debt!CS$48+Debt!CS$49</f>
        <v/>
      </c>
      <c r="CT17" s="48">
        <f>Debt!CT$48+Debt!CT$49</f>
        <v/>
      </c>
      <c r="CU17" s="48">
        <f>Debt!CU$48+Debt!CU$49</f>
        <v/>
      </c>
      <c r="CV17" s="48">
        <f>Debt!CV$48+Debt!CV$49</f>
        <v/>
      </c>
      <c r="CW17" s="48">
        <f>Debt!CW$48+Debt!CW$49</f>
        <v/>
      </c>
      <c r="CX17" s="48">
        <f>Debt!CX$48+Debt!CX$49</f>
        <v/>
      </c>
      <c r="CY17" s="48">
        <f>Debt!CY$48+Debt!CY$49</f>
        <v/>
      </c>
      <c r="CZ17" s="48">
        <f>Debt!CZ$48+Debt!CZ$49</f>
        <v/>
      </c>
      <c r="DA17" s="48">
        <f>Debt!DA$48+Debt!DA$49</f>
        <v/>
      </c>
      <c r="DB17" s="48">
        <f>Debt!DB$48+Debt!DB$49</f>
        <v/>
      </c>
      <c r="DC17" s="48">
        <f>Debt!DC$48+Debt!DC$49</f>
        <v/>
      </c>
      <c r="DD17" s="48">
        <f>Debt!DD$48+Debt!DD$49</f>
        <v/>
      </c>
      <c r="DE17" s="48">
        <f>Debt!DE$48+Debt!DE$49</f>
        <v/>
      </c>
      <c r="DF17" s="48">
        <f>Debt!DF$48+Debt!DF$49</f>
        <v/>
      </c>
      <c r="DG17" s="48">
        <f>Debt!DG$48+Debt!DG$49</f>
        <v/>
      </c>
      <c r="DH17" s="48">
        <f>Debt!DH$48+Debt!DH$49</f>
        <v/>
      </c>
      <c r="DI17" s="48">
        <f>Debt!DI$48+Debt!DI$49</f>
        <v/>
      </c>
      <c r="DJ17" s="48">
        <f>Debt!DJ$48+Debt!DJ$49</f>
        <v/>
      </c>
      <c r="DK17" s="48">
        <f>Debt!DK$48+Debt!DK$49</f>
        <v/>
      </c>
      <c r="DL17" s="48">
        <f>Debt!DL$48+Debt!DL$49</f>
        <v/>
      </c>
      <c r="DM17" s="48">
        <f>Debt!DM$48+Debt!DM$49</f>
        <v/>
      </c>
      <c r="DN17" s="48">
        <f>Debt!DN$48+Debt!DN$49</f>
        <v/>
      </c>
      <c r="DO17" s="48">
        <f>Debt!DO$48+Debt!DO$49</f>
        <v/>
      </c>
      <c r="DP17" s="48">
        <f>Debt!DP$48+Debt!DP$49</f>
        <v/>
      </c>
      <c r="DQ17" s="48">
        <f>Debt!DQ$48+Debt!DQ$49</f>
        <v/>
      </c>
      <c r="DR17" s="48">
        <f>Debt!DR$48+Debt!DR$49</f>
        <v/>
      </c>
      <c r="DS17" s="48">
        <f>Debt!DS$48+Debt!DS$49</f>
        <v/>
      </c>
      <c r="DT17" s="48">
        <f>Debt!DT$48+Debt!DT$49</f>
        <v/>
      </c>
    </row>
    <row r="18">
      <c r="A18" s="10" t="inlineStr">
        <is>
          <t>Acquisition outflow (equity &amp; price, mo 0)</t>
        </is>
      </c>
      <c r="E18" s="50">
        <f>-(PurchasePrice+PurchasePrice*ClosingCostPct+FinancingCosts)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0">
        <f>0</f>
        <v/>
      </c>
      <c r="O18" s="50">
        <f>0</f>
        <v/>
      </c>
      <c r="P18" s="50">
        <f>0</f>
        <v/>
      </c>
      <c r="Q18" s="50">
        <f>0</f>
        <v/>
      </c>
      <c r="R18" s="50">
        <f>0</f>
        <v/>
      </c>
      <c r="S18" s="50">
        <f>0</f>
        <v/>
      </c>
      <c r="T18" s="50">
        <f>0</f>
        <v/>
      </c>
      <c r="U18" s="50">
        <f>0</f>
        <v/>
      </c>
      <c r="V18" s="50">
        <f>0</f>
        <v/>
      </c>
      <c r="W18" s="50">
        <f>0</f>
        <v/>
      </c>
      <c r="X18" s="50">
        <f>0</f>
        <v/>
      </c>
      <c r="Y18" s="50">
        <f>0</f>
        <v/>
      </c>
      <c r="Z18" s="50">
        <f>0</f>
        <v/>
      </c>
      <c r="AA18" s="50">
        <f>0</f>
        <v/>
      </c>
      <c r="AB18" s="50">
        <f>0</f>
        <v/>
      </c>
      <c r="AC18" s="50">
        <f>0</f>
        <v/>
      </c>
      <c r="AD18" s="50">
        <f>0</f>
        <v/>
      </c>
      <c r="AE18" s="50">
        <f>0</f>
        <v/>
      </c>
      <c r="AF18" s="50">
        <f>0</f>
        <v/>
      </c>
      <c r="AG18" s="50">
        <f>0</f>
        <v/>
      </c>
      <c r="AH18" s="50">
        <f>0</f>
        <v/>
      </c>
      <c r="AI18" s="50">
        <f>0</f>
        <v/>
      </c>
      <c r="AJ18" s="50">
        <f>0</f>
        <v/>
      </c>
      <c r="AK18" s="50">
        <f>0</f>
        <v/>
      </c>
      <c r="AL18" s="50">
        <f>0</f>
        <v/>
      </c>
      <c r="AM18" s="50">
        <f>0</f>
        <v/>
      </c>
      <c r="AN18" s="50">
        <f>0</f>
        <v/>
      </c>
      <c r="AO18" s="50">
        <f>0</f>
        <v/>
      </c>
      <c r="AP18" s="50">
        <f>0</f>
        <v/>
      </c>
      <c r="AQ18" s="50">
        <f>0</f>
        <v/>
      </c>
      <c r="AR18" s="50">
        <f>0</f>
        <v/>
      </c>
      <c r="AS18" s="50">
        <f>0</f>
        <v/>
      </c>
      <c r="AT18" s="50">
        <f>0</f>
        <v/>
      </c>
      <c r="AU18" s="50">
        <f>0</f>
        <v/>
      </c>
      <c r="AV18" s="50">
        <f>0</f>
        <v/>
      </c>
      <c r="AW18" s="50">
        <f>0</f>
        <v/>
      </c>
      <c r="AX18" s="50">
        <f>0</f>
        <v/>
      </c>
      <c r="AY18" s="50">
        <f>0</f>
        <v/>
      </c>
      <c r="AZ18" s="50">
        <f>0</f>
        <v/>
      </c>
      <c r="BA18" s="50">
        <f>0</f>
        <v/>
      </c>
      <c r="BB18" s="50">
        <f>0</f>
        <v/>
      </c>
      <c r="BC18" s="50">
        <f>0</f>
        <v/>
      </c>
      <c r="BD18" s="50">
        <f>0</f>
        <v/>
      </c>
      <c r="BE18" s="50">
        <f>0</f>
        <v/>
      </c>
      <c r="BF18" s="50">
        <f>0</f>
        <v/>
      </c>
      <c r="BG18" s="50">
        <f>0</f>
        <v/>
      </c>
      <c r="BH18" s="50">
        <f>0</f>
        <v/>
      </c>
      <c r="BI18" s="50">
        <f>0</f>
        <v/>
      </c>
      <c r="BJ18" s="50">
        <f>0</f>
        <v/>
      </c>
      <c r="BK18" s="50">
        <f>0</f>
        <v/>
      </c>
      <c r="BL18" s="50">
        <f>0</f>
        <v/>
      </c>
      <c r="BM18" s="50">
        <f>0</f>
        <v/>
      </c>
      <c r="BN18" s="50">
        <f>0</f>
        <v/>
      </c>
      <c r="BO18" s="50">
        <f>0</f>
        <v/>
      </c>
      <c r="BP18" s="50">
        <f>0</f>
        <v/>
      </c>
      <c r="BQ18" s="50">
        <f>0</f>
        <v/>
      </c>
      <c r="BR18" s="50">
        <f>0</f>
        <v/>
      </c>
      <c r="BS18" s="50">
        <f>0</f>
        <v/>
      </c>
      <c r="BT18" s="50">
        <f>0</f>
        <v/>
      </c>
      <c r="BU18" s="50">
        <f>0</f>
        <v/>
      </c>
      <c r="BV18" s="50">
        <f>0</f>
        <v/>
      </c>
      <c r="BW18" s="50">
        <f>0</f>
        <v/>
      </c>
      <c r="BX18" s="50">
        <f>0</f>
        <v/>
      </c>
      <c r="BY18" s="50">
        <f>0</f>
        <v/>
      </c>
      <c r="BZ18" s="50">
        <f>0</f>
        <v/>
      </c>
      <c r="CA18" s="50">
        <f>0</f>
        <v/>
      </c>
      <c r="CB18" s="50">
        <f>0</f>
        <v/>
      </c>
      <c r="CC18" s="50">
        <f>0</f>
        <v/>
      </c>
      <c r="CD18" s="50">
        <f>0</f>
        <v/>
      </c>
      <c r="CE18" s="50">
        <f>0</f>
        <v/>
      </c>
      <c r="CF18" s="50">
        <f>0</f>
        <v/>
      </c>
      <c r="CG18" s="50">
        <f>0</f>
        <v/>
      </c>
      <c r="CH18" s="50">
        <f>0</f>
        <v/>
      </c>
      <c r="CI18" s="50">
        <f>0</f>
        <v/>
      </c>
      <c r="CJ18" s="50">
        <f>0</f>
        <v/>
      </c>
      <c r="CK18" s="50">
        <f>0</f>
        <v/>
      </c>
      <c r="CL18" s="50">
        <f>0</f>
        <v/>
      </c>
      <c r="CM18" s="50">
        <f>0</f>
        <v/>
      </c>
      <c r="CN18" s="50">
        <f>0</f>
        <v/>
      </c>
      <c r="CO18" s="50">
        <f>0</f>
        <v/>
      </c>
      <c r="CP18" s="50">
        <f>0</f>
        <v/>
      </c>
      <c r="CQ18" s="50">
        <f>0</f>
        <v/>
      </c>
      <c r="CR18" s="50">
        <f>0</f>
        <v/>
      </c>
      <c r="CS18" s="50">
        <f>0</f>
        <v/>
      </c>
      <c r="CT18" s="50">
        <f>0</f>
        <v/>
      </c>
      <c r="CU18" s="50">
        <f>0</f>
        <v/>
      </c>
      <c r="CV18" s="50">
        <f>0</f>
        <v/>
      </c>
      <c r="CW18" s="50">
        <f>0</f>
        <v/>
      </c>
      <c r="CX18" s="50">
        <f>0</f>
        <v/>
      </c>
      <c r="CY18" s="50">
        <f>0</f>
        <v/>
      </c>
      <c r="CZ18" s="50">
        <f>0</f>
        <v/>
      </c>
      <c r="DA18" s="50">
        <f>0</f>
        <v/>
      </c>
      <c r="DB18" s="50">
        <f>0</f>
        <v/>
      </c>
      <c r="DC18" s="50">
        <f>0</f>
        <v/>
      </c>
      <c r="DD18" s="50">
        <f>0</f>
        <v/>
      </c>
      <c r="DE18" s="50">
        <f>0</f>
        <v/>
      </c>
      <c r="DF18" s="50">
        <f>0</f>
        <v/>
      </c>
      <c r="DG18" s="50">
        <f>0</f>
        <v/>
      </c>
      <c r="DH18" s="50">
        <f>0</f>
        <v/>
      </c>
      <c r="DI18" s="50">
        <f>0</f>
        <v/>
      </c>
      <c r="DJ18" s="50">
        <f>0</f>
        <v/>
      </c>
      <c r="DK18" s="50">
        <f>0</f>
        <v/>
      </c>
      <c r="DL18" s="50">
        <f>0</f>
        <v/>
      </c>
      <c r="DM18" s="50">
        <f>0</f>
        <v/>
      </c>
      <c r="DN18" s="50">
        <f>0</f>
        <v/>
      </c>
      <c r="DO18" s="50">
        <f>0</f>
        <v/>
      </c>
      <c r="DP18" s="50">
        <f>0</f>
        <v/>
      </c>
      <c r="DQ18" s="50">
        <f>0</f>
        <v/>
      </c>
      <c r="DR18" s="50">
        <f>0</f>
        <v/>
      </c>
      <c r="DS18" s="50">
        <f>0</f>
        <v/>
      </c>
      <c r="DT18" s="50">
        <f>0</f>
        <v/>
      </c>
    </row>
    <row r="19">
      <c r="A19" s="10" t="inlineStr">
        <is>
          <t>Exit gross value ($)</t>
        </is>
      </c>
      <c r="E19" s="50">
        <f>IF(Assumptions!E$76=1,ExitGrossValue,0)</f>
        <v/>
      </c>
      <c r="F19" s="50">
        <f>IF(Assumptions!F$76=1,ExitGrossValue,0)</f>
        <v/>
      </c>
      <c r="G19" s="50">
        <f>IF(Assumptions!G$76=1,ExitGrossValue,0)</f>
        <v/>
      </c>
      <c r="H19" s="50">
        <f>IF(Assumptions!H$76=1,ExitGrossValue,0)</f>
        <v/>
      </c>
      <c r="I19" s="50">
        <f>IF(Assumptions!I$76=1,ExitGrossValue,0)</f>
        <v/>
      </c>
      <c r="J19" s="50">
        <f>IF(Assumptions!J$76=1,ExitGrossValue,0)</f>
        <v/>
      </c>
      <c r="K19" s="50">
        <f>IF(Assumptions!K$76=1,ExitGrossValue,0)</f>
        <v/>
      </c>
      <c r="L19" s="50">
        <f>IF(Assumptions!L$76=1,ExitGrossValue,0)</f>
        <v/>
      </c>
      <c r="M19" s="50">
        <f>IF(Assumptions!M$76=1,ExitGrossValue,0)</f>
        <v/>
      </c>
      <c r="N19" s="50">
        <f>IF(Assumptions!N$76=1,ExitGrossValue,0)</f>
        <v/>
      </c>
      <c r="O19" s="50">
        <f>IF(Assumptions!O$76=1,ExitGrossValue,0)</f>
        <v/>
      </c>
      <c r="P19" s="50">
        <f>IF(Assumptions!P$76=1,ExitGrossValue,0)</f>
        <v/>
      </c>
      <c r="Q19" s="50">
        <f>IF(Assumptions!Q$76=1,ExitGrossValue,0)</f>
        <v/>
      </c>
      <c r="R19" s="50">
        <f>IF(Assumptions!R$76=1,ExitGrossValue,0)</f>
        <v/>
      </c>
      <c r="S19" s="50">
        <f>IF(Assumptions!S$76=1,ExitGrossValue,0)</f>
        <v/>
      </c>
      <c r="T19" s="50">
        <f>IF(Assumptions!T$76=1,ExitGrossValue,0)</f>
        <v/>
      </c>
      <c r="U19" s="50">
        <f>IF(Assumptions!U$76=1,ExitGrossValue,0)</f>
        <v/>
      </c>
      <c r="V19" s="50">
        <f>IF(Assumptions!V$76=1,ExitGrossValue,0)</f>
        <v/>
      </c>
      <c r="W19" s="50">
        <f>IF(Assumptions!W$76=1,ExitGrossValue,0)</f>
        <v/>
      </c>
      <c r="X19" s="50">
        <f>IF(Assumptions!X$76=1,ExitGrossValue,0)</f>
        <v/>
      </c>
      <c r="Y19" s="50">
        <f>IF(Assumptions!Y$76=1,ExitGrossValue,0)</f>
        <v/>
      </c>
      <c r="Z19" s="50">
        <f>IF(Assumptions!Z$76=1,ExitGrossValue,0)</f>
        <v/>
      </c>
      <c r="AA19" s="50">
        <f>IF(Assumptions!AA$76=1,ExitGrossValue,0)</f>
        <v/>
      </c>
      <c r="AB19" s="50">
        <f>IF(Assumptions!AB$76=1,ExitGrossValue,0)</f>
        <v/>
      </c>
      <c r="AC19" s="50">
        <f>IF(Assumptions!AC$76=1,ExitGrossValue,0)</f>
        <v/>
      </c>
      <c r="AD19" s="50">
        <f>IF(Assumptions!AD$76=1,ExitGrossValue,0)</f>
        <v/>
      </c>
      <c r="AE19" s="50">
        <f>IF(Assumptions!AE$76=1,ExitGrossValue,0)</f>
        <v/>
      </c>
      <c r="AF19" s="50">
        <f>IF(Assumptions!AF$76=1,ExitGrossValue,0)</f>
        <v/>
      </c>
      <c r="AG19" s="50">
        <f>IF(Assumptions!AG$76=1,ExitGrossValue,0)</f>
        <v/>
      </c>
      <c r="AH19" s="50">
        <f>IF(Assumptions!AH$76=1,ExitGrossValue,0)</f>
        <v/>
      </c>
      <c r="AI19" s="50">
        <f>IF(Assumptions!AI$76=1,ExitGrossValue,0)</f>
        <v/>
      </c>
      <c r="AJ19" s="50">
        <f>IF(Assumptions!AJ$76=1,ExitGrossValue,0)</f>
        <v/>
      </c>
      <c r="AK19" s="50">
        <f>IF(Assumptions!AK$76=1,ExitGrossValue,0)</f>
        <v/>
      </c>
      <c r="AL19" s="50">
        <f>IF(Assumptions!AL$76=1,ExitGrossValue,0)</f>
        <v/>
      </c>
      <c r="AM19" s="50">
        <f>IF(Assumptions!AM$76=1,ExitGrossValue,0)</f>
        <v/>
      </c>
      <c r="AN19" s="50">
        <f>IF(Assumptions!AN$76=1,ExitGrossValue,0)</f>
        <v/>
      </c>
      <c r="AO19" s="50">
        <f>IF(Assumptions!AO$76=1,ExitGrossValue,0)</f>
        <v/>
      </c>
      <c r="AP19" s="50">
        <f>IF(Assumptions!AP$76=1,ExitGrossValue,0)</f>
        <v/>
      </c>
      <c r="AQ19" s="50">
        <f>IF(Assumptions!AQ$76=1,ExitGrossValue,0)</f>
        <v/>
      </c>
      <c r="AR19" s="50">
        <f>IF(Assumptions!AR$76=1,ExitGrossValue,0)</f>
        <v/>
      </c>
      <c r="AS19" s="50">
        <f>IF(Assumptions!AS$76=1,ExitGrossValue,0)</f>
        <v/>
      </c>
      <c r="AT19" s="50">
        <f>IF(Assumptions!AT$76=1,ExitGrossValue,0)</f>
        <v/>
      </c>
      <c r="AU19" s="50">
        <f>IF(Assumptions!AU$76=1,ExitGrossValue,0)</f>
        <v/>
      </c>
      <c r="AV19" s="50">
        <f>IF(Assumptions!AV$76=1,ExitGrossValue,0)</f>
        <v/>
      </c>
      <c r="AW19" s="50">
        <f>IF(Assumptions!AW$76=1,ExitGrossValue,0)</f>
        <v/>
      </c>
      <c r="AX19" s="50">
        <f>IF(Assumptions!AX$76=1,ExitGrossValue,0)</f>
        <v/>
      </c>
      <c r="AY19" s="50">
        <f>IF(Assumptions!AY$76=1,ExitGrossValue,0)</f>
        <v/>
      </c>
      <c r="AZ19" s="50">
        <f>IF(Assumptions!AZ$76=1,ExitGrossValue,0)</f>
        <v/>
      </c>
      <c r="BA19" s="50">
        <f>IF(Assumptions!BA$76=1,ExitGrossValue,0)</f>
        <v/>
      </c>
      <c r="BB19" s="50">
        <f>IF(Assumptions!BB$76=1,ExitGrossValue,0)</f>
        <v/>
      </c>
      <c r="BC19" s="50">
        <f>IF(Assumptions!BC$76=1,ExitGrossValue,0)</f>
        <v/>
      </c>
      <c r="BD19" s="50">
        <f>IF(Assumptions!BD$76=1,ExitGrossValue,0)</f>
        <v/>
      </c>
      <c r="BE19" s="50">
        <f>IF(Assumptions!BE$76=1,ExitGrossValue,0)</f>
        <v/>
      </c>
      <c r="BF19" s="50">
        <f>IF(Assumptions!BF$76=1,ExitGrossValue,0)</f>
        <v/>
      </c>
      <c r="BG19" s="50">
        <f>IF(Assumptions!BG$76=1,ExitGrossValue,0)</f>
        <v/>
      </c>
      <c r="BH19" s="50">
        <f>IF(Assumptions!BH$76=1,ExitGrossValue,0)</f>
        <v/>
      </c>
      <c r="BI19" s="50">
        <f>IF(Assumptions!BI$76=1,ExitGrossValue,0)</f>
        <v/>
      </c>
      <c r="BJ19" s="50">
        <f>IF(Assumptions!BJ$76=1,ExitGrossValue,0)</f>
        <v/>
      </c>
      <c r="BK19" s="50">
        <f>IF(Assumptions!BK$76=1,ExitGrossValue,0)</f>
        <v/>
      </c>
      <c r="BL19" s="50">
        <f>IF(Assumptions!BL$76=1,ExitGrossValue,0)</f>
        <v/>
      </c>
      <c r="BM19" s="50">
        <f>IF(Assumptions!BM$76=1,ExitGrossValue,0)</f>
        <v/>
      </c>
      <c r="BN19" s="50">
        <f>IF(Assumptions!BN$76=1,ExitGrossValue,0)</f>
        <v/>
      </c>
      <c r="BO19" s="50">
        <f>IF(Assumptions!BO$76=1,ExitGrossValue,0)</f>
        <v/>
      </c>
      <c r="BP19" s="50">
        <f>IF(Assumptions!BP$76=1,ExitGrossValue,0)</f>
        <v/>
      </c>
      <c r="BQ19" s="50">
        <f>IF(Assumptions!BQ$76=1,ExitGrossValue,0)</f>
        <v/>
      </c>
      <c r="BR19" s="50">
        <f>IF(Assumptions!BR$76=1,ExitGrossValue,0)</f>
        <v/>
      </c>
      <c r="BS19" s="50">
        <f>IF(Assumptions!BS$76=1,ExitGrossValue,0)</f>
        <v/>
      </c>
      <c r="BT19" s="50">
        <f>IF(Assumptions!BT$76=1,ExitGrossValue,0)</f>
        <v/>
      </c>
      <c r="BU19" s="50">
        <f>IF(Assumptions!BU$76=1,ExitGrossValue,0)</f>
        <v/>
      </c>
      <c r="BV19" s="50">
        <f>IF(Assumptions!BV$76=1,ExitGrossValue,0)</f>
        <v/>
      </c>
      <c r="BW19" s="50">
        <f>IF(Assumptions!BW$76=1,ExitGrossValue,0)</f>
        <v/>
      </c>
      <c r="BX19" s="50">
        <f>IF(Assumptions!BX$76=1,ExitGrossValue,0)</f>
        <v/>
      </c>
      <c r="BY19" s="50">
        <f>IF(Assumptions!BY$76=1,ExitGrossValue,0)</f>
        <v/>
      </c>
      <c r="BZ19" s="50">
        <f>IF(Assumptions!BZ$76=1,ExitGrossValue,0)</f>
        <v/>
      </c>
      <c r="CA19" s="50">
        <f>IF(Assumptions!CA$76=1,ExitGrossValue,0)</f>
        <v/>
      </c>
      <c r="CB19" s="50">
        <f>IF(Assumptions!CB$76=1,ExitGrossValue,0)</f>
        <v/>
      </c>
      <c r="CC19" s="50">
        <f>IF(Assumptions!CC$76=1,ExitGrossValue,0)</f>
        <v/>
      </c>
      <c r="CD19" s="50">
        <f>IF(Assumptions!CD$76=1,ExitGrossValue,0)</f>
        <v/>
      </c>
      <c r="CE19" s="50">
        <f>IF(Assumptions!CE$76=1,ExitGrossValue,0)</f>
        <v/>
      </c>
      <c r="CF19" s="50">
        <f>IF(Assumptions!CF$76=1,ExitGrossValue,0)</f>
        <v/>
      </c>
      <c r="CG19" s="50">
        <f>IF(Assumptions!CG$76=1,ExitGrossValue,0)</f>
        <v/>
      </c>
      <c r="CH19" s="50">
        <f>IF(Assumptions!CH$76=1,ExitGrossValue,0)</f>
        <v/>
      </c>
      <c r="CI19" s="50">
        <f>IF(Assumptions!CI$76=1,ExitGrossValue,0)</f>
        <v/>
      </c>
      <c r="CJ19" s="50">
        <f>IF(Assumptions!CJ$76=1,ExitGrossValue,0)</f>
        <v/>
      </c>
      <c r="CK19" s="50">
        <f>IF(Assumptions!CK$76=1,ExitGrossValue,0)</f>
        <v/>
      </c>
      <c r="CL19" s="50">
        <f>IF(Assumptions!CL$76=1,ExitGrossValue,0)</f>
        <v/>
      </c>
      <c r="CM19" s="50">
        <f>IF(Assumptions!CM$76=1,ExitGrossValue,0)</f>
        <v/>
      </c>
      <c r="CN19" s="50">
        <f>IF(Assumptions!CN$76=1,ExitGrossValue,0)</f>
        <v/>
      </c>
      <c r="CO19" s="50">
        <f>IF(Assumptions!CO$76=1,ExitGrossValue,0)</f>
        <v/>
      </c>
      <c r="CP19" s="50">
        <f>IF(Assumptions!CP$76=1,ExitGrossValue,0)</f>
        <v/>
      </c>
      <c r="CQ19" s="50">
        <f>IF(Assumptions!CQ$76=1,ExitGrossValue,0)</f>
        <v/>
      </c>
      <c r="CR19" s="50">
        <f>IF(Assumptions!CR$76=1,ExitGrossValue,0)</f>
        <v/>
      </c>
      <c r="CS19" s="50">
        <f>IF(Assumptions!CS$76=1,ExitGrossValue,0)</f>
        <v/>
      </c>
      <c r="CT19" s="50">
        <f>IF(Assumptions!CT$76=1,ExitGrossValue,0)</f>
        <v/>
      </c>
      <c r="CU19" s="50">
        <f>IF(Assumptions!CU$76=1,ExitGrossValue,0)</f>
        <v/>
      </c>
      <c r="CV19" s="50">
        <f>IF(Assumptions!CV$76=1,ExitGrossValue,0)</f>
        <v/>
      </c>
      <c r="CW19" s="50">
        <f>IF(Assumptions!CW$76=1,ExitGrossValue,0)</f>
        <v/>
      </c>
      <c r="CX19" s="50">
        <f>IF(Assumptions!CX$76=1,ExitGrossValue,0)</f>
        <v/>
      </c>
      <c r="CY19" s="50">
        <f>IF(Assumptions!CY$76=1,ExitGrossValue,0)</f>
        <v/>
      </c>
      <c r="CZ19" s="50">
        <f>IF(Assumptions!CZ$76=1,ExitGrossValue,0)</f>
        <v/>
      </c>
      <c r="DA19" s="50">
        <f>IF(Assumptions!DA$76=1,ExitGrossValue,0)</f>
        <v/>
      </c>
      <c r="DB19" s="50">
        <f>IF(Assumptions!DB$76=1,ExitGrossValue,0)</f>
        <v/>
      </c>
      <c r="DC19" s="50">
        <f>IF(Assumptions!DC$76=1,ExitGrossValue,0)</f>
        <v/>
      </c>
      <c r="DD19" s="50">
        <f>IF(Assumptions!DD$76=1,ExitGrossValue,0)</f>
        <v/>
      </c>
      <c r="DE19" s="50">
        <f>IF(Assumptions!DE$76=1,ExitGrossValue,0)</f>
        <v/>
      </c>
      <c r="DF19" s="50">
        <f>IF(Assumptions!DF$76=1,ExitGrossValue,0)</f>
        <v/>
      </c>
      <c r="DG19" s="50">
        <f>IF(Assumptions!DG$76=1,ExitGrossValue,0)</f>
        <v/>
      </c>
      <c r="DH19" s="50">
        <f>IF(Assumptions!DH$76=1,ExitGrossValue,0)</f>
        <v/>
      </c>
      <c r="DI19" s="50">
        <f>IF(Assumptions!DI$76=1,ExitGrossValue,0)</f>
        <v/>
      </c>
      <c r="DJ19" s="50">
        <f>IF(Assumptions!DJ$76=1,ExitGrossValue,0)</f>
        <v/>
      </c>
      <c r="DK19" s="50">
        <f>IF(Assumptions!DK$76=1,ExitGrossValue,0)</f>
        <v/>
      </c>
      <c r="DL19" s="50">
        <f>IF(Assumptions!DL$76=1,ExitGrossValue,0)</f>
        <v/>
      </c>
      <c r="DM19" s="50">
        <f>IF(Assumptions!DM$76=1,ExitGrossValue,0)</f>
        <v/>
      </c>
      <c r="DN19" s="50">
        <f>IF(Assumptions!DN$76=1,ExitGrossValue,0)</f>
        <v/>
      </c>
      <c r="DO19" s="50">
        <f>IF(Assumptions!DO$76=1,ExitGrossValue,0)</f>
        <v/>
      </c>
      <c r="DP19" s="50">
        <f>IF(Assumptions!DP$76=1,ExitGrossValue,0)</f>
        <v/>
      </c>
      <c r="DQ19" s="50">
        <f>IF(Assumptions!DQ$76=1,ExitGrossValue,0)</f>
        <v/>
      </c>
      <c r="DR19" s="50">
        <f>IF(Assumptions!DR$76=1,ExitGrossValue,0)</f>
        <v/>
      </c>
      <c r="DS19" s="50">
        <f>IF(Assumptions!DS$76=1,ExitGrossValue,0)</f>
        <v/>
      </c>
      <c r="DT19" s="50">
        <f>IF(Assumptions!DT$76=1,ExitGrossValue,0)</f>
        <v/>
      </c>
    </row>
    <row r="20">
      <c r="A20" s="10" t="inlineStr">
        <is>
          <t>Disposition costs ($)</t>
        </is>
      </c>
      <c r="E20" s="50">
        <f>IF(Assumptions!E$76=1,-ExitGrossValue*DispCostPct,0)</f>
        <v/>
      </c>
      <c r="F20" s="50">
        <f>IF(Assumptions!F$76=1,-ExitGrossValue*DispCostPct,0)</f>
        <v/>
      </c>
      <c r="G20" s="50">
        <f>IF(Assumptions!G$76=1,-ExitGrossValue*DispCostPct,0)</f>
        <v/>
      </c>
      <c r="H20" s="50">
        <f>IF(Assumptions!H$76=1,-ExitGrossValue*DispCostPct,0)</f>
        <v/>
      </c>
      <c r="I20" s="50">
        <f>IF(Assumptions!I$76=1,-ExitGrossValue*DispCostPct,0)</f>
        <v/>
      </c>
      <c r="J20" s="50">
        <f>IF(Assumptions!J$76=1,-ExitGrossValue*DispCostPct,0)</f>
        <v/>
      </c>
      <c r="K20" s="50">
        <f>IF(Assumptions!K$76=1,-ExitGrossValue*DispCostPct,0)</f>
        <v/>
      </c>
      <c r="L20" s="50">
        <f>IF(Assumptions!L$76=1,-ExitGrossValue*DispCostPct,0)</f>
        <v/>
      </c>
      <c r="M20" s="50">
        <f>IF(Assumptions!M$76=1,-ExitGrossValue*DispCostPct,0)</f>
        <v/>
      </c>
      <c r="N20" s="50">
        <f>IF(Assumptions!N$76=1,-ExitGrossValue*DispCostPct,0)</f>
        <v/>
      </c>
      <c r="O20" s="50">
        <f>IF(Assumptions!O$76=1,-ExitGrossValue*DispCostPct,0)</f>
        <v/>
      </c>
      <c r="P20" s="50">
        <f>IF(Assumptions!P$76=1,-ExitGrossValue*DispCostPct,0)</f>
        <v/>
      </c>
      <c r="Q20" s="50">
        <f>IF(Assumptions!Q$76=1,-ExitGrossValue*DispCostPct,0)</f>
        <v/>
      </c>
      <c r="R20" s="50">
        <f>IF(Assumptions!R$76=1,-ExitGrossValue*DispCostPct,0)</f>
        <v/>
      </c>
      <c r="S20" s="50">
        <f>IF(Assumptions!S$76=1,-ExitGrossValue*DispCostPct,0)</f>
        <v/>
      </c>
      <c r="T20" s="50">
        <f>IF(Assumptions!T$76=1,-ExitGrossValue*DispCostPct,0)</f>
        <v/>
      </c>
      <c r="U20" s="50">
        <f>IF(Assumptions!U$76=1,-ExitGrossValue*DispCostPct,0)</f>
        <v/>
      </c>
      <c r="V20" s="50">
        <f>IF(Assumptions!V$76=1,-ExitGrossValue*DispCostPct,0)</f>
        <v/>
      </c>
      <c r="W20" s="50">
        <f>IF(Assumptions!W$76=1,-ExitGrossValue*DispCostPct,0)</f>
        <v/>
      </c>
      <c r="X20" s="50">
        <f>IF(Assumptions!X$76=1,-ExitGrossValue*DispCostPct,0)</f>
        <v/>
      </c>
      <c r="Y20" s="50">
        <f>IF(Assumptions!Y$76=1,-ExitGrossValue*DispCostPct,0)</f>
        <v/>
      </c>
      <c r="Z20" s="50">
        <f>IF(Assumptions!Z$76=1,-ExitGrossValue*DispCostPct,0)</f>
        <v/>
      </c>
      <c r="AA20" s="50">
        <f>IF(Assumptions!AA$76=1,-ExitGrossValue*DispCostPct,0)</f>
        <v/>
      </c>
      <c r="AB20" s="50">
        <f>IF(Assumptions!AB$76=1,-ExitGrossValue*DispCostPct,0)</f>
        <v/>
      </c>
      <c r="AC20" s="50">
        <f>IF(Assumptions!AC$76=1,-ExitGrossValue*DispCostPct,0)</f>
        <v/>
      </c>
      <c r="AD20" s="50">
        <f>IF(Assumptions!AD$76=1,-ExitGrossValue*DispCostPct,0)</f>
        <v/>
      </c>
      <c r="AE20" s="50">
        <f>IF(Assumptions!AE$76=1,-ExitGrossValue*DispCostPct,0)</f>
        <v/>
      </c>
      <c r="AF20" s="50">
        <f>IF(Assumptions!AF$76=1,-ExitGrossValue*DispCostPct,0)</f>
        <v/>
      </c>
      <c r="AG20" s="50">
        <f>IF(Assumptions!AG$76=1,-ExitGrossValue*DispCostPct,0)</f>
        <v/>
      </c>
      <c r="AH20" s="50">
        <f>IF(Assumptions!AH$76=1,-ExitGrossValue*DispCostPct,0)</f>
        <v/>
      </c>
      <c r="AI20" s="50">
        <f>IF(Assumptions!AI$76=1,-ExitGrossValue*DispCostPct,0)</f>
        <v/>
      </c>
      <c r="AJ20" s="50">
        <f>IF(Assumptions!AJ$76=1,-ExitGrossValue*DispCostPct,0)</f>
        <v/>
      </c>
      <c r="AK20" s="50">
        <f>IF(Assumptions!AK$76=1,-ExitGrossValue*DispCostPct,0)</f>
        <v/>
      </c>
      <c r="AL20" s="50">
        <f>IF(Assumptions!AL$76=1,-ExitGrossValue*DispCostPct,0)</f>
        <v/>
      </c>
      <c r="AM20" s="50">
        <f>IF(Assumptions!AM$76=1,-ExitGrossValue*DispCostPct,0)</f>
        <v/>
      </c>
      <c r="AN20" s="50">
        <f>IF(Assumptions!AN$76=1,-ExitGrossValue*DispCostPct,0)</f>
        <v/>
      </c>
      <c r="AO20" s="50">
        <f>IF(Assumptions!AO$76=1,-ExitGrossValue*DispCostPct,0)</f>
        <v/>
      </c>
      <c r="AP20" s="50">
        <f>IF(Assumptions!AP$76=1,-ExitGrossValue*DispCostPct,0)</f>
        <v/>
      </c>
      <c r="AQ20" s="50">
        <f>IF(Assumptions!AQ$76=1,-ExitGrossValue*DispCostPct,0)</f>
        <v/>
      </c>
      <c r="AR20" s="50">
        <f>IF(Assumptions!AR$76=1,-ExitGrossValue*DispCostPct,0)</f>
        <v/>
      </c>
      <c r="AS20" s="50">
        <f>IF(Assumptions!AS$76=1,-ExitGrossValue*DispCostPct,0)</f>
        <v/>
      </c>
      <c r="AT20" s="50">
        <f>IF(Assumptions!AT$76=1,-ExitGrossValue*DispCostPct,0)</f>
        <v/>
      </c>
      <c r="AU20" s="50">
        <f>IF(Assumptions!AU$76=1,-ExitGrossValue*DispCostPct,0)</f>
        <v/>
      </c>
      <c r="AV20" s="50">
        <f>IF(Assumptions!AV$76=1,-ExitGrossValue*DispCostPct,0)</f>
        <v/>
      </c>
      <c r="AW20" s="50">
        <f>IF(Assumptions!AW$76=1,-ExitGrossValue*DispCostPct,0)</f>
        <v/>
      </c>
      <c r="AX20" s="50">
        <f>IF(Assumptions!AX$76=1,-ExitGrossValue*DispCostPct,0)</f>
        <v/>
      </c>
      <c r="AY20" s="50">
        <f>IF(Assumptions!AY$76=1,-ExitGrossValue*DispCostPct,0)</f>
        <v/>
      </c>
      <c r="AZ20" s="50">
        <f>IF(Assumptions!AZ$76=1,-ExitGrossValue*DispCostPct,0)</f>
        <v/>
      </c>
      <c r="BA20" s="50">
        <f>IF(Assumptions!BA$76=1,-ExitGrossValue*DispCostPct,0)</f>
        <v/>
      </c>
      <c r="BB20" s="50">
        <f>IF(Assumptions!BB$76=1,-ExitGrossValue*DispCostPct,0)</f>
        <v/>
      </c>
      <c r="BC20" s="50">
        <f>IF(Assumptions!BC$76=1,-ExitGrossValue*DispCostPct,0)</f>
        <v/>
      </c>
      <c r="BD20" s="50">
        <f>IF(Assumptions!BD$76=1,-ExitGrossValue*DispCostPct,0)</f>
        <v/>
      </c>
      <c r="BE20" s="50">
        <f>IF(Assumptions!BE$76=1,-ExitGrossValue*DispCostPct,0)</f>
        <v/>
      </c>
      <c r="BF20" s="50">
        <f>IF(Assumptions!BF$76=1,-ExitGrossValue*DispCostPct,0)</f>
        <v/>
      </c>
      <c r="BG20" s="50">
        <f>IF(Assumptions!BG$76=1,-ExitGrossValue*DispCostPct,0)</f>
        <v/>
      </c>
      <c r="BH20" s="50">
        <f>IF(Assumptions!BH$76=1,-ExitGrossValue*DispCostPct,0)</f>
        <v/>
      </c>
      <c r="BI20" s="50">
        <f>IF(Assumptions!BI$76=1,-ExitGrossValue*DispCostPct,0)</f>
        <v/>
      </c>
      <c r="BJ20" s="50">
        <f>IF(Assumptions!BJ$76=1,-ExitGrossValue*DispCostPct,0)</f>
        <v/>
      </c>
      <c r="BK20" s="50">
        <f>IF(Assumptions!BK$76=1,-ExitGrossValue*DispCostPct,0)</f>
        <v/>
      </c>
      <c r="BL20" s="50">
        <f>IF(Assumptions!BL$76=1,-ExitGrossValue*DispCostPct,0)</f>
        <v/>
      </c>
      <c r="BM20" s="50">
        <f>IF(Assumptions!BM$76=1,-ExitGrossValue*DispCostPct,0)</f>
        <v/>
      </c>
      <c r="BN20" s="50">
        <f>IF(Assumptions!BN$76=1,-ExitGrossValue*DispCostPct,0)</f>
        <v/>
      </c>
      <c r="BO20" s="50">
        <f>IF(Assumptions!BO$76=1,-ExitGrossValue*DispCostPct,0)</f>
        <v/>
      </c>
      <c r="BP20" s="50">
        <f>IF(Assumptions!BP$76=1,-ExitGrossValue*DispCostPct,0)</f>
        <v/>
      </c>
      <c r="BQ20" s="50">
        <f>IF(Assumptions!BQ$76=1,-ExitGrossValue*DispCostPct,0)</f>
        <v/>
      </c>
      <c r="BR20" s="50">
        <f>IF(Assumptions!BR$76=1,-ExitGrossValue*DispCostPct,0)</f>
        <v/>
      </c>
      <c r="BS20" s="50">
        <f>IF(Assumptions!BS$76=1,-ExitGrossValue*DispCostPct,0)</f>
        <v/>
      </c>
      <c r="BT20" s="50">
        <f>IF(Assumptions!BT$76=1,-ExitGrossValue*DispCostPct,0)</f>
        <v/>
      </c>
      <c r="BU20" s="50">
        <f>IF(Assumptions!BU$76=1,-ExitGrossValue*DispCostPct,0)</f>
        <v/>
      </c>
      <c r="BV20" s="50">
        <f>IF(Assumptions!BV$76=1,-ExitGrossValue*DispCostPct,0)</f>
        <v/>
      </c>
      <c r="BW20" s="50">
        <f>IF(Assumptions!BW$76=1,-ExitGrossValue*DispCostPct,0)</f>
        <v/>
      </c>
      <c r="BX20" s="50">
        <f>IF(Assumptions!BX$76=1,-ExitGrossValue*DispCostPct,0)</f>
        <v/>
      </c>
      <c r="BY20" s="50">
        <f>IF(Assumptions!BY$76=1,-ExitGrossValue*DispCostPct,0)</f>
        <v/>
      </c>
      <c r="BZ20" s="50">
        <f>IF(Assumptions!BZ$76=1,-ExitGrossValue*DispCostPct,0)</f>
        <v/>
      </c>
      <c r="CA20" s="50">
        <f>IF(Assumptions!CA$76=1,-ExitGrossValue*DispCostPct,0)</f>
        <v/>
      </c>
      <c r="CB20" s="50">
        <f>IF(Assumptions!CB$76=1,-ExitGrossValue*DispCostPct,0)</f>
        <v/>
      </c>
      <c r="CC20" s="50">
        <f>IF(Assumptions!CC$76=1,-ExitGrossValue*DispCostPct,0)</f>
        <v/>
      </c>
      <c r="CD20" s="50">
        <f>IF(Assumptions!CD$76=1,-ExitGrossValue*DispCostPct,0)</f>
        <v/>
      </c>
      <c r="CE20" s="50">
        <f>IF(Assumptions!CE$76=1,-ExitGrossValue*DispCostPct,0)</f>
        <v/>
      </c>
      <c r="CF20" s="50">
        <f>IF(Assumptions!CF$76=1,-ExitGrossValue*DispCostPct,0)</f>
        <v/>
      </c>
      <c r="CG20" s="50">
        <f>IF(Assumptions!CG$76=1,-ExitGrossValue*DispCostPct,0)</f>
        <v/>
      </c>
      <c r="CH20" s="50">
        <f>IF(Assumptions!CH$76=1,-ExitGrossValue*DispCostPct,0)</f>
        <v/>
      </c>
      <c r="CI20" s="50">
        <f>IF(Assumptions!CI$76=1,-ExitGrossValue*DispCostPct,0)</f>
        <v/>
      </c>
      <c r="CJ20" s="50">
        <f>IF(Assumptions!CJ$76=1,-ExitGrossValue*DispCostPct,0)</f>
        <v/>
      </c>
      <c r="CK20" s="50">
        <f>IF(Assumptions!CK$76=1,-ExitGrossValue*DispCostPct,0)</f>
        <v/>
      </c>
      <c r="CL20" s="50">
        <f>IF(Assumptions!CL$76=1,-ExitGrossValue*DispCostPct,0)</f>
        <v/>
      </c>
      <c r="CM20" s="50">
        <f>IF(Assumptions!CM$76=1,-ExitGrossValue*DispCostPct,0)</f>
        <v/>
      </c>
      <c r="CN20" s="50">
        <f>IF(Assumptions!CN$76=1,-ExitGrossValue*DispCostPct,0)</f>
        <v/>
      </c>
      <c r="CO20" s="50">
        <f>IF(Assumptions!CO$76=1,-ExitGrossValue*DispCostPct,0)</f>
        <v/>
      </c>
      <c r="CP20" s="50">
        <f>IF(Assumptions!CP$76=1,-ExitGrossValue*DispCostPct,0)</f>
        <v/>
      </c>
      <c r="CQ20" s="50">
        <f>IF(Assumptions!CQ$76=1,-ExitGrossValue*DispCostPct,0)</f>
        <v/>
      </c>
      <c r="CR20" s="50">
        <f>IF(Assumptions!CR$76=1,-ExitGrossValue*DispCostPct,0)</f>
        <v/>
      </c>
      <c r="CS20" s="50">
        <f>IF(Assumptions!CS$76=1,-ExitGrossValue*DispCostPct,0)</f>
        <v/>
      </c>
      <c r="CT20" s="50">
        <f>IF(Assumptions!CT$76=1,-ExitGrossValue*DispCostPct,0)</f>
        <v/>
      </c>
      <c r="CU20" s="50">
        <f>IF(Assumptions!CU$76=1,-ExitGrossValue*DispCostPct,0)</f>
        <v/>
      </c>
      <c r="CV20" s="50">
        <f>IF(Assumptions!CV$76=1,-ExitGrossValue*DispCostPct,0)</f>
        <v/>
      </c>
      <c r="CW20" s="50">
        <f>IF(Assumptions!CW$76=1,-ExitGrossValue*DispCostPct,0)</f>
        <v/>
      </c>
      <c r="CX20" s="50">
        <f>IF(Assumptions!CX$76=1,-ExitGrossValue*DispCostPct,0)</f>
        <v/>
      </c>
      <c r="CY20" s="50">
        <f>IF(Assumptions!CY$76=1,-ExitGrossValue*DispCostPct,0)</f>
        <v/>
      </c>
      <c r="CZ20" s="50">
        <f>IF(Assumptions!CZ$76=1,-ExitGrossValue*DispCostPct,0)</f>
        <v/>
      </c>
      <c r="DA20" s="50">
        <f>IF(Assumptions!DA$76=1,-ExitGrossValue*DispCostPct,0)</f>
        <v/>
      </c>
      <c r="DB20" s="50">
        <f>IF(Assumptions!DB$76=1,-ExitGrossValue*DispCostPct,0)</f>
        <v/>
      </c>
      <c r="DC20" s="50">
        <f>IF(Assumptions!DC$76=1,-ExitGrossValue*DispCostPct,0)</f>
        <v/>
      </c>
      <c r="DD20" s="50">
        <f>IF(Assumptions!DD$76=1,-ExitGrossValue*DispCostPct,0)</f>
        <v/>
      </c>
      <c r="DE20" s="50">
        <f>IF(Assumptions!DE$76=1,-ExitGrossValue*DispCostPct,0)</f>
        <v/>
      </c>
      <c r="DF20" s="50">
        <f>IF(Assumptions!DF$76=1,-ExitGrossValue*DispCostPct,0)</f>
        <v/>
      </c>
      <c r="DG20" s="50">
        <f>IF(Assumptions!DG$76=1,-ExitGrossValue*DispCostPct,0)</f>
        <v/>
      </c>
      <c r="DH20" s="50">
        <f>IF(Assumptions!DH$76=1,-ExitGrossValue*DispCostPct,0)</f>
        <v/>
      </c>
      <c r="DI20" s="50">
        <f>IF(Assumptions!DI$76=1,-ExitGrossValue*DispCostPct,0)</f>
        <v/>
      </c>
      <c r="DJ20" s="50">
        <f>IF(Assumptions!DJ$76=1,-ExitGrossValue*DispCostPct,0)</f>
        <v/>
      </c>
      <c r="DK20" s="50">
        <f>IF(Assumptions!DK$76=1,-ExitGrossValue*DispCostPct,0)</f>
        <v/>
      </c>
      <c r="DL20" s="50">
        <f>IF(Assumptions!DL$76=1,-ExitGrossValue*DispCostPct,0)</f>
        <v/>
      </c>
      <c r="DM20" s="50">
        <f>IF(Assumptions!DM$76=1,-ExitGrossValue*DispCostPct,0)</f>
        <v/>
      </c>
      <c r="DN20" s="50">
        <f>IF(Assumptions!DN$76=1,-ExitGrossValue*DispCostPct,0)</f>
        <v/>
      </c>
      <c r="DO20" s="50">
        <f>IF(Assumptions!DO$76=1,-ExitGrossValue*DispCostPct,0)</f>
        <v/>
      </c>
      <c r="DP20" s="50">
        <f>IF(Assumptions!DP$76=1,-ExitGrossValue*DispCostPct,0)</f>
        <v/>
      </c>
      <c r="DQ20" s="50">
        <f>IF(Assumptions!DQ$76=1,-ExitGrossValue*DispCostPct,0)</f>
        <v/>
      </c>
      <c r="DR20" s="50">
        <f>IF(Assumptions!DR$76=1,-ExitGrossValue*DispCostPct,0)</f>
        <v/>
      </c>
      <c r="DS20" s="50">
        <f>IF(Assumptions!DS$76=1,-ExitGrossValue*DispCostPct,0)</f>
        <v/>
      </c>
      <c r="DT20" s="50">
        <f>IF(Assumptions!DT$76=1,-ExitGrossValue*DispCostPct,0)</f>
        <v/>
      </c>
    </row>
    <row r="21">
      <c r="A21" s="10" t="inlineStr">
        <is>
          <t>Loan payoff at exit ($)</t>
        </is>
      </c>
      <c r="E21" s="50">
        <f>IF(Assumptions!E$76=1,-Debt!E$44,0)</f>
        <v/>
      </c>
      <c r="F21" s="50">
        <f>IF(Assumptions!F$76=1,-Debt!F$44,0)</f>
        <v/>
      </c>
      <c r="G21" s="50">
        <f>IF(Assumptions!G$76=1,-Debt!G$44,0)</f>
        <v/>
      </c>
      <c r="H21" s="50">
        <f>IF(Assumptions!H$76=1,-Debt!H$44,0)</f>
        <v/>
      </c>
      <c r="I21" s="50">
        <f>IF(Assumptions!I$76=1,-Debt!I$44,0)</f>
        <v/>
      </c>
      <c r="J21" s="50">
        <f>IF(Assumptions!J$76=1,-Debt!J$44,0)</f>
        <v/>
      </c>
      <c r="K21" s="50">
        <f>IF(Assumptions!K$76=1,-Debt!K$44,0)</f>
        <v/>
      </c>
      <c r="L21" s="50">
        <f>IF(Assumptions!L$76=1,-Debt!L$44,0)</f>
        <v/>
      </c>
      <c r="M21" s="50">
        <f>IF(Assumptions!M$76=1,-Debt!M$44,0)</f>
        <v/>
      </c>
      <c r="N21" s="50">
        <f>IF(Assumptions!N$76=1,-Debt!N$44,0)</f>
        <v/>
      </c>
      <c r="O21" s="50">
        <f>IF(Assumptions!O$76=1,-Debt!O$44,0)</f>
        <v/>
      </c>
      <c r="P21" s="50">
        <f>IF(Assumptions!P$76=1,-Debt!P$44,0)</f>
        <v/>
      </c>
      <c r="Q21" s="50">
        <f>IF(Assumptions!Q$76=1,-Debt!Q$44,0)</f>
        <v/>
      </c>
      <c r="R21" s="50">
        <f>IF(Assumptions!R$76=1,-Debt!R$44,0)</f>
        <v/>
      </c>
      <c r="S21" s="50">
        <f>IF(Assumptions!S$76=1,-Debt!S$44,0)</f>
        <v/>
      </c>
      <c r="T21" s="50">
        <f>IF(Assumptions!T$76=1,-Debt!T$44,0)</f>
        <v/>
      </c>
      <c r="U21" s="50">
        <f>IF(Assumptions!U$76=1,-Debt!U$44,0)</f>
        <v/>
      </c>
      <c r="V21" s="50">
        <f>IF(Assumptions!V$76=1,-Debt!V$44,0)</f>
        <v/>
      </c>
      <c r="W21" s="50">
        <f>IF(Assumptions!W$76=1,-Debt!W$44,0)</f>
        <v/>
      </c>
      <c r="X21" s="50">
        <f>IF(Assumptions!X$76=1,-Debt!X$44,0)</f>
        <v/>
      </c>
      <c r="Y21" s="50">
        <f>IF(Assumptions!Y$76=1,-Debt!Y$44,0)</f>
        <v/>
      </c>
      <c r="Z21" s="50">
        <f>IF(Assumptions!Z$76=1,-Debt!Z$44,0)</f>
        <v/>
      </c>
      <c r="AA21" s="50">
        <f>IF(Assumptions!AA$76=1,-Debt!AA$44,0)</f>
        <v/>
      </c>
      <c r="AB21" s="50">
        <f>IF(Assumptions!AB$76=1,-Debt!AB$44,0)</f>
        <v/>
      </c>
      <c r="AC21" s="50">
        <f>IF(Assumptions!AC$76=1,-Debt!AC$44,0)</f>
        <v/>
      </c>
      <c r="AD21" s="50">
        <f>IF(Assumptions!AD$76=1,-Debt!AD$44,0)</f>
        <v/>
      </c>
      <c r="AE21" s="50">
        <f>IF(Assumptions!AE$76=1,-Debt!AE$44,0)</f>
        <v/>
      </c>
      <c r="AF21" s="50">
        <f>IF(Assumptions!AF$76=1,-Debt!AF$44,0)</f>
        <v/>
      </c>
      <c r="AG21" s="50">
        <f>IF(Assumptions!AG$76=1,-Debt!AG$44,0)</f>
        <v/>
      </c>
      <c r="AH21" s="50">
        <f>IF(Assumptions!AH$76=1,-Debt!AH$44,0)</f>
        <v/>
      </c>
      <c r="AI21" s="50">
        <f>IF(Assumptions!AI$76=1,-Debt!AI$44,0)</f>
        <v/>
      </c>
      <c r="AJ21" s="50">
        <f>IF(Assumptions!AJ$76=1,-Debt!AJ$44,0)</f>
        <v/>
      </c>
      <c r="AK21" s="50">
        <f>IF(Assumptions!AK$76=1,-Debt!AK$44,0)</f>
        <v/>
      </c>
      <c r="AL21" s="50">
        <f>IF(Assumptions!AL$76=1,-Debt!AL$44,0)</f>
        <v/>
      </c>
      <c r="AM21" s="50">
        <f>IF(Assumptions!AM$76=1,-Debt!AM$44,0)</f>
        <v/>
      </c>
      <c r="AN21" s="50">
        <f>IF(Assumptions!AN$76=1,-Debt!AN$44,0)</f>
        <v/>
      </c>
      <c r="AO21" s="50">
        <f>IF(Assumptions!AO$76=1,-Debt!AO$44,0)</f>
        <v/>
      </c>
      <c r="AP21" s="50">
        <f>IF(Assumptions!AP$76=1,-Debt!AP$44,0)</f>
        <v/>
      </c>
      <c r="AQ21" s="50">
        <f>IF(Assumptions!AQ$76=1,-Debt!AQ$44,0)</f>
        <v/>
      </c>
      <c r="AR21" s="50">
        <f>IF(Assumptions!AR$76=1,-Debt!AR$44,0)</f>
        <v/>
      </c>
      <c r="AS21" s="50">
        <f>IF(Assumptions!AS$76=1,-Debt!AS$44,0)</f>
        <v/>
      </c>
      <c r="AT21" s="50">
        <f>IF(Assumptions!AT$76=1,-Debt!AT$44,0)</f>
        <v/>
      </c>
      <c r="AU21" s="50">
        <f>IF(Assumptions!AU$76=1,-Debt!AU$44,0)</f>
        <v/>
      </c>
      <c r="AV21" s="50">
        <f>IF(Assumptions!AV$76=1,-Debt!AV$44,0)</f>
        <v/>
      </c>
      <c r="AW21" s="50">
        <f>IF(Assumptions!AW$76=1,-Debt!AW$44,0)</f>
        <v/>
      </c>
      <c r="AX21" s="50">
        <f>IF(Assumptions!AX$76=1,-Debt!AX$44,0)</f>
        <v/>
      </c>
      <c r="AY21" s="50">
        <f>IF(Assumptions!AY$76=1,-Debt!AY$44,0)</f>
        <v/>
      </c>
      <c r="AZ21" s="50">
        <f>IF(Assumptions!AZ$76=1,-Debt!AZ$44,0)</f>
        <v/>
      </c>
      <c r="BA21" s="50">
        <f>IF(Assumptions!BA$76=1,-Debt!BA$44,0)</f>
        <v/>
      </c>
      <c r="BB21" s="50">
        <f>IF(Assumptions!BB$76=1,-Debt!BB$44,0)</f>
        <v/>
      </c>
      <c r="BC21" s="50">
        <f>IF(Assumptions!BC$76=1,-Debt!BC$44,0)</f>
        <v/>
      </c>
      <c r="BD21" s="50">
        <f>IF(Assumptions!BD$76=1,-Debt!BD$44,0)</f>
        <v/>
      </c>
      <c r="BE21" s="50">
        <f>IF(Assumptions!BE$76=1,-Debt!BE$44,0)</f>
        <v/>
      </c>
      <c r="BF21" s="50">
        <f>IF(Assumptions!BF$76=1,-Debt!BF$44,0)</f>
        <v/>
      </c>
      <c r="BG21" s="50">
        <f>IF(Assumptions!BG$76=1,-Debt!BG$44,0)</f>
        <v/>
      </c>
      <c r="BH21" s="50">
        <f>IF(Assumptions!BH$76=1,-Debt!BH$44,0)</f>
        <v/>
      </c>
      <c r="BI21" s="50">
        <f>IF(Assumptions!BI$76=1,-Debt!BI$44,0)</f>
        <v/>
      </c>
      <c r="BJ21" s="50">
        <f>IF(Assumptions!BJ$76=1,-Debt!BJ$44,0)</f>
        <v/>
      </c>
      <c r="BK21" s="50">
        <f>IF(Assumptions!BK$76=1,-Debt!BK$44,0)</f>
        <v/>
      </c>
      <c r="BL21" s="50">
        <f>IF(Assumptions!BL$76=1,-Debt!BL$44,0)</f>
        <v/>
      </c>
      <c r="BM21" s="50">
        <f>IF(Assumptions!BM$76=1,-Debt!BM$44,0)</f>
        <v/>
      </c>
      <c r="BN21" s="50">
        <f>IF(Assumptions!BN$76=1,-Debt!BN$44,0)</f>
        <v/>
      </c>
      <c r="BO21" s="50">
        <f>IF(Assumptions!BO$76=1,-Debt!BO$44,0)</f>
        <v/>
      </c>
      <c r="BP21" s="50">
        <f>IF(Assumptions!BP$76=1,-Debt!BP$44,0)</f>
        <v/>
      </c>
      <c r="BQ21" s="50">
        <f>IF(Assumptions!BQ$76=1,-Debt!BQ$44,0)</f>
        <v/>
      </c>
      <c r="BR21" s="50">
        <f>IF(Assumptions!BR$76=1,-Debt!BR$44,0)</f>
        <v/>
      </c>
      <c r="BS21" s="50">
        <f>IF(Assumptions!BS$76=1,-Debt!BS$44,0)</f>
        <v/>
      </c>
      <c r="BT21" s="50">
        <f>IF(Assumptions!BT$76=1,-Debt!BT$44,0)</f>
        <v/>
      </c>
      <c r="BU21" s="50">
        <f>IF(Assumptions!BU$76=1,-Debt!BU$44,0)</f>
        <v/>
      </c>
      <c r="BV21" s="50">
        <f>IF(Assumptions!BV$76=1,-Debt!BV$44,0)</f>
        <v/>
      </c>
      <c r="BW21" s="50">
        <f>IF(Assumptions!BW$76=1,-Debt!BW$44,0)</f>
        <v/>
      </c>
      <c r="BX21" s="50">
        <f>IF(Assumptions!BX$76=1,-Debt!BX$44,0)</f>
        <v/>
      </c>
      <c r="BY21" s="50">
        <f>IF(Assumptions!BY$76=1,-Debt!BY$44,0)</f>
        <v/>
      </c>
      <c r="BZ21" s="50">
        <f>IF(Assumptions!BZ$76=1,-Debt!BZ$44,0)</f>
        <v/>
      </c>
      <c r="CA21" s="50">
        <f>IF(Assumptions!CA$76=1,-Debt!CA$44,0)</f>
        <v/>
      </c>
      <c r="CB21" s="50">
        <f>IF(Assumptions!CB$76=1,-Debt!CB$44,0)</f>
        <v/>
      </c>
      <c r="CC21" s="50">
        <f>IF(Assumptions!CC$76=1,-Debt!CC$44,0)</f>
        <v/>
      </c>
      <c r="CD21" s="50">
        <f>IF(Assumptions!CD$76=1,-Debt!CD$44,0)</f>
        <v/>
      </c>
      <c r="CE21" s="50">
        <f>IF(Assumptions!CE$76=1,-Debt!CE$44,0)</f>
        <v/>
      </c>
      <c r="CF21" s="50">
        <f>IF(Assumptions!CF$76=1,-Debt!CF$44,0)</f>
        <v/>
      </c>
      <c r="CG21" s="50">
        <f>IF(Assumptions!CG$76=1,-Debt!CG$44,0)</f>
        <v/>
      </c>
      <c r="CH21" s="50">
        <f>IF(Assumptions!CH$76=1,-Debt!CH$44,0)</f>
        <v/>
      </c>
      <c r="CI21" s="50">
        <f>IF(Assumptions!CI$76=1,-Debt!CI$44,0)</f>
        <v/>
      </c>
      <c r="CJ21" s="50">
        <f>IF(Assumptions!CJ$76=1,-Debt!CJ$44,0)</f>
        <v/>
      </c>
      <c r="CK21" s="50">
        <f>IF(Assumptions!CK$76=1,-Debt!CK$44,0)</f>
        <v/>
      </c>
      <c r="CL21" s="50">
        <f>IF(Assumptions!CL$76=1,-Debt!CL$44,0)</f>
        <v/>
      </c>
      <c r="CM21" s="50">
        <f>IF(Assumptions!CM$76=1,-Debt!CM$44,0)</f>
        <v/>
      </c>
      <c r="CN21" s="50">
        <f>IF(Assumptions!CN$76=1,-Debt!CN$44,0)</f>
        <v/>
      </c>
      <c r="CO21" s="50">
        <f>IF(Assumptions!CO$76=1,-Debt!CO$44,0)</f>
        <v/>
      </c>
      <c r="CP21" s="50">
        <f>IF(Assumptions!CP$76=1,-Debt!CP$44,0)</f>
        <v/>
      </c>
      <c r="CQ21" s="50">
        <f>IF(Assumptions!CQ$76=1,-Debt!CQ$44,0)</f>
        <v/>
      </c>
      <c r="CR21" s="50">
        <f>IF(Assumptions!CR$76=1,-Debt!CR$44,0)</f>
        <v/>
      </c>
      <c r="CS21" s="50">
        <f>IF(Assumptions!CS$76=1,-Debt!CS$44,0)</f>
        <v/>
      </c>
      <c r="CT21" s="50">
        <f>IF(Assumptions!CT$76=1,-Debt!CT$44,0)</f>
        <v/>
      </c>
      <c r="CU21" s="50">
        <f>IF(Assumptions!CU$76=1,-Debt!CU$44,0)</f>
        <v/>
      </c>
      <c r="CV21" s="50">
        <f>IF(Assumptions!CV$76=1,-Debt!CV$44,0)</f>
        <v/>
      </c>
      <c r="CW21" s="50">
        <f>IF(Assumptions!CW$76=1,-Debt!CW$44,0)</f>
        <v/>
      </c>
      <c r="CX21" s="50">
        <f>IF(Assumptions!CX$76=1,-Debt!CX$44,0)</f>
        <v/>
      </c>
      <c r="CY21" s="50">
        <f>IF(Assumptions!CY$76=1,-Debt!CY$44,0)</f>
        <v/>
      </c>
      <c r="CZ21" s="50">
        <f>IF(Assumptions!CZ$76=1,-Debt!CZ$44,0)</f>
        <v/>
      </c>
      <c r="DA21" s="50">
        <f>IF(Assumptions!DA$76=1,-Debt!DA$44,0)</f>
        <v/>
      </c>
      <c r="DB21" s="50">
        <f>IF(Assumptions!DB$76=1,-Debt!DB$44,0)</f>
        <v/>
      </c>
      <c r="DC21" s="50">
        <f>IF(Assumptions!DC$76=1,-Debt!DC$44,0)</f>
        <v/>
      </c>
      <c r="DD21" s="50">
        <f>IF(Assumptions!DD$76=1,-Debt!DD$44,0)</f>
        <v/>
      </c>
      <c r="DE21" s="50">
        <f>IF(Assumptions!DE$76=1,-Debt!DE$44,0)</f>
        <v/>
      </c>
      <c r="DF21" s="50">
        <f>IF(Assumptions!DF$76=1,-Debt!DF$44,0)</f>
        <v/>
      </c>
      <c r="DG21" s="50">
        <f>IF(Assumptions!DG$76=1,-Debt!DG$44,0)</f>
        <v/>
      </c>
      <c r="DH21" s="50">
        <f>IF(Assumptions!DH$76=1,-Debt!DH$44,0)</f>
        <v/>
      </c>
      <c r="DI21" s="50">
        <f>IF(Assumptions!DI$76=1,-Debt!DI$44,0)</f>
        <v/>
      </c>
      <c r="DJ21" s="50">
        <f>IF(Assumptions!DJ$76=1,-Debt!DJ$44,0)</f>
        <v/>
      </c>
      <c r="DK21" s="50">
        <f>IF(Assumptions!DK$76=1,-Debt!DK$44,0)</f>
        <v/>
      </c>
      <c r="DL21" s="50">
        <f>IF(Assumptions!DL$76=1,-Debt!DL$44,0)</f>
        <v/>
      </c>
      <c r="DM21" s="50">
        <f>IF(Assumptions!DM$76=1,-Debt!DM$44,0)</f>
        <v/>
      </c>
      <c r="DN21" s="50">
        <f>IF(Assumptions!DN$76=1,-Debt!DN$44,0)</f>
        <v/>
      </c>
      <c r="DO21" s="50">
        <f>IF(Assumptions!DO$76=1,-Debt!DO$44,0)</f>
        <v/>
      </c>
      <c r="DP21" s="50">
        <f>IF(Assumptions!DP$76=1,-Debt!DP$44,0)</f>
        <v/>
      </c>
      <c r="DQ21" s="50">
        <f>IF(Assumptions!DQ$76=1,-Debt!DQ$44,0)</f>
        <v/>
      </c>
      <c r="DR21" s="50">
        <f>IF(Assumptions!DR$76=1,-Debt!DR$44,0)</f>
        <v/>
      </c>
      <c r="DS21" s="50">
        <f>IF(Assumptions!DS$76=1,-Debt!DS$44,0)</f>
        <v/>
      </c>
      <c r="DT21" s="50">
        <f>IF(Assumptions!DT$76=1,-Debt!DT$44,0)</f>
        <v/>
      </c>
    </row>
    <row r="22">
      <c r="A22" s="3" t="inlineStr">
        <is>
          <t>Levered cash flow ($/mo)</t>
        </is>
      </c>
      <c r="E22" s="60">
        <f>E$15+E$16+E$17+E$18+E$19+E$20+E$21</f>
        <v/>
      </c>
      <c r="F22" s="60">
        <f>F$15+F$16+F$17+F$18+F$19+F$20+F$21</f>
        <v/>
      </c>
      <c r="G22" s="60">
        <f>G$15+G$16+G$17+G$18+G$19+G$20+G$21</f>
        <v/>
      </c>
      <c r="H22" s="60">
        <f>H$15+H$16+H$17+H$18+H$19+H$20+H$21</f>
        <v/>
      </c>
      <c r="I22" s="60">
        <f>I$15+I$16+I$17+I$18+I$19+I$20+I$21</f>
        <v/>
      </c>
      <c r="J22" s="60">
        <f>J$15+J$16+J$17+J$18+J$19+J$20+J$21</f>
        <v/>
      </c>
      <c r="K22" s="60">
        <f>K$15+K$16+K$17+K$18+K$19+K$20+K$21</f>
        <v/>
      </c>
      <c r="L22" s="60">
        <f>L$15+L$16+L$17+L$18+L$19+L$20+L$21</f>
        <v/>
      </c>
      <c r="M22" s="60">
        <f>M$15+M$16+M$17+M$18+M$19+M$20+M$21</f>
        <v/>
      </c>
      <c r="N22" s="60">
        <f>N$15+N$16+N$17+N$18+N$19+N$20+N$21</f>
        <v/>
      </c>
      <c r="O22" s="60">
        <f>O$15+O$16+O$17+O$18+O$19+O$20+O$21</f>
        <v/>
      </c>
      <c r="P22" s="60">
        <f>P$15+P$16+P$17+P$18+P$19+P$20+P$21</f>
        <v/>
      </c>
      <c r="Q22" s="60">
        <f>Q$15+Q$16+Q$17+Q$18+Q$19+Q$20+Q$21</f>
        <v/>
      </c>
      <c r="R22" s="60">
        <f>R$15+R$16+R$17+R$18+R$19+R$20+R$21</f>
        <v/>
      </c>
      <c r="S22" s="60">
        <f>S$15+S$16+S$17+S$18+S$19+S$20+S$21</f>
        <v/>
      </c>
      <c r="T22" s="60">
        <f>T$15+T$16+T$17+T$18+T$19+T$20+T$21</f>
        <v/>
      </c>
      <c r="U22" s="60">
        <f>U$15+U$16+U$17+U$18+U$19+U$20+U$21</f>
        <v/>
      </c>
      <c r="V22" s="60">
        <f>V$15+V$16+V$17+V$18+V$19+V$20+V$21</f>
        <v/>
      </c>
      <c r="W22" s="60">
        <f>W$15+W$16+W$17+W$18+W$19+W$20+W$21</f>
        <v/>
      </c>
      <c r="X22" s="60">
        <f>X$15+X$16+X$17+X$18+X$19+X$20+X$21</f>
        <v/>
      </c>
      <c r="Y22" s="60">
        <f>Y$15+Y$16+Y$17+Y$18+Y$19+Y$20+Y$21</f>
        <v/>
      </c>
      <c r="Z22" s="60">
        <f>Z$15+Z$16+Z$17+Z$18+Z$19+Z$20+Z$21</f>
        <v/>
      </c>
      <c r="AA22" s="60">
        <f>AA$15+AA$16+AA$17+AA$18+AA$19+AA$20+AA$21</f>
        <v/>
      </c>
      <c r="AB22" s="60">
        <f>AB$15+AB$16+AB$17+AB$18+AB$19+AB$20+AB$21</f>
        <v/>
      </c>
      <c r="AC22" s="60">
        <f>AC$15+AC$16+AC$17+AC$18+AC$19+AC$20+AC$21</f>
        <v/>
      </c>
      <c r="AD22" s="60">
        <f>AD$15+AD$16+AD$17+AD$18+AD$19+AD$20+AD$21</f>
        <v/>
      </c>
      <c r="AE22" s="60">
        <f>AE$15+AE$16+AE$17+AE$18+AE$19+AE$20+AE$21</f>
        <v/>
      </c>
      <c r="AF22" s="60">
        <f>AF$15+AF$16+AF$17+AF$18+AF$19+AF$20+AF$21</f>
        <v/>
      </c>
      <c r="AG22" s="60">
        <f>AG$15+AG$16+AG$17+AG$18+AG$19+AG$20+AG$21</f>
        <v/>
      </c>
      <c r="AH22" s="60">
        <f>AH$15+AH$16+AH$17+AH$18+AH$19+AH$20+AH$21</f>
        <v/>
      </c>
      <c r="AI22" s="60">
        <f>AI$15+AI$16+AI$17+AI$18+AI$19+AI$20+AI$21</f>
        <v/>
      </c>
      <c r="AJ22" s="60">
        <f>AJ$15+AJ$16+AJ$17+AJ$18+AJ$19+AJ$20+AJ$21</f>
        <v/>
      </c>
      <c r="AK22" s="60">
        <f>AK$15+AK$16+AK$17+AK$18+AK$19+AK$20+AK$21</f>
        <v/>
      </c>
      <c r="AL22" s="60">
        <f>AL$15+AL$16+AL$17+AL$18+AL$19+AL$20+AL$21</f>
        <v/>
      </c>
      <c r="AM22" s="60">
        <f>AM$15+AM$16+AM$17+AM$18+AM$19+AM$20+AM$21</f>
        <v/>
      </c>
      <c r="AN22" s="60">
        <f>AN$15+AN$16+AN$17+AN$18+AN$19+AN$20+AN$21</f>
        <v/>
      </c>
      <c r="AO22" s="60">
        <f>AO$15+AO$16+AO$17+AO$18+AO$19+AO$20+AO$21</f>
        <v/>
      </c>
      <c r="AP22" s="60">
        <f>AP$15+AP$16+AP$17+AP$18+AP$19+AP$20+AP$21</f>
        <v/>
      </c>
      <c r="AQ22" s="60">
        <f>AQ$15+AQ$16+AQ$17+AQ$18+AQ$19+AQ$20+AQ$21</f>
        <v/>
      </c>
      <c r="AR22" s="60">
        <f>AR$15+AR$16+AR$17+AR$18+AR$19+AR$20+AR$21</f>
        <v/>
      </c>
      <c r="AS22" s="60">
        <f>AS$15+AS$16+AS$17+AS$18+AS$19+AS$20+AS$21</f>
        <v/>
      </c>
      <c r="AT22" s="60">
        <f>AT$15+AT$16+AT$17+AT$18+AT$19+AT$20+AT$21</f>
        <v/>
      </c>
      <c r="AU22" s="60">
        <f>AU$15+AU$16+AU$17+AU$18+AU$19+AU$20+AU$21</f>
        <v/>
      </c>
      <c r="AV22" s="60">
        <f>AV$15+AV$16+AV$17+AV$18+AV$19+AV$20+AV$21</f>
        <v/>
      </c>
      <c r="AW22" s="60">
        <f>AW$15+AW$16+AW$17+AW$18+AW$19+AW$20+AW$21</f>
        <v/>
      </c>
      <c r="AX22" s="60">
        <f>AX$15+AX$16+AX$17+AX$18+AX$19+AX$20+AX$21</f>
        <v/>
      </c>
      <c r="AY22" s="60">
        <f>AY$15+AY$16+AY$17+AY$18+AY$19+AY$20+AY$21</f>
        <v/>
      </c>
      <c r="AZ22" s="60">
        <f>AZ$15+AZ$16+AZ$17+AZ$18+AZ$19+AZ$20+AZ$21</f>
        <v/>
      </c>
      <c r="BA22" s="60">
        <f>BA$15+BA$16+BA$17+BA$18+BA$19+BA$20+BA$21</f>
        <v/>
      </c>
      <c r="BB22" s="60">
        <f>BB$15+BB$16+BB$17+BB$18+BB$19+BB$20+BB$21</f>
        <v/>
      </c>
      <c r="BC22" s="60">
        <f>BC$15+BC$16+BC$17+BC$18+BC$19+BC$20+BC$21</f>
        <v/>
      </c>
      <c r="BD22" s="60">
        <f>BD$15+BD$16+BD$17+BD$18+BD$19+BD$20+BD$21</f>
        <v/>
      </c>
      <c r="BE22" s="60">
        <f>BE$15+BE$16+BE$17+BE$18+BE$19+BE$20+BE$21</f>
        <v/>
      </c>
      <c r="BF22" s="60">
        <f>BF$15+BF$16+BF$17+BF$18+BF$19+BF$20+BF$21</f>
        <v/>
      </c>
      <c r="BG22" s="60">
        <f>BG$15+BG$16+BG$17+BG$18+BG$19+BG$20+BG$21</f>
        <v/>
      </c>
      <c r="BH22" s="60">
        <f>BH$15+BH$16+BH$17+BH$18+BH$19+BH$20+BH$21</f>
        <v/>
      </c>
      <c r="BI22" s="60">
        <f>BI$15+BI$16+BI$17+BI$18+BI$19+BI$20+BI$21</f>
        <v/>
      </c>
      <c r="BJ22" s="60">
        <f>BJ$15+BJ$16+BJ$17+BJ$18+BJ$19+BJ$20+BJ$21</f>
        <v/>
      </c>
      <c r="BK22" s="60">
        <f>BK$15+BK$16+BK$17+BK$18+BK$19+BK$20+BK$21</f>
        <v/>
      </c>
      <c r="BL22" s="60">
        <f>BL$15+BL$16+BL$17+BL$18+BL$19+BL$20+BL$21</f>
        <v/>
      </c>
      <c r="BM22" s="60">
        <f>BM$15+BM$16+BM$17+BM$18+BM$19+BM$20+BM$21</f>
        <v/>
      </c>
      <c r="BN22" s="60">
        <f>BN$15+BN$16+BN$17+BN$18+BN$19+BN$20+BN$21</f>
        <v/>
      </c>
      <c r="BO22" s="60">
        <f>BO$15+BO$16+BO$17+BO$18+BO$19+BO$20+BO$21</f>
        <v/>
      </c>
      <c r="BP22" s="60">
        <f>BP$15+BP$16+BP$17+BP$18+BP$19+BP$20+BP$21</f>
        <v/>
      </c>
      <c r="BQ22" s="60">
        <f>BQ$15+BQ$16+BQ$17+BQ$18+BQ$19+BQ$20+BQ$21</f>
        <v/>
      </c>
      <c r="BR22" s="60">
        <f>BR$15+BR$16+BR$17+BR$18+BR$19+BR$20+BR$21</f>
        <v/>
      </c>
      <c r="BS22" s="60">
        <f>BS$15+BS$16+BS$17+BS$18+BS$19+BS$20+BS$21</f>
        <v/>
      </c>
      <c r="BT22" s="60">
        <f>BT$15+BT$16+BT$17+BT$18+BT$19+BT$20+BT$21</f>
        <v/>
      </c>
      <c r="BU22" s="60">
        <f>BU$15+BU$16+BU$17+BU$18+BU$19+BU$20+BU$21</f>
        <v/>
      </c>
      <c r="BV22" s="60">
        <f>BV$15+BV$16+BV$17+BV$18+BV$19+BV$20+BV$21</f>
        <v/>
      </c>
      <c r="BW22" s="60">
        <f>BW$15+BW$16+BW$17+BW$18+BW$19+BW$20+BW$21</f>
        <v/>
      </c>
      <c r="BX22" s="60">
        <f>BX$15+BX$16+BX$17+BX$18+BX$19+BX$20+BX$21</f>
        <v/>
      </c>
      <c r="BY22" s="60">
        <f>BY$15+BY$16+BY$17+BY$18+BY$19+BY$20+BY$21</f>
        <v/>
      </c>
      <c r="BZ22" s="60">
        <f>BZ$15+BZ$16+BZ$17+BZ$18+BZ$19+BZ$20+BZ$21</f>
        <v/>
      </c>
      <c r="CA22" s="60">
        <f>CA$15+CA$16+CA$17+CA$18+CA$19+CA$20+CA$21</f>
        <v/>
      </c>
      <c r="CB22" s="60">
        <f>CB$15+CB$16+CB$17+CB$18+CB$19+CB$20+CB$21</f>
        <v/>
      </c>
      <c r="CC22" s="60">
        <f>CC$15+CC$16+CC$17+CC$18+CC$19+CC$20+CC$21</f>
        <v/>
      </c>
      <c r="CD22" s="60">
        <f>CD$15+CD$16+CD$17+CD$18+CD$19+CD$20+CD$21</f>
        <v/>
      </c>
      <c r="CE22" s="60">
        <f>CE$15+CE$16+CE$17+CE$18+CE$19+CE$20+CE$21</f>
        <v/>
      </c>
      <c r="CF22" s="60">
        <f>CF$15+CF$16+CF$17+CF$18+CF$19+CF$20+CF$21</f>
        <v/>
      </c>
      <c r="CG22" s="60">
        <f>CG$15+CG$16+CG$17+CG$18+CG$19+CG$20+CG$21</f>
        <v/>
      </c>
      <c r="CH22" s="60">
        <f>CH$15+CH$16+CH$17+CH$18+CH$19+CH$20+CH$21</f>
        <v/>
      </c>
      <c r="CI22" s="60">
        <f>CI$15+CI$16+CI$17+CI$18+CI$19+CI$20+CI$21</f>
        <v/>
      </c>
      <c r="CJ22" s="60">
        <f>CJ$15+CJ$16+CJ$17+CJ$18+CJ$19+CJ$20+CJ$21</f>
        <v/>
      </c>
      <c r="CK22" s="60">
        <f>CK$15+CK$16+CK$17+CK$18+CK$19+CK$20+CK$21</f>
        <v/>
      </c>
      <c r="CL22" s="60">
        <f>CL$15+CL$16+CL$17+CL$18+CL$19+CL$20+CL$21</f>
        <v/>
      </c>
      <c r="CM22" s="60">
        <f>CM$15+CM$16+CM$17+CM$18+CM$19+CM$20+CM$21</f>
        <v/>
      </c>
      <c r="CN22" s="60">
        <f>CN$15+CN$16+CN$17+CN$18+CN$19+CN$20+CN$21</f>
        <v/>
      </c>
      <c r="CO22" s="60">
        <f>CO$15+CO$16+CO$17+CO$18+CO$19+CO$20+CO$21</f>
        <v/>
      </c>
      <c r="CP22" s="60">
        <f>CP$15+CP$16+CP$17+CP$18+CP$19+CP$20+CP$21</f>
        <v/>
      </c>
      <c r="CQ22" s="60">
        <f>CQ$15+CQ$16+CQ$17+CQ$18+CQ$19+CQ$20+CQ$21</f>
        <v/>
      </c>
      <c r="CR22" s="60">
        <f>CR$15+CR$16+CR$17+CR$18+CR$19+CR$20+CR$21</f>
        <v/>
      </c>
      <c r="CS22" s="60">
        <f>CS$15+CS$16+CS$17+CS$18+CS$19+CS$20+CS$21</f>
        <v/>
      </c>
      <c r="CT22" s="60">
        <f>CT$15+CT$16+CT$17+CT$18+CT$19+CT$20+CT$21</f>
        <v/>
      </c>
      <c r="CU22" s="60">
        <f>CU$15+CU$16+CU$17+CU$18+CU$19+CU$20+CU$21</f>
        <v/>
      </c>
      <c r="CV22" s="60">
        <f>CV$15+CV$16+CV$17+CV$18+CV$19+CV$20+CV$21</f>
        <v/>
      </c>
      <c r="CW22" s="60">
        <f>CW$15+CW$16+CW$17+CW$18+CW$19+CW$20+CW$21</f>
        <v/>
      </c>
      <c r="CX22" s="60">
        <f>CX$15+CX$16+CX$17+CX$18+CX$19+CX$20+CX$21</f>
        <v/>
      </c>
      <c r="CY22" s="60">
        <f>CY$15+CY$16+CY$17+CY$18+CY$19+CY$20+CY$21</f>
        <v/>
      </c>
      <c r="CZ22" s="60">
        <f>CZ$15+CZ$16+CZ$17+CZ$18+CZ$19+CZ$20+CZ$21</f>
        <v/>
      </c>
      <c r="DA22" s="60">
        <f>DA$15+DA$16+DA$17+DA$18+DA$19+DA$20+DA$21</f>
        <v/>
      </c>
      <c r="DB22" s="60">
        <f>DB$15+DB$16+DB$17+DB$18+DB$19+DB$20+DB$21</f>
        <v/>
      </c>
      <c r="DC22" s="60">
        <f>DC$15+DC$16+DC$17+DC$18+DC$19+DC$20+DC$21</f>
        <v/>
      </c>
      <c r="DD22" s="60">
        <f>DD$15+DD$16+DD$17+DD$18+DD$19+DD$20+DD$21</f>
        <v/>
      </c>
      <c r="DE22" s="60">
        <f>DE$15+DE$16+DE$17+DE$18+DE$19+DE$20+DE$21</f>
        <v/>
      </c>
      <c r="DF22" s="60">
        <f>DF$15+DF$16+DF$17+DF$18+DF$19+DF$20+DF$21</f>
        <v/>
      </c>
      <c r="DG22" s="60">
        <f>DG$15+DG$16+DG$17+DG$18+DG$19+DG$20+DG$21</f>
        <v/>
      </c>
      <c r="DH22" s="60">
        <f>DH$15+DH$16+DH$17+DH$18+DH$19+DH$20+DH$21</f>
        <v/>
      </c>
      <c r="DI22" s="60">
        <f>DI$15+DI$16+DI$17+DI$18+DI$19+DI$20+DI$21</f>
        <v/>
      </c>
      <c r="DJ22" s="60">
        <f>DJ$15+DJ$16+DJ$17+DJ$18+DJ$19+DJ$20+DJ$21</f>
        <v/>
      </c>
      <c r="DK22" s="60">
        <f>DK$15+DK$16+DK$17+DK$18+DK$19+DK$20+DK$21</f>
        <v/>
      </c>
      <c r="DL22" s="60">
        <f>DL$15+DL$16+DL$17+DL$18+DL$19+DL$20+DL$21</f>
        <v/>
      </c>
      <c r="DM22" s="60">
        <f>DM$15+DM$16+DM$17+DM$18+DM$19+DM$20+DM$21</f>
        <v/>
      </c>
      <c r="DN22" s="60">
        <f>DN$15+DN$16+DN$17+DN$18+DN$19+DN$20+DN$21</f>
        <v/>
      </c>
      <c r="DO22" s="60">
        <f>DO$15+DO$16+DO$17+DO$18+DO$19+DO$20+DO$21</f>
        <v/>
      </c>
      <c r="DP22" s="60">
        <f>DP$15+DP$16+DP$17+DP$18+DP$19+DP$20+DP$21</f>
        <v/>
      </c>
      <c r="DQ22" s="60">
        <f>DQ$15+DQ$16+DQ$17+DQ$18+DQ$19+DQ$20+DQ$21</f>
        <v/>
      </c>
      <c r="DR22" s="60">
        <f>DR$15+DR$16+DR$17+DR$18+DR$19+DR$20+DR$21</f>
        <v/>
      </c>
      <c r="DS22" s="60">
        <f>DS$15+DS$16+DS$17+DS$18+DS$19+DS$20+DS$21</f>
        <v/>
      </c>
      <c r="DT22" s="60">
        <f>DT$15+DT$16+DT$17+DT$18+DT$19+DT$20+DT$21</f>
        <v/>
      </c>
    </row>
    <row r="23">
      <c r="A23" s="3" t="inlineStr">
        <is>
          <t>Unlevered total cash flow ($/mo)</t>
        </is>
      </c>
      <c r="E23" s="60">
        <f>E$15-(PurchasePrice+PurchasePrice*ClosingCostPct)+E$19+E$20</f>
        <v/>
      </c>
      <c r="F23" s="60">
        <f>F$15+F$19+F$20</f>
        <v/>
      </c>
      <c r="G23" s="60">
        <f>G$15+G$19+G$20</f>
        <v/>
      </c>
      <c r="H23" s="60">
        <f>H$15+H$19+H$20</f>
        <v/>
      </c>
      <c r="I23" s="60">
        <f>I$15+I$19+I$20</f>
        <v/>
      </c>
      <c r="J23" s="60">
        <f>J$15+J$19+J$20</f>
        <v/>
      </c>
      <c r="K23" s="60">
        <f>K$15+K$19+K$20</f>
        <v/>
      </c>
      <c r="L23" s="60">
        <f>L$15+L$19+L$20</f>
        <v/>
      </c>
      <c r="M23" s="60">
        <f>M$15+M$19+M$20</f>
        <v/>
      </c>
      <c r="N23" s="60">
        <f>N$15+N$19+N$20</f>
        <v/>
      </c>
      <c r="O23" s="60">
        <f>O$15+O$19+O$20</f>
        <v/>
      </c>
      <c r="P23" s="60">
        <f>P$15+P$19+P$20</f>
        <v/>
      </c>
      <c r="Q23" s="60">
        <f>Q$15+Q$19+Q$20</f>
        <v/>
      </c>
      <c r="R23" s="60">
        <f>R$15+R$19+R$20</f>
        <v/>
      </c>
      <c r="S23" s="60">
        <f>S$15+S$19+S$20</f>
        <v/>
      </c>
      <c r="T23" s="60">
        <f>T$15+T$19+T$20</f>
        <v/>
      </c>
      <c r="U23" s="60">
        <f>U$15+U$19+U$20</f>
        <v/>
      </c>
      <c r="V23" s="60">
        <f>V$15+V$19+V$20</f>
        <v/>
      </c>
      <c r="W23" s="60">
        <f>W$15+W$19+W$20</f>
        <v/>
      </c>
      <c r="X23" s="60">
        <f>X$15+X$19+X$20</f>
        <v/>
      </c>
      <c r="Y23" s="60">
        <f>Y$15+Y$19+Y$20</f>
        <v/>
      </c>
      <c r="Z23" s="60">
        <f>Z$15+Z$19+Z$20</f>
        <v/>
      </c>
      <c r="AA23" s="60">
        <f>AA$15+AA$19+AA$20</f>
        <v/>
      </c>
      <c r="AB23" s="60">
        <f>AB$15+AB$19+AB$20</f>
        <v/>
      </c>
      <c r="AC23" s="60">
        <f>AC$15+AC$19+AC$20</f>
        <v/>
      </c>
      <c r="AD23" s="60">
        <f>AD$15+AD$19+AD$20</f>
        <v/>
      </c>
      <c r="AE23" s="60">
        <f>AE$15+AE$19+AE$20</f>
        <v/>
      </c>
      <c r="AF23" s="60">
        <f>AF$15+AF$19+AF$20</f>
        <v/>
      </c>
      <c r="AG23" s="60">
        <f>AG$15+AG$19+AG$20</f>
        <v/>
      </c>
      <c r="AH23" s="60">
        <f>AH$15+AH$19+AH$20</f>
        <v/>
      </c>
      <c r="AI23" s="60">
        <f>AI$15+AI$19+AI$20</f>
        <v/>
      </c>
      <c r="AJ23" s="60">
        <f>AJ$15+AJ$19+AJ$20</f>
        <v/>
      </c>
      <c r="AK23" s="60">
        <f>AK$15+AK$19+AK$20</f>
        <v/>
      </c>
      <c r="AL23" s="60">
        <f>AL$15+AL$19+AL$20</f>
        <v/>
      </c>
      <c r="AM23" s="60">
        <f>AM$15+AM$19+AM$20</f>
        <v/>
      </c>
      <c r="AN23" s="60">
        <f>AN$15+AN$19+AN$20</f>
        <v/>
      </c>
      <c r="AO23" s="60">
        <f>AO$15+AO$19+AO$20</f>
        <v/>
      </c>
      <c r="AP23" s="60">
        <f>AP$15+AP$19+AP$20</f>
        <v/>
      </c>
      <c r="AQ23" s="60">
        <f>AQ$15+AQ$19+AQ$20</f>
        <v/>
      </c>
      <c r="AR23" s="60">
        <f>AR$15+AR$19+AR$20</f>
        <v/>
      </c>
      <c r="AS23" s="60">
        <f>AS$15+AS$19+AS$20</f>
        <v/>
      </c>
      <c r="AT23" s="60">
        <f>AT$15+AT$19+AT$20</f>
        <v/>
      </c>
      <c r="AU23" s="60">
        <f>AU$15+AU$19+AU$20</f>
        <v/>
      </c>
      <c r="AV23" s="60">
        <f>AV$15+AV$19+AV$20</f>
        <v/>
      </c>
      <c r="AW23" s="60">
        <f>AW$15+AW$19+AW$20</f>
        <v/>
      </c>
      <c r="AX23" s="60">
        <f>AX$15+AX$19+AX$20</f>
        <v/>
      </c>
      <c r="AY23" s="60">
        <f>AY$15+AY$19+AY$20</f>
        <v/>
      </c>
      <c r="AZ23" s="60">
        <f>AZ$15+AZ$19+AZ$20</f>
        <v/>
      </c>
      <c r="BA23" s="60">
        <f>BA$15+BA$19+BA$20</f>
        <v/>
      </c>
      <c r="BB23" s="60">
        <f>BB$15+BB$19+BB$20</f>
        <v/>
      </c>
      <c r="BC23" s="60">
        <f>BC$15+BC$19+BC$20</f>
        <v/>
      </c>
      <c r="BD23" s="60">
        <f>BD$15+BD$19+BD$20</f>
        <v/>
      </c>
      <c r="BE23" s="60">
        <f>BE$15+BE$19+BE$20</f>
        <v/>
      </c>
      <c r="BF23" s="60">
        <f>BF$15+BF$19+BF$20</f>
        <v/>
      </c>
      <c r="BG23" s="60">
        <f>BG$15+BG$19+BG$20</f>
        <v/>
      </c>
      <c r="BH23" s="60">
        <f>BH$15+BH$19+BH$20</f>
        <v/>
      </c>
      <c r="BI23" s="60">
        <f>BI$15+BI$19+BI$20</f>
        <v/>
      </c>
      <c r="BJ23" s="60">
        <f>BJ$15+BJ$19+BJ$20</f>
        <v/>
      </c>
      <c r="BK23" s="60">
        <f>BK$15+BK$19+BK$20</f>
        <v/>
      </c>
      <c r="BL23" s="60">
        <f>BL$15+BL$19+BL$20</f>
        <v/>
      </c>
      <c r="BM23" s="60">
        <f>BM$15+BM$19+BM$20</f>
        <v/>
      </c>
      <c r="BN23" s="60">
        <f>BN$15+BN$19+BN$20</f>
        <v/>
      </c>
      <c r="BO23" s="60">
        <f>BO$15+BO$19+BO$20</f>
        <v/>
      </c>
      <c r="BP23" s="60">
        <f>BP$15+BP$19+BP$20</f>
        <v/>
      </c>
      <c r="BQ23" s="60">
        <f>BQ$15+BQ$19+BQ$20</f>
        <v/>
      </c>
      <c r="BR23" s="60">
        <f>BR$15+BR$19+BR$20</f>
        <v/>
      </c>
      <c r="BS23" s="60">
        <f>BS$15+BS$19+BS$20</f>
        <v/>
      </c>
      <c r="BT23" s="60">
        <f>BT$15+BT$19+BT$20</f>
        <v/>
      </c>
      <c r="BU23" s="60">
        <f>BU$15+BU$19+BU$20</f>
        <v/>
      </c>
      <c r="BV23" s="60">
        <f>BV$15+BV$19+BV$20</f>
        <v/>
      </c>
      <c r="BW23" s="60">
        <f>BW$15+BW$19+BW$20</f>
        <v/>
      </c>
      <c r="BX23" s="60">
        <f>BX$15+BX$19+BX$20</f>
        <v/>
      </c>
      <c r="BY23" s="60">
        <f>BY$15+BY$19+BY$20</f>
        <v/>
      </c>
      <c r="BZ23" s="60">
        <f>BZ$15+BZ$19+BZ$20</f>
        <v/>
      </c>
      <c r="CA23" s="60">
        <f>CA$15+CA$19+CA$20</f>
        <v/>
      </c>
      <c r="CB23" s="60">
        <f>CB$15+CB$19+CB$20</f>
        <v/>
      </c>
      <c r="CC23" s="60">
        <f>CC$15+CC$19+CC$20</f>
        <v/>
      </c>
      <c r="CD23" s="60">
        <f>CD$15+CD$19+CD$20</f>
        <v/>
      </c>
      <c r="CE23" s="60">
        <f>CE$15+CE$19+CE$20</f>
        <v/>
      </c>
      <c r="CF23" s="60">
        <f>CF$15+CF$19+CF$20</f>
        <v/>
      </c>
      <c r="CG23" s="60">
        <f>CG$15+CG$19+CG$20</f>
        <v/>
      </c>
      <c r="CH23" s="60">
        <f>CH$15+CH$19+CH$20</f>
        <v/>
      </c>
      <c r="CI23" s="60">
        <f>CI$15+CI$19+CI$20</f>
        <v/>
      </c>
      <c r="CJ23" s="60">
        <f>CJ$15+CJ$19+CJ$20</f>
        <v/>
      </c>
      <c r="CK23" s="60">
        <f>CK$15+CK$19+CK$20</f>
        <v/>
      </c>
      <c r="CL23" s="60">
        <f>CL$15+CL$19+CL$20</f>
        <v/>
      </c>
      <c r="CM23" s="60">
        <f>CM$15+CM$19+CM$20</f>
        <v/>
      </c>
      <c r="CN23" s="60">
        <f>CN$15+CN$19+CN$20</f>
        <v/>
      </c>
      <c r="CO23" s="60">
        <f>CO$15+CO$19+CO$20</f>
        <v/>
      </c>
      <c r="CP23" s="60">
        <f>CP$15+CP$19+CP$20</f>
        <v/>
      </c>
      <c r="CQ23" s="60">
        <f>CQ$15+CQ$19+CQ$20</f>
        <v/>
      </c>
      <c r="CR23" s="60">
        <f>CR$15+CR$19+CR$20</f>
        <v/>
      </c>
      <c r="CS23" s="60">
        <f>CS$15+CS$19+CS$20</f>
        <v/>
      </c>
      <c r="CT23" s="60">
        <f>CT$15+CT$19+CT$20</f>
        <v/>
      </c>
      <c r="CU23" s="60">
        <f>CU$15+CU$19+CU$20</f>
        <v/>
      </c>
      <c r="CV23" s="60">
        <f>CV$15+CV$19+CV$20</f>
        <v/>
      </c>
      <c r="CW23" s="60">
        <f>CW$15+CW$19+CW$20</f>
        <v/>
      </c>
      <c r="CX23" s="60">
        <f>CX$15+CX$19+CX$20</f>
        <v/>
      </c>
      <c r="CY23" s="60">
        <f>CY$15+CY$19+CY$20</f>
        <v/>
      </c>
      <c r="CZ23" s="60">
        <f>CZ$15+CZ$19+CZ$20</f>
        <v/>
      </c>
      <c r="DA23" s="60">
        <f>DA$15+DA$19+DA$20</f>
        <v/>
      </c>
      <c r="DB23" s="60">
        <f>DB$15+DB$19+DB$20</f>
        <v/>
      </c>
      <c r="DC23" s="60">
        <f>DC$15+DC$19+DC$20</f>
        <v/>
      </c>
      <c r="DD23" s="60">
        <f>DD$15+DD$19+DD$20</f>
        <v/>
      </c>
      <c r="DE23" s="60">
        <f>DE$15+DE$19+DE$20</f>
        <v/>
      </c>
      <c r="DF23" s="60">
        <f>DF$15+DF$19+DF$20</f>
        <v/>
      </c>
      <c r="DG23" s="60">
        <f>DG$15+DG$19+DG$20</f>
        <v/>
      </c>
      <c r="DH23" s="60">
        <f>DH$15+DH$19+DH$20</f>
        <v/>
      </c>
      <c r="DI23" s="60">
        <f>DI$15+DI$19+DI$20</f>
        <v/>
      </c>
      <c r="DJ23" s="60">
        <f>DJ$15+DJ$19+DJ$20</f>
        <v/>
      </c>
      <c r="DK23" s="60">
        <f>DK$15+DK$19+DK$20</f>
        <v/>
      </c>
      <c r="DL23" s="60">
        <f>DL$15+DL$19+DL$20</f>
        <v/>
      </c>
      <c r="DM23" s="60">
        <f>DM$15+DM$19+DM$20</f>
        <v/>
      </c>
      <c r="DN23" s="60">
        <f>DN$15+DN$19+DN$20</f>
        <v/>
      </c>
      <c r="DO23" s="60">
        <f>DO$15+DO$19+DO$20</f>
        <v/>
      </c>
      <c r="DP23" s="60">
        <f>DP$15+DP$19+DP$20</f>
        <v/>
      </c>
      <c r="DQ23" s="60">
        <f>DQ$15+DQ$19+DQ$20</f>
        <v/>
      </c>
      <c r="DR23" s="60">
        <f>DR$15+DR$19+DR$20</f>
        <v/>
      </c>
      <c r="DS23" s="60">
        <f>DS$15+DS$19+DS$20</f>
        <v/>
      </c>
      <c r="DT23" s="60">
        <f>DT$15+DT$19+DT$20</f>
        <v/>
      </c>
    </row>
    <row r="26">
      <c r="A26" s="8" t="inlineStr">
        <is>
          <t>ANNUAL ROLL-UP (hold-year basis)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Hold year</t>
        </is>
      </c>
      <c r="E27" s="31" t="n">
        <v>1</v>
      </c>
      <c r="F27" s="31" t="n">
        <v>2</v>
      </c>
      <c r="G27" s="31" t="n">
        <v>3</v>
      </c>
      <c r="H27" s="31" t="n">
        <v>4</v>
      </c>
      <c r="I27" s="31" t="n">
        <v>5</v>
      </c>
      <c r="J27" s="31" t="n">
        <v>6</v>
      </c>
      <c r="K27" s="31" t="n">
        <v>7</v>
      </c>
      <c r="L27" s="31" t="n">
        <v>8</v>
      </c>
      <c r="M27" s="31" t="n">
        <v>9</v>
      </c>
      <c r="N27" s="31" t="n">
        <v>10</v>
      </c>
    </row>
    <row r="28">
      <c r="A28" s="10" t="inlineStr">
        <is>
          <t>NOI</t>
        </is>
      </c>
      <c r="E28" s="50">
        <f>SUMIF(Assumptions!F$75:Q$75,1,F$12:Q$12)</f>
        <v/>
      </c>
      <c r="F28" s="50">
        <f>SUMIF(Assumptions!R$75:AC$75,2,R$12:AC$12)</f>
        <v/>
      </c>
      <c r="G28" s="50">
        <f>SUMIF(Assumptions!AD$75:AO$75,3,AD$12:AO$12)</f>
        <v/>
      </c>
      <c r="H28" s="50">
        <f>SUMIF(Assumptions!AP$75:BA$75,4,AP$12:BA$12)</f>
        <v/>
      </c>
      <c r="I28" s="50">
        <f>SUMIF(Assumptions!BB$75:BM$75,5,BB$12:BM$12)</f>
        <v/>
      </c>
      <c r="J28" s="50">
        <f>SUMIF(Assumptions!BN$75:BY$75,6,BN$12:BY$12)</f>
        <v/>
      </c>
      <c r="K28" s="50">
        <f>SUMIF(Assumptions!BZ$75:CK$75,7,BZ$12:CK$12)</f>
        <v/>
      </c>
      <c r="L28" s="50">
        <f>SUMIF(Assumptions!CL$75:CW$75,8,CL$12:CW$12)</f>
        <v/>
      </c>
      <c r="M28" s="50">
        <f>SUMIF(Assumptions!CX$75:DI$75,9,CX$12:DI$12)</f>
        <v/>
      </c>
      <c r="N28" s="50">
        <f>SUMIF(Assumptions!DJ$75:DU$75,10,DJ$12:DU$12)</f>
        <v/>
      </c>
    </row>
    <row r="29">
      <c r="A29" s="10" t="inlineStr">
        <is>
          <t>Unlevered CF</t>
        </is>
      </c>
      <c r="E29" s="50">
        <f>SUMIF(Assumptions!F$75:Q$75,1,F$23:Q$23)</f>
        <v/>
      </c>
      <c r="F29" s="50">
        <f>SUMIF(Assumptions!R$75:AC$75,2,R$23:AC$23)</f>
        <v/>
      </c>
      <c r="G29" s="50">
        <f>SUMIF(Assumptions!AD$75:AO$75,3,AD$23:AO$23)</f>
        <v/>
      </c>
      <c r="H29" s="50">
        <f>SUMIF(Assumptions!AP$75:BA$75,4,AP$23:BA$23)</f>
        <v/>
      </c>
      <c r="I29" s="50">
        <f>SUMIF(Assumptions!BB$75:BM$75,5,BB$23:BM$23)</f>
        <v/>
      </c>
      <c r="J29" s="50">
        <f>SUMIF(Assumptions!BN$75:BY$75,6,BN$23:BY$23)</f>
        <v/>
      </c>
      <c r="K29" s="50">
        <f>SUMIF(Assumptions!BZ$75:CK$75,7,BZ$23:CK$23)</f>
        <v/>
      </c>
      <c r="L29" s="50">
        <f>SUMIF(Assumptions!CL$75:CW$75,8,CL$23:CW$23)</f>
        <v/>
      </c>
      <c r="M29" s="50">
        <f>SUMIF(Assumptions!CX$75:DI$75,9,CX$23:DI$23)</f>
        <v/>
      </c>
      <c r="N29" s="50">
        <f>SUMIF(Assumptions!DJ$75:DU$75,10,DJ$23:DU$23)</f>
        <v/>
      </c>
    </row>
    <row r="30">
      <c r="A30" s="10" t="inlineStr">
        <is>
          <t>Levered CF</t>
        </is>
      </c>
      <c r="E30" s="50">
        <f>SUMIF(Assumptions!F$75:Q$75,1,F$22:Q$22)</f>
        <v/>
      </c>
      <c r="F30" s="50">
        <f>SUMIF(Assumptions!R$75:AC$75,2,R$22:AC$22)</f>
        <v/>
      </c>
      <c r="G30" s="50">
        <f>SUMIF(Assumptions!AD$75:AO$75,3,AD$22:AO$22)</f>
        <v/>
      </c>
      <c r="H30" s="50">
        <f>SUMIF(Assumptions!AP$75:BA$75,4,AP$22:BA$22)</f>
        <v/>
      </c>
      <c r="I30" s="50">
        <f>SUMIF(Assumptions!BB$75:BM$75,5,BB$22:BM$22)</f>
        <v/>
      </c>
      <c r="J30" s="50">
        <f>SUMIF(Assumptions!BN$75:BY$75,6,BN$22:BY$22)</f>
        <v/>
      </c>
      <c r="K30" s="50">
        <f>SUMIF(Assumptions!BZ$75:CK$75,7,BZ$22:CK$22)</f>
        <v/>
      </c>
      <c r="L30" s="50">
        <f>SUMIF(Assumptions!CL$75:CW$75,8,CL$22:CW$22)</f>
        <v/>
      </c>
      <c r="M30" s="50">
        <f>SUMIF(Assumptions!CX$75:DI$75,9,CX$22:DI$22)</f>
        <v/>
      </c>
      <c r="N30" s="50">
        <f>SUMIF(Assumptions!DJ$75:DU$75,10,DJ$22:DU$22)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4" t="n">
        <v>0.9</v>
      </c>
    </row>
    <row r="7">
      <c r="A7" s="10" t="inlineStr">
        <is>
          <t>GP capital split (%)</t>
        </is>
      </c>
      <c r="B7" s="63">
        <f>1-LP_Split</f>
        <v/>
      </c>
    </row>
    <row r="8">
      <c r="A8" s="10" t="inlineStr">
        <is>
          <t>GP co-invest (% of GP share)</t>
        </is>
      </c>
      <c r="B8" s="54" t="n">
        <v>1</v>
      </c>
    </row>
    <row r="9">
      <c r="A9" s="10" t="inlineStr">
        <is>
          <t>Preferred return (%, compounded)</t>
        </is>
      </c>
      <c r="B9" s="54" t="n">
        <v>0.08</v>
      </c>
    </row>
    <row r="10">
      <c r="A10" s="10" t="inlineStr">
        <is>
          <t>GP catch-up (%)</t>
        </is>
      </c>
      <c r="B10" s="54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4" t="n">
        <v>0.08</v>
      </c>
      <c r="B15" s="54" t="n">
        <v>0.9</v>
      </c>
      <c r="C15" s="54" t="n">
        <v>0.1</v>
      </c>
    </row>
    <row r="16">
      <c r="A16" s="54" t="n">
        <v>0.12</v>
      </c>
      <c r="B16" s="54" t="n">
        <v>0.8</v>
      </c>
      <c r="C16" s="54" t="n">
        <v>0.2</v>
      </c>
    </row>
    <row r="17">
      <c r="A17" s="54" t="n">
        <v>0.15</v>
      </c>
      <c r="B17" s="54" t="n">
        <v>0.7</v>
      </c>
      <c r="C17" s="54" t="n">
        <v>0.3</v>
      </c>
    </row>
    <row r="18">
      <c r="A18" s="54" t="n">
        <v>9.99</v>
      </c>
      <c r="B18" s="54" t="n">
        <v>0.6</v>
      </c>
      <c r="C18" s="54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4" t="n">
        <v>0.01</v>
      </c>
    </row>
    <row r="22">
      <c r="A22" s="10" t="inlineStr">
        <is>
          <t>AM fee rate (%)</t>
        </is>
      </c>
      <c r="B22" s="54" t="n">
        <v>0.0125</v>
      </c>
    </row>
    <row r="23">
      <c r="A23" s="10" t="inlineStr">
        <is>
          <t>Disposition fee (% of sale)</t>
        </is>
      </c>
      <c r="B23" s="54" t="n">
        <v>0.01</v>
      </c>
    </row>
    <row r="24">
      <c r="A24" s="10" t="inlineStr">
        <is>
          <t>Acquisition fee ($)</t>
        </is>
      </c>
      <c r="B24" s="50">
        <f>IF(AcqFeeOn="On",PurchasePrice*AcqFeePct,0)</f>
        <v/>
      </c>
    </row>
    <row r="25">
      <c r="A25" s="10" t="inlineStr">
        <is>
          <t>Disposition fee ($)</t>
        </is>
      </c>
      <c r="B25" s="50">
        <f>IF(DispFeeOn="On",ExitGrossValue*DispFeePct,0)</f>
        <v/>
      </c>
    </row>
    <row r="26">
      <c r="A26" s="10" t="inlineStr">
        <is>
          <t>AM fee basis amount ($/yr)</t>
        </is>
      </c>
      <c r="B26" s="50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0">
        <f>IF(AMFeeOn="On",AMFeeBaseAmt*AMFeeRate,0)</f>
        <v/>
      </c>
    </row>
    <row r="29">
      <c r="A29" s="8" t="inlineStr">
        <is>
          <t>Distribution results (LP / GP)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48">
        <f>SUM('Monthly CF'!E$22:DT$22)+SUM(Debt!E$51:DT$51)</f>
        <v/>
      </c>
    </row>
    <row r="31">
      <c r="A31" s="10" t="inlineStr">
        <is>
          <t>Total profit (CF + initial equity) ($)</t>
        </is>
      </c>
      <c r="B31" s="50">
        <f>TotalLeveredCF</f>
        <v/>
      </c>
    </row>
    <row r="32">
      <c r="A32" s="10" t="inlineStr">
        <is>
          <t>Project levered IRR (%)</t>
        </is>
      </c>
      <c r="B32" s="21">
        <f>XIRR('Monthly CF'!E$22:DT$22,'Monthly CF'!E$6:DT$6)</f>
        <v/>
      </c>
    </row>
    <row r="33">
      <c r="A33" s="10" t="inlineStr">
        <is>
          <t>Equity multiple (x)</t>
        </is>
      </c>
      <c r="B33" s="51">
        <f>SUMIF('Monthly CF'!E$22:DT$22,"&gt;0")/MAX(1,-SUMIF('Monthly CF'!E$22:DT$22,"&lt;0"))</f>
        <v/>
      </c>
    </row>
    <row r="34">
      <c r="A34" s="10" t="inlineStr">
        <is>
          <t>GP carry % (by IRR tier)</t>
        </is>
      </c>
      <c r="B34" s="63">
        <f>IF(LP_Present="No",0,IFERROR(INDEX(CarryTiers,MATCH(LeveredIRR,INDEX(CarryTiers,0,1),1)+1,3),INDEX(CarryTiers,1,3)))</f>
        <v/>
      </c>
    </row>
    <row r="35">
      <c r="A35" s="10" t="inlineStr">
        <is>
          <t>Distributable profit (&gt;0) ($)</t>
        </is>
      </c>
      <c r="B35" s="50">
        <f>MAX(0,TotalLeveredCF)</f>
        <v/>
      </c>
    </row>
    <row r="36">
      <c r="A36" s="10" t="inlineStr">
        <is>
          <t>GP promote ($) [carry on LP profit share]</t>
        </is>
      </c>
      <c r="B36" s="50">
        <f>IF(LP_Present="No",0,DistributableProfit*LP_Split*GPCarryPct*(1+IF(GPCatchUpOn="On",CatchUpPct,0)))</f>
        <v/>
      </c>
    </row>
    <row r="37">
      <c r="A37" s="10" t="inlineStr">
        <is>
          <t>LP distribution ($)</t>
        </is>
      </c>
      <c r="B37" s="50">
        <f>IF(LP_Present="No",0,TotalLeveredCF*LP_Split-GPPromote)</f>
        <v/>
      </c>
    </row>
    <row r="38">
      <c r="A38" s="10" t="inlineStr">
        <is>
          <t>GP distribution ($)</t>
        </is>
      </c>
      <c r="B38" s="50">
        <f>IF(LP_Present="No",TotalLeveredCF,TotalLeveredCF*GP_Split+GPPromote)</f>
        <v/>
      </c>
    </row>
    <row r="39">
      <c r="A39" s="10" t="inlineStr">
        <is>
          <t>Sponsor / single-sponsor levered return (%)</t>
        </is>
      </c>
      <c r="B39" s="35">
        <f>LeveredIRR</f>
        <v/>
      </c>
    </row>
    <row r="40">
      <c r="A40" s="10" t="inlineStr">
        <is>
          <t>Check: LP+GP = total levered CF</t>
        </is>
      </c>
      <c r="B40" s="50">
        <f>IF(LP_Present="No",GPDist,LPDist+GPDist)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1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4" t="n">
        <v>0.02</v>
      </c>
      <c r="C10" s="64" t="n">
        <v>0.03</v>
      </c>
      <c r="D10" s="64" t="n">
        <v>0.04</v>
      </c>
      <c r="E10" s="64" t="n">
        <v>0.05</v>
      </c>
      <c r="F10" s="64" t="n">
        <v>0.06</v>
      </c>
    </row>
    <row r="11">
      <c r="A11" s="27" t="n">
        <v>0.045</v>
      </c>
      <c r="B11" s="10" t="inlineStr"/>
      <c r="C11" s="10" t="inlineStr"/>
      <c r="D11" s="10" t="inlineStr"/>
      <c r="E11" s="10" t="inlineStr"/>
      <c r="F11" s="10" t="inlineStr"/>
    </row>
    <row r="12">
      <c r="A12" s="27" t="n">
        <v>0.05</v>
      </c>
      <c r="B12" s="10" t="inlineStr"/>
      <c r="C12" s="10" t="inlineStr"/>
      <c r="D12" s="10" t="inlineStr"/>
      <c r="E12" s="10" t="inlineStr"/>
      <c r="F12" s="10" t="inlineStr"/>
    </row>
    <row r="13">
      <c r="A13" s="27" t="n">
        <v>0.055</v>
      </c>
      <c r="B13" s="10" t="inlineStr"/>
      <c r="C13" s="10" t="inlineStr"/>
      <c r="D13" s="10" t="inlineStr"/>
      <c r="E13" s="10" t="inlineStr"/>
      <c r="F13" s="10" t="inlineStr"/>
    </row>
    <row r="14">
      <c r="A14" s="27" t="n">
        <v>0.06</v>
      </c>
      <c r="B14" s="10" t="inlineStr"/>
      <c r="C14" s="10" t="inlineStr"/>
      <c r="D14" s="10" t="inlineStr"/>
      <c r="E14" s="10" t="inlineStr"/>
      <c r="F14" s="10" t="inlineStr"/>
    </row>
    <row r="15">
      <c r="A15" s="27" t="n">
        <v>0.065</v>
      </c>
      <c r="B15" s="10" t="inlineStr"/>
      <c r="C15" s="10" t="inlineStr"/>
      <c r="D15" s="10" t="inlineStr"/>
      <c r="E15" s="10" t="inlineStr"/>
      <c r="F15" s="10" t="inlineStr"/>
    </row>
    <row r="17">
      <c r="A17" s="16" t="inlineStr">
        <is>
          <t>Row input cell -&gt; ExitCapBlended ; Column input cell -&gt; Vec_MFRent Y1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4" t="n">
        <v>0.045</v>
      </c>
      <c r="C20" s="44" t="n">
        <v>0.05</v>
      </c>
      <c r="D20" s="44" t="n">
        <v>0.055</v>
      </c>
      <c r="E20" s="44" t="n">
        <v>0.06</v>
      </c>
      <c r="F20" s="44" t="n">
        <v>0.065</v>
      </c>
    </row>
    <row r="21">
      <c r="A21" s="53" t="n">
        <v>55000000</v>
      </c>
    </row>
    <row r="22">
      <c r="A22" s="53" t="n">
        <v>58000000</v>
      </c>
    </row>
    <row r="23">
      <c r="A23" s="53" t="n">
        <v>62000000</v>
      </c>
    </row>
    <row r="24">
      <c r="A24" s="53" t="n">
        <v>66000000</v>
      </c>
    </row>
    <row r="25">
      <c r="A25" s="53" t="n">
        <v>70000000</v>
      </c>
    </row>
    <row r="27">
      <c r="A27" s="16" t="inlineStr">
        <is>
          <t>Row input -&gt; InputPrice ; Column input -&gt; ExitCapBlended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1">
        <f>Sens_EM</f>
        <v/>
      </c>
    </row>
    <row r="31">
      <c r="A31" s="33">
        <f>EDATE(DispositionDate,-24)</f>
        <v/>
      </c>
    </row>
    <row r="32">
      <c r="A32" s="33">
        <f>EDATE(DispositionDate,-12)</f>
        <v/>
      </c>
    </row>
    <row r="33">
      <c r="A33" s="33">
        <f>EDATE(DispositionDate,0)</f>
        <v/>
      </c>
    </row>
    <row r="34">
      <c r="A34" s="33">
        <f>EDATE(DispositionDate,12)</f>
        <v/>
      </c>
    </row>
    <row r="35">
      <c r="A35" s="33">
        <f>EDATE(DispositionDate,24)</f>
        <v/>
      </c>
    </row>
    <row r="37">
      <c r="A37" s="16" t="inlineStr">
        <is>
          <t>Column input -&gt; DispositionDate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48">
        <f>PurchasePrice</f>
        <v/>
      </c>
      <c r="C8" s="10" t="inlineStr">
        <is>
          <t>$/unit</t>
        </is>
      </c>
      <c r="D8" s="48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48">
        <f>LoanAmount</f>
        <v/>
      </c>
      <c r="C12" s="10" t="inlineStr">
        <is>
          <t>Equity</t>
        </is>
      </c>
      <c r="D12" s="48">
        <f>InitialEquity</f>
        <v/>
      </c>
    </row>
    <row r="13">
      <c r="A13" s="10" t="inlineStr">
        <is>
          <t>Total cost</t>
        </is>
      </c>
      <c r="B13" s="48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1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2">
        <f>DevSpread</f>
        <v/>
      </c>
    </row>
    <row r="20">
      <c r="A20" s="8" t="inlineStr">
        <is>
          <t>Debt terms</t>
        </is>
      </c>
      <c r="B20" s="9" t="n"/>
      <c r="C20" s="9" t="n"/>
      <c r="D20" s="9" t="n"/>
    </row>
    <row r="21">
      <c r="A21" s="10" t="inlineStr">
        <is>
          <t>Loan rate</t>
        </is>
      </c>
      <c r="B21" s="21">
        <f>LoanRate</f>
        <v/>
      </c>
      <c r="C21" s="10" t="inlineStr">
        <is>
          <t>Amort (yrs)</t>
        </is>
      </c>
      <c r="D21" s="6">
        <f>AmortYears</f>
        <v/>
      </c>
    </row>
    <row r="22">
      <c r="A22" s="10" t="inlineStr">
        <is>
          <t>IO (mo)</t>
        </is>
      </c>
      <c r="B22" s="65">
        <f>IOMonths</f>
        <v/>
      </c>
      <c r="C22" s="10" t="inlineStr">
        <is>
          <t>Refi</t>
        </is>
      </c>
      <c r="D22" s="4">
        <f>RefiOn</f>
        <v/>
      </c>
    </row>
    <row r="24">
      <c r="A24" s="8" t="inlineStr">
        <is>
          <t>Key assumptions / risks</t>
        </is>
      </c>
      <c r="B24" s="9" t="n"/>
      <c r="C24" s="9" t="n"/>
      <c r="D24" s="9" t="n"/>
    </row>
    <row r="25">
      <c r="A25" s="10" t="inlineStr">
        <is>
          <t>Exit NOI basis</t>
        </is>
      </c>
      <c r="B25" s="4">
        <f>ExitNOIBasis</f>
        <v/>
      </c>
    </row>
    <row r="26">
      <c r="A26" s="10" t="inlineStr">
        <is>
          <t>Tax method</t>
        </is>
      </c>
      <c r="B26" s="4">
        <f>TaxMethod</f>
        <v/>
      </c>
    </row>
    <row r="27">
      <c r="A27" s="10" t="inlineStr">
        <is>
          <t>LP present</t>
        </is>
      </c>
      <c r="B27" s="4">
        <f>LP_Present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2026-06-16T01:06:59Z</dcterms:created>
  <dcterms:modified xsi:type="dcterms:W3CDTF">2026-06-16T01:07:01Z</dcterms:modified>
</cp:coreProperties>
</file>