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">'Summary'!$A$1:$D$60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0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  <numFmt numFmtId="173" formatCode="$#,##0"/>
  </numFmts>
  <fonts count="11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  <font>
      <color rgb="FF7030A0"/>
    </font>
    <font>
      <b val="1"/>
      <color rgb="FF7030A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0" fontId="9" fillId="0" borderId="0" pivotButton="0" quotePrefix="0" xfId="0"/>
    <xf numFmtId="169" fontId="9" fillId="0" borderId="0" pivotButton="0" quotePrefix="0" xfId="0"/>
    <xf numFmtId="0" fontId="10" fillId="0" borderId="0" pivotButton="0" quotePrefix="0" xfId="0"/>
    <xf numFmtId="0" fontId="10" fillId="6" borderId="0" applyAlignment="1" pivotButton="0" quotePrefix="0" xfId="0">
      <alignment horizontal="center" wrapText="1"/>
    </xf>
    <xf numFmtId="173" fontId="9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(YEAR(DispositionDate)-YEAR(AcquisitionDate))*12+MONTH(DispositionDate)-MONTH(AcquisitionDate)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conditionalFormatting sqref="B46">
    <cfRule type="expression" priority="1" dxfId="0">
      <formula>ISNUMBER(SEARCH("OK",$B$46))</formula>
    </cfRule>
    <cfRule type="expression" priority="2" dxfId="1">
      <formula>NOT(ISNUMBER(SEARCH("OK",$B$46)))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conditionalFormatting sqref="B3">
    <cfRule type="expression" priority="1" dxfId="0">
      <formula>$B$3</formula>
    </cfRule>
    <cfRule type="expression" priority="2" dxfId="1">
      <formula>NOT($B$3)</formula>
    </cfRule>
  </conditionalFormatting>
  <conditionalFormatting sqref="B48">
    <cfRule type="expression" priority="3" dxfId="0">
      <formula>$B$48</formula>
    </cfRule>
    <cfRule type="expression" priority="4" dxfId="1">
      <formula>NOT($B$48)</formula>
    </cfRule>
  </conditionalFormatting>
  <conditionalFormatting sqref="B49">
    <cfRule type="expression" priority="5" dxfId="0">
      <formula>$B$49</formula>
    </cfRule>
    <cfRule type="expression" priority="6" dxfId="1">
      <formula>NOT($B$49)</formula>
    </cfRule>
  </conditionalFormatting>
  <conditionalFormatting sqref="B50">
    <cfRule type="expression" priority="7" dxfId="0">
      <formula>$B$50</formula>
    </cfRule>
    <cfRule type="expression" priority="8" dxfId="1">
      <formula>NOT($B$50)</formula>
    </cfRule>
  </conditionalFormatting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46075590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SUMIFS('Monthly CF'!E$12:DT$12,Assumptions!E$72:DT$72,"&gt;"&amp;(HoldMonths-12),Assumptions!E$72:DT$72,"&lt;="&amp;HoldMonths)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by EGI)</t>
        </is>
      </c>
      <c r="B83" s="60">
        <f>SUMIFS('Monthly CF'!E$7:DT$7,Assumptions!E$72:DT$72,"&gt;"&amp;(HoldMonths-12),Assumptions!E$72:DT$72,"&lt;="&amp;HoldMonths)/MAX(1,SUMIFS('Monthly CF'!E$7:DT$7,Assumptions!E$72:DT$72,"&gt;"&amp;(HoldMonths-12),Assumptions!E$72:DT$72,"&lt;="&amp;HoldMonths)+SUMIFS('Monthly CF'!E$8:DT$8,Assumptions!E$72:DT$72,"&gt;"&amp;(HoldMonths-12),Assumptions!E$72:DT$72,"&lt;="&amp;HoldMonths))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(E$102*INDEX(Cum_MFRent,1,Assumptions!E$77)+E$100*RenoPremium)*Assumptions!E$74</f>
        <v/>
      </c>
      <c r="F103" s="52">
        <f>(F$102*INDEX(Cum_MFRent,1,Assumptions!F$77)+F$100*RenoPremium)*Assumptions!F$74</f>
        <v/>
      </c>
      <c r="G103" s="52">
        <f>(G$102*INDEX(Cum_MFRent,1,Assumptions!G$77)+G$100*RenoPremium)*Assumptions!G$74</f>
        <v/>
      </c>
      <c r="H103" s="52">
        <f>(H$102*INDEX(Cum_MFRent,1,Assumptions!H$77)+H$100*RenoPremium)*Assumptions!H$74</f>
        <v/>
      </c>
      <c r="I103" s="52">
        <f>(I$102*INDEX(Cum_MFRent,1,Assumptions!I$77)+I$100*RenoPremium)*Assumptions!I$74</f>
        <v/>
      </c>
      <c r="J103" s="52">
        <f>(J$102*INDEX(Cum_MFRent,1,Assumptions!J$77)+J$100*RenoPremium)*Assumptions!J$74</f>
        <v/>
      </c>
      <c r="K103" s="52">
        <f>(K$102*INDEX(Cum_MFRent,1,Assumptions!K$77)+K$100*RenoPremium)*Assumptions!K$74</f>
        <v/>
      </c>
      <c r="L103" s="52">
        <f>(L$102*INDEX(Cum_MFRent,1,Assumptions!L$77)+L$100*RenoPremium)*Assumptions!L$74</f>
        <v/>
      </c>
      <c r="M103" s="52">
        <f>(M$102*INDEX(Cum_MFRent,1,Assumptions!M$77)+M$100*RenoPremium)*Assumptions!M$74</f>
        <v/>
      </c>
      <c r="N103" s="52">
        <f>(N$102*INDEX(Cum_MFRent,1,Assumptions!N$77)+N$100*RenoPremium)*Assumptions!N$74</f>
        <v/>
      </c>
      <c r="O103" s="52">
        <f>(O$102*INDEX(Cum_MFRent,1,Assumptions!O$77)+O$100*RenoPremium)*Assumptions!O$74</f>
        <v/>
      </c>
      <c r="P103" s="52">
        <f>(P$102*INDEX(Cum_MFRent,1,Assumptions!P$77)+P$100*RenoPremium)*Assumptions!P$74</f>
        <v/>
      </c>
      <c r="Q103" s="52">
        <f>(Q$102*INDEX(Cum_MFRent,1,Assumptions!Q$77)+Q$100*RenoPremium)*Assumptions!Q$74</f>
        <v/>
      </c>
      <c r="R103" s="52">
        <f>(R$102*INDEX(Cum_MFRent,1,Assumptions!R$77)+R$100*RenoPremium)*Assumptions!R$74</f>
        <v/>
      </c>
      <c r="S103" s="52">
        <f>(S$102*INDEX(Cum_MFRent,1,Assumptions!S$77)+S$100*RenoPremium)*Assumptions!S$74</f>
        <v/>
      </c>
      <c r="T103" s="52">
        <f>(T$102*INDEX(Cum_MFRent,1,Assumptions!T$77)+T$100*RenoPremium)*Assumptions!T$74</f>
        <v/>
      </c>
      <c r="U103" s="52">
        <f>(U$102*INDEX(Cum_MFRent,1,Assumptions!U$77)+U$100*RenoPremium)*Assumptions!U$74</f>
        <v/>
      </c>
      <c r="V103" s="52">
        <f>(V$102*INDEX(Cum_MFRent,1,Assumptions!V$77)+V$100*RenoPremium)*Assumptions!V$74</f>
        <v/>
      </c>
      <c r="W103" s="52">
        <f>(W$102*INDEX(Cum_MFRent,1,Assumptions!W$77)+W$100*RenoPremium)*Assumptions!W$74</f>
        <v/>
      </c>
      <c r="X103" s="52">
        <f>(X$102*INDEX(Cum_MFRent,1,Assumptions!X$77)+X$100*RenoPremium)*Assumptions!X$74</f>
        <v/>
      </c>
      <c r="Y103" s="52">
        <f>(Y$102*INDEX(Cum_MFRent,1,Assumptions!Y$77)+Y$100*RenoPremium)*Assumptions!Y$74</f>
        <v/>
      </c>
      <c r="Z103" s="52">
        <f>(Z$102*INDEX(Cum_MFRent,1,Assumptions!Z$77)+Z$100*RenoPremium)*Assumptions!Z$74</f>
        <v/>
      </c>
      <c r="AA103" s="52">
        <f>(AA$102*INDEX(Cum_MFRent,1,Assumptions!AA$77)+AA$100*RenoPremium)*Assumptions!AA$74</f>
        <v/>
      </c>
      <c r="AB103" s="52">
        <f>(AB$102*INDEX(Cum_MFRent,1,Assumptions!AB$77)+AB$100*RenoPremium)*Assumptions!AB$74</f>
        <v/>
      </c>
      <c r="AC103" s="52">
        <f>(AC$102*INDEX(Cum_MFRent,1,Assumptions!AC$77)+AC$100*RenoPremium)*Assumptions!AC$74</f>
        <v/>
      </c>
      <c r="AD103" s="52">
        <f>(AD$102*INDEX(Cum_MFRent,1,Assumptions!AD$77)+AD$100*RenoPremium)*Assumptions!AD$74</f>
        <v/>
      </c>
      <c r="AE103" s="52">
        <f>(AE$102*INDEX(Cum_MFRent,1,Assumptions!AE$77)+AE$100*RenoPremium)*Assumptions!AE$74</f>
        <v/>
      </c>
      <c r="AF103" s="52">
        <f>(AF$102*INDEX(Cum_MFRent,1,Assumptions!AF$77)+AF$100*RenoPremium)*Assumptions!AF$74</f>
        <v/>
      </c>
      <c r="AG103" s="52">
        <f>(AG$102*INDEX(Cum_MFRent,1,Assumptions!AG$77)+AG$100*RenoPremium)*Assumptions!AG$74</f>
        <v/>
      </c>
      <c r="AH103" s="52">
        <f>(AH$102*INDEX(Cum_MFRent,1,Assumptions!AH$77)+AH$100*RenoPremium)*Assumptions!AH$74</f>
        <v/>
      </c>
      <c r="AI103" s="52">
        <f>(AI$102*INDEX(Cum_MFRent,1,Assumptions!AI$77)+AI$100*RenoPremium)*Assumptions!AI$74</f>
        <v/>
      </c>
      <c r="AJ103" s="52">
        <f>(AJ$102*INDEX(Cum_MFRent,1,Assumptions!AJ$77)+AJ$100*RenoPremium)*Assumptions!AJ$74</f>
        <v/>
      </c>
      <c r="AK103" s="52">
        <f>(AK$102*INDEX(Cum_MFRent,1,Assumptions!AK$77)+AK$100*RenoPremium)*Assumptions!AK$74</f>
        <v/>
      </c>
      <c r="AL103" s="52">
        <f>(AL$102*INDEX(Cum_MFRent,1,Assumptions!AL$77)+AL$100*RenoPremium)*Assumptions!AL$74</f>
        <v/>
      </c>
      <c r="AM103" s="52">
        <f>(AM$102*INDEX(Cum_MFRent,1,Assumptions!AM$77)+AM$100*RenoPremium)*Assumptions!AM$74</f>
        <v/>
      </c>
      <c r="AN103" s="52">
        <f>(AN$102*INDEX(Cum_MFRent,1,Assumptions!AN$77)+AN$100*RenoPremium)*Assumptions!AN$74</f>
        <v/>
      </c>
      <c r="AO103" s="52">
        <f>(AO$102*INDEX(Cum_MFRent,1,Assumptions!AO$77)+AO$100*RenoPremium)*Assumptions!AO$74</f>
        <v/>
      </c>
      <c r="AP103" s="52">
        <f>(AP$102*INDEX(Cum_MFRent,1,Assumptions!AP$77)+AP$100*RenoPremium)*Assumptions!AP$74</f>
        <v/>
      </c>
      <c r="AQ103" s="52">
        <f>(AQ$102*INDEX(Cum_MFRent,1,Assumptions!AQ$77)+AQ$100*RenoPremium)*Assumptions!AQ$74</f>
        <v/>
      </c>
      <c r="AR103" s="52">
        <f>(AR$102*INDEX(Cum_MFRent,1,Assumptions!AR$77)+AR$100*RenoPremium)*Assumptions!AR$74</f>
        <v/>
      </c>
      <c r="AS103" s="52">
        <f>(AS$102*INDEX(Cum_MFRent,1,Assumptions!AS$77)+AS$100*RenoPremium)*Assumptions!AS$74</f>
        <v/>
      </c>
      <c r="AT103" s="52">
        <f>(AT$102*INDEX(Cum_MFRent,1,Assumptions!AT$77)+AT$100*RenoPremium)*Assumptions!AT$74</f>
        <v/>
      </c>
      <c r="AU103" s="52">
        <f>(AU$102*INDEX(Cum_MFRent,1,Assumptions!AU$77)+AU$100*RenoPremium)*Assumptions!AU$74</f>
        <v/>
      </c>
      <c r="AV103" s="52">
        <f>(AV$102*INDEX(Cum_MFRent,1,Assumptions!AV$77)+AV$100*RenoPremium)*Assumptions!AV$74</f>
        <v/>
      </c>
      <c r="AW103" s="52">
        <f>(AW$102*INDEX(Cum_MFRent,1,Assumptions!AW$77)+AW$100*RenoPremium)*Assumptions!AW$74</f>
        <v/>
      </c>
      <c r="AX103" s="52">
        <f>(AX$102*INDEX(Cum_MFRent,1,Assumptions!AX$77)+AX$100*RenoPremium)*Assumptions!AX$74</f>
        <v/>
      </c>
      <c r="AY103" s="52">
        <f>(AY$102*INDEX(Cum_MFRent,1,Assumptions!AY$77)+AY$100*RenoPremium)*Assumptions!AY$74</f>
        <v/>
      </c>
      <c r="AZ103" s="52">
        <f>(AZ$102*INDEX(Cum_MFRent,1,Assumptions!AZ$77)+AZ$100*RenoPremium)*Assumptions!AZ$74</f>
        <v/>
      </c>
      <c r="BA103" s="52">
        <f>(BA$102*INDEX(Cum_MFRent,1,Assumptions!BA$77)+BA$100*RenoPremium)*Assumptions!BA$74</f>
        <v/>
      </c>
      <c r="BB103" s="52">
        <f>(BB$102*INDEX(Cum_MFRent,1,Assumptions!BB$77)+BB$100*RenoPremium)*Assumptions!BB$74</f>
        <v/>
      </c>
      <c r="BC103" s="52">
        <f>(BC$102*INDEX(Cum_MFRent,1,Assumptions!BC$77)+BC$100*RenoPremium)*Assumptions!BC$74</f>
        <v/>
      </c>
      <c r="BD103" s="52">
        <f>(BD$102*INDEX(Cum_MFRent,1,Assumptions!BD$77)+BD$100*RenoPremium)*Assumptions!BD$74</f>
        <v/>
      </c>
      <c r="BE103" s="52">
        <f>(BE$102*INDEX(Cum_MFRent,1,Assumptions!BE$77)+BE$100*RenoPremium)*Assumptions!BE$74</f>
        <v/>
      </c>
      <c r="BF103" s="52">
        <f>(BF$102*INDEX(Cum_MFRent,1,Assumptions!BF$77)+BF$100*RenoPremium)*Assumptions!BF$74</f>
        <v/>
      </c>
      <c r="BG103" s="52">
        <f>(BG$102*INDEX(Cum_MFRent,1,Assumptions!BG$77)+BG$100*RenoPremium)*Assumptions!BG$74</f>
        <v/>
      </c>
      <c r="BH103" s="52">
        <f>(BH$102*INDEX(Cum_MFRent,1,Assumptions!BH$77)+BH$100*RenoPremium)*Assumptions!BH$74</f>
        <v/>
      </c>
      <c r="BI103" s="52">
        <f>(BI$102*INDEX(Cum_MFRent,1,Assumptions!BI$77)+BI$100*RenoPremium)*Assumptions!BI$74</f>
        <v/>
      </c>
      <c r="BJ103" s="52">
        <f>(BJ$102*INDEX(Cum_MFRent,1,Assumptions!BJ$77)+BJ$100*RenoPremium)*Assumptions!BJ$74</f>
        <v/>
      </c>
      <c r="BK103" s="52">
        <f>(BK$102*INDEX(Cum_MFRent,1,Assumptions!BK$77)+BK$100*RenoPremium)*Assumptions!BK$74</f>
        <v/>
      </c>
      <c r="BL103" s="52">
        <f>(BL$102*INDEX(Cum_MFRent,1,Assumptions!BL$77)+BL$100*RenoPremium)*Assumptions!BL$74</f>
        <v/>
      </c>
      <c r="BM103" s="52">
        <f>(BM$102*INDEX(Cum_MFRent,1,Assumptions!BM$77)+BM$100*RenoPremium)*Assumptions!BM$74</f>
        <v/>
      </c>
      <c r="BN103" s="52">
        <f>(BN$102*INDEX(Cum_MFRent,1,Assumptions!BN$77)+BN$100*RenoPremium)*Assumptions!BN$74</f>
        <v/>
      </c>
      <c r="BO103" s="52">
        <f>(BO$102*INDEX(Cum_MFRent,1,Assumptions!BO$77)+BO$100*RenoPremium)*Assumptions!BO$74</f>
        <v/>
      </c>
      <c r="BP103" s="52">
        <f>(BP$102*INDEX(Cum_MFRent,1,Assumptions!BP$77)+BP$100*RenoPremium)*Assumptions!BP$74</f>
        <v/>
      </c>
      <c r="BQ103" s="52">
        <f>(BQ$102*INDEX(Cum_MFRent,1,Assumptions!BQ$77)+BQ$100*RenoPremium)*Assumptions!BQ$74</f>
        <v/>
      </c>
      <c r="BR103" s="52">
        <f>(BR$102*INDEX(Cum_MFRent,1,Assumptions!BR$77)+BR$100*RenoPremium)*Assumptions!BR$74</f>
        <v/>
      </c>
      <c r="BS103" s="52">
        <f>(BS$102*INDEX(Cum_MFRent,1,Assumptions!BS$77)+BS$100*RenoPremium)*Assumptions!BS$74</f>
        <v/>
      </c>
      <c r="BT103" s="52">
        <f>(BT$102*INDEX(Cum_MFRent,1,Assumptions!BT$77)+BT$100*RenoPremium)*Assumptions!BT$74</f>
        <v/>
      </c>
      <c r="BU103" s="52">
        <f>(BU$102*INDEX(Cum_MFRent,1,Assumptions!BU$77)+BU$100*RenoPremium)*Assumptions!BU$74</f>
        <v/>
      </c>
      <c r="BV103" s="52">
        <f>(BV$102*INDEX(Cum_MFRent,1,Assumptions!BV$77)+BV$100*RenoPremium)*Assumptions!BV$74</f>
        <v/>
      </c>
      <c r="BW103" s="52">
        <f>(BW$102*INDEX(Cum_MFRent,1,Assumptions!BW$77)+BW$100*RenoPremium)*Assumptions!BW$74</f>
        <v/>
      </c>
      <c r="BX103" s="52">
        <f>(BX$102*INDEX(Cum_MFRent,1,Assumptions!BX$77)+BX$100*RenoPremium)*Assumptions!BX$74</f>
        <v/>
      </c>
      <c r="BY103" s="52">
        <f>(BY$102*INDEX(Cum_MFRent,1,Assumptions!BY$77)+BY$100*RenoPremium)*Assumptions!BY$74</f>
        <v/>
      </c>
      <c r="BZ103" s="52">
        <f>(BZ$102*INDEX(Cum_MFRent,1,Assumptions!BZ$77)+BZ$100*RenoPremium)*Assumptions!BZ$74</f>
        <v/>
      </c>
      <c r="CA103" s="52">
        <f>(CA$102*INDEX(Cum_MFRent,1,Assumptions!CA$77)+CA$100*RenoPremium)*Assumptions!CA$74</f>
        <v/>
      </c>
      <c r="CB103" s="52">
        <f>(CB$102*INDEX(Cum_MFRent,1,Assumptions!CB$77)+CB$100*RenoPremium)*Assumptions!CB$74</f>
        <v/>
      </c>
      <c r="CC103" s="52">
        <f>(CC$102*INDEX(Cum_MFRent,1,Assumptions!CC$77)+CC$100*RenoPremium)*Assumptions!CC$74</f>
        <v/>
      </c>
      <c r="CD103" s="52">
        <f>(CD$102*INDEX(Cum_MFRent,1,Assumptions!CD$77)+CD$100*RenoPremium)*Assumptions!CD$74</f>
        <v/>
      </c>
      <c r="CE103" s="52">
        <f>(CE$102*INDEX(Cum_MFRent,1,Assumptions!CE$77)+CE$100*RenoPremium)*Assumptions!CE$74</f>
        <v/>
      </c>
      <c r="CF103" s="52">
        <f>(CF$102*INDEX(Cum_MFRent,1,Assumptions!CF$77)+CF$100*RenoPremium)*Assumptions!CF$74</f>
        <v/>
      </c>
      <c r="CG103" s="52">
        <f>(CG$102*INDEX(Cum_MFRent,1,Assumptions!CG$77)+CG$100*RenoPremium)*Assumptions!CG$74</f>
        <v/>
      </c>
      <c r="CH103" s="52">
        <f>(CH$102*INDEX(Cum_MFRent,1,Assumptions!CH$77)+CH$100*RenoPremium)*Assumptions!CH$74</f>
        <v/>
      </c>
      <c r="CI103" s="52">
        <f>(CI$102*INDEX(Cum_MFRent,1,Assumptions!CI$77)+CI$100*RenoPremium)*Assumptions!CI$74</f>
        <v/>
      </c>
      <c r="CJ103" s="52">
        <f>(CJ$102*INDEX(Cum_MFRent,1,Assumptions!CJ$77)+CJ$100*RenoPremium)*Assumptions!CJ$74</f>
        <v/>
      </c>
      <c r="CK103" s="52">
        <f>(CK$102*INDEX(Cum_MFRent,1,Assumptions!CK$77)+CK$100*RenoPremium)*Assumptions!CK$74</f>
        <v/>
      </c>
      <c r="CL103" s="52">
        <f>(CL$102*INDEX(Cum_MFRent,1,Assumptions!CL$77)+CL$100*RenoPremium)*Assumptions!CL$74</f>
        <v/>
      </c>
      <c r="CM103" s="52">
        <f>(CM$102*INDEX(Cum_MFRent,1,Assumptions!CM$77)+CM$100*RenoPremium)*Assumptions!CM$74</f>
        <v/>
      </c>
      <c r="CN103" s="52">
        <f>(CN$102*INDEX(Cum_MFRent,1,Assumptions!CN$77)+CN$100*RenoPremium)*Assumptions!CN$74</f>
        <v/>
      </c>
      <c r="CO103" s="52">
        <f>(CO$102*INDEX(Cum_MFRent,1,Assumptions!CO$77)+CO$100*RenoPremium)*Assumptions!CO$74</f>
        <v/>
      </c>
      <c r="CP103" s="52">
        <f>(CP$102*INDEX(Cum_MFRent,1,Assumptions!CP$77)+CP$100*RenoPremium)*Assumptions!CP$74</f>
        <v/>
      </c>
      <c r="CQ103" s="52">
        <f>(CQ$102*INDEX(Cum_MFRent,1,Assumptions!CQ$77)+CQ$100*RenoPremium)*Assumptions!CQ$74</f>
        <v/>
      </c>
      <c r="CR103" s="52">
        <f>(CR$102*INDEX(Cum_MFRent,1,Assumptions!CR$77)+CR$100*RenoPremium)*Assumptions!CR$74</f>
        <v/>
      </c>
      <c r="CS103" s="52">
        <f>(CS$102*INDEX(Cum_MFRent,1,Assumptions!CS$77)+CS$100*RenoPremium)*Assumptions!CS$74</f>
        <v/>
      </c>
      <c r="CT103" s="52">
        <f>(CT$102*INDEX(Cum_MFRent,1,Assumptions!CT$77)+CT$100*RenoPremium)*Assumptions!CT$74</f>
        <v/>
      </c>
      <c r="CU103" s="52">
        <f>(CU$102*INDEX(Cum_MFRent,1,Assumptions!CU$77)+CU$100*RenoPremium)*Assumptions!CU$74</f>
        <v/>
      </c>
      <c r="CV103" s="52">
        <f>(CV$102*INDEX(Cum_MFRent,1,Assumptions!CV$77)+CV$100*RenoPremium)*Assumptions!CV$74</f>
        <v/>
      </c>
      <c r="CW103" s="52">
        <f>(CW$102*INDEX(Cum_MFRent,1,Assumptions!CW$77)+CW$100*RenoPremium)*Assumptions!CW$74</f>
        <v/>
      </c>
      <c r="CX103" s="52">
        <f>(CX$102*INDEX(Cum_MFRent,1,Assumptions!CX$77)+CX$100*RenoPremium)*Assumptions!CX$74</f>
        <v/>
      </c>
      <c r="CY103" s="52">
        <f>(CY$102*INDEX(Cum_MFRent,1,Assumptions!CY$77)+CY$100*RenoPremium)*Assumptions!CY$74</f>
        <v/>
      </c>
      <c r="CZ103" s="52">
        <f>(CZ$102*INDEX(Cum_MFRent,1,Assumptions!CZ$77)+CZ$100*RenoPremium)*Assumptions!CZ$74</f>
        <v/>
      </c>
      <c r="DA103" s="52">
        <f>(DA$102*INDEX(Cum_MFRent,1,Assumptions!DA$77)+DA$100*RenoPremium)*Assumptions!DA$74</f>
        <v/>
      </c>
      <c r="DB103" s="52">
        <f>(DB$102*INDEX(Cum_MFRent,1,Assumptions!DB$77)+DB$100*RenoPremium)*Assumptions!DB$74</f>
        <v/>
      </c>
      <c r="DC103" s="52">
        <f>(DC$102*INDEX(Cum_MFRent,1,Assumptions!DC$77)+DC$100*RenoPremium)*Assumptions!DC$74</f>
        <v/>
      </c>
      <c r="DD103" s="52">
        <f>(DD$102*INDEX(Cum_MFRent,1,Assumptions!DD$77)+DD$100*RenoPremium)*Assumptions!DD$74</f>
        <v/>
      </c>
      <c r="DE103" s="52">
        <f>(DE$102*INDEX(Cum_MFRent,1,Assumptions!DE$77)+DE$100*RenoPremium)*Assumptions!DE$74</f>
        <v/>
      </c>
      <c r="DF103" s="52">
        <f>(DF$102*INDEX(Cum_MFRent,1,Assumptions!DF$77)+DF$100*RenoPremium)*Assumptions!DF$74</f>
        <v/>
      </c>
      <c r="DG103" s="52">
        <f>(DG$102*INDEX(Cum_MFRent,1,Assumptions!DG$77)+DG$100*RenoPremium)*Assumptions!DG$74</f>
        <v/>
      </c>
      <c r="DH103" s="52">
        <f>(DH$102*INDEX(Cum_MFRent,1,Assumptions!DH$77)+DH$100*RenoPremium)*Assumptions!DH$74</f>
        <v/>
      </c>
      <c r="DI103" s="52">
        <f>(DI$102*INDEX(Cum_MFRent,1,Assumptions!DI$77)+DI$100*RenoPremium)*Assumptions!DI$74</f>
        <v/>
      </c>
      <c r="DJ103" s="52">
        <f>(DJ$102*INDEX(Cum_MFRent,1,Assumptions!DJ$77)+DJ$100*RenoPremium)*Assumptions!DJ$74</f>
        <v/>
      </c>
      <c r="DK103" s="52">
        <f>(DK$102*INDEX(Cum_MFRent,1,Assumptions!DK$77)+DK$100*RenoPremium)*Assumptions!DK$74</f>
        <v/>
      </c>
      <c r="DL103" s="52">
        <f>(DL$102*INDEX(Cum_MFRent,1,Assumptions!DL$77)+DL$100*RenoPremium)*Assumptions!DL$74</f>
        <v/>
      </c>
      <c r="DM103" s="52">
        <f>(DM$102*INDEX(Cum_MFRent,1,Assumptions!DM$77)+DM$100*RenoPremium)*Assumptions!DM$74</f>
        <v/>
      </c>
      <c r="DN103" s="52">
        <f>(DN$102*INDEX(Cum_MFRent,1,Assumptions!DN$77)+DN$100*RenoPremium)*Assumptions!DN$74</f>
        <v/>
      </c>
      <c r="DO103" s="52">
        <f>(DO$102*INDEX(Cum_MFRent,1,Assumptions!DO$77)+DO$100*RenoPremium)*Assumptions!DO$74</f>
        <v/>
      </c>
      <c r="DP103" s="52">
        <f>(DP$102*INDEX(Cum_MFRent,1,Assumptions!DP$77)+DP$100*RenoPremium)*Assumptions!DP$74</f>
        <v/>
      </c>
      <c r="DQ103" s="52">
        <f>(DQ$102*INDEX(Cum_MFRent,1,Assumptions!DQ$77)+DQ$100*RenoPremium)*Assumptions!DQ$74</f>
        <v/>
      </c>
      <c r="DR103" s="52">
        <f>(DR$102*INDEX(Cum_MFRent,1,Assumptions!DR$77)+DR$100*RenoPremium)*Assumptions!DR$74</f>
        <v/>
      </c>
      <c r="DS103" s="52">
        <f>(DS$102*INDEX(Cum_MFRent,1,Assumptions!DS$77)+DS$100*RenoPremium)*Assumptions!DS$74</f>
        <v/>
      </c>
      <c r="DT103" s="52">
        <f>(DT$102*INDEX(Cum_MFRent,1,Assumptions!DT$77)+DT$100*RenoPremium)*Assumptions!DT$74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$B$107*E$99*INDEX(Cum_OtherInc,1,Assumptions!E$77)*Assumptions!E$74</f>
        <v/>
      </c>
      <c r="F107" s="52">
        <f>$B$107*F$99*INDEX(Cum_OtherInc,1,Assumptions!F$77)*Assumptions!F$74</f>
        <v/>
      </c>
      <c r="G107" s="52">
        <f>$B$107*G$99*INDEX(Cum_OtherInc,1,Assumptions!G$77)*Assumptions!G$74</f>
        <v/>
      </c>
      <c r="H107" s="52">
        <f>$B$107*H$99*INDEX(Cum_OtherInc,1,Assumptions!H$77)*Assumptions!H$74</f>
        <v/>
      </c>
      <c r="I107" s="52">
        <f>$B$107*I$99*INDEX(Cum_OtherInc,1,Assumptions!I$77)*Assumptions!I$74</f>
        <v/>
      </c>
      <c r="J107" s="52">
        <f>$B$107*J$99*INDEX(Cum_OtherInc,1,Assumptions!J$77)*Assumptions!J$74</f>
        <v/>
      </c>
      <c r="K107" s="52">
        <f>$B$107*K$99*INDEX(Cum_OtherInc,1,Assumptions!K$77)*Assumptions!K$74</f>
        <v/>
      </c>
      <c r="L107" s="52">
        <f>$B$107*L$99*INDEX(Cum_OtherInc,1,Assumptions!L$77)*Assumptions!L$74</f>
        <v/>
      </c>
      <c r="M107" s="52">
        <f>$B$107*M$99*INDEX(Cum_OtherInc,1,Assumptions!M$77)*Assumptions!M$74</f>
        <v/>
      </c>
      <c r="N107" s="52">
        <f>$B$107*N$99*INDEX(Cum_OtherInc,1,Assumptions!N$77)*Assumptions!N$74</f>
        <v/>
      </c>
      <c r="O107" s="52">
        <f>$B$107*O$99*INDEX(Cum_OtherInc,1,Assumptions!O$77)*Assumptions!O$74</f>
        <v/>
      </c>
      <c r="P107" s="52">
        <f>$B$107*P$99*INDEX(Cum_OtherInc,1,Assumptions!P$77)*Assumptions!P$74</f>
        <v/>
      </c>
      <c r="Q107" s="52">
        <f>$B$107*Q$99*INDEX(Cum_OtherInc,1,Assumptions!Q$77)*Assumptions!Q$74</f>
        <v/>
      </c>
      <c r="R107" s="52">
        <f>$B$107*R$99*INDEX(Cum_OtherInc,1,Assumptions!R$77)*Assumptions!R$74</f>
        <v/>
      </c>
      <c r="S107" s="52">
        <f>$B$107*S$99*INDEX(Cum_OtherInc,1,Assumptions!S$77)*Assumptions!S$74</f>
        <v/>
      </c>
      <c r="T107" s="52">
        <f>$B$107*T$99*INDEX(Cum_OtherInc,1,Assumptions!T$77)*Assumptions!T$74</f>
        <v/>
      </c>
      <c r="U107" s="52">
        <f>$B$107*U$99*INDEX(Cum_OtherInc,1,Assumptions!U$77)*Assumptions!U$74</f>
        <v/>
      </c>
      <c r="V107" s="52">
        <f>$B$107*V$99*INDEX(Cum_OtherInc,1,Assumptions!V$77)*Assumptions!V$74</f>
        <v/>
      </c>
      <c r="W107" s="52">
        <f>$B$107*W$99*INDEX(Cum_OtherInc,1,Assumptions!W$77)*Assumptions!W$74</f>
        <v/>
      </c>
      <c r="X107" s="52">
        <f>$B$107*X$99*INDEX(Cum_OtherInc,1,Assumptions!X$77)*Assumptions!X$74</f>
        <v/>
      </c>
      <c r="Y107" s="52">
        <f>$B$107*Y$99*INDEX(Cum_OtherInc,1,Assumptions!Y$77)*Assumptions!Y$74</f>
        <v/>
      </c>
      <c r="Z107" s="52">
        <f>$B$107*Z$99*INDEX(Cum_OtherInc,1,Assumptions!Z$77)*Assumptions!Z$74</f>
        <v/>
      </c>
      <c r="AA107" s="52">
        <f>$B$107*AA$99*INDEX(Cum_OtherInc,1,Assumptions!AA$77)*Assumptions!AA$74</f>
        <v/>
      </c>
      <c r="AB107" s="52">
        <f>$B$107*AB$99*INDEX(Cum_OtherInc,1,Assumptions!AB$77)*Assumptions!AB$74</f>
        <v/>
      </c>
      <c r="AC107" s="52">
        <f>$B$107*AC$99*INDEX(Cum_OtherInc,1,Assumptions!AC$77)*Assumptions!AC$74</f>
        <v/>
      </c>
      <c r="AD107" s="52">
        <f>$B$107*AD$99*INDEX(Cum_OtherInc,1,Assumptions!AD$77)*Assumptions!AD$74</f>
        <v/>
      </c>
      <c r="AE107" s="52">
        <f>$B$107*AE$99*INDEX(Cum_OtherInc,1,Assumptions!AE$77)*Assumptions!AE$74</f>
        <v/>
      </c>
      <c r="AF107" s="52">
        <f>$B$107*AF$99*INDEX(Cum_OtherInc,1,Assumptions!AF$77)*Assumptions!AF$74</f>
        <v/>
      </c>
      <c r="AG107" s="52">
        <f>$B$107*AG$99*INDEX(Cum_OtherInc,1,Assumptions!AG$77)*Assumptions!AG$74</f>
        <v/>
      </c>
      <c r="AH107" s="52">
        <f>$B$107*AH$99*INDEX(Cum_OtherInc,1,Assumptions!AH$77)*Assumptions!AH$74</f>
        <v/>
      </c>
      <c r="AI107" s="52">
        <f>$B$107*AI$99*INDEX(Cum_OtherInc,1,Assumptions!AI$77)*Assumptions!AI$74</f>
        <v/>
      </c>
      <c r="AJ107" s="52">
        <f>$B$107*AJ$99*INDEX(Cum_OtherInc,1,Assumptions!AJ$77)*Assumptions!AJ$74</f>
        <v/>
      </c>
      <c r="AK107" s="52">
        <f>$B$107*AK$99*INDEX(Cum_OtherInc,1,Assumptions!AK$77)*Assumptions!AK$74</f>
        <v/>
      </c>
      <c r="AL107" s="52">
        <f>$B$107*AL$99*INDEX(Cum_OtherInc,1,Assumptions!AL$77)*Assumptions!AL$74</f>
        <v/>
      </c>
      <c r="AM107" s="52">
        <f>$B$107*AM$99*INDEX(Cum_OtherInc,1,Assumptions!AM$77)*Assumptions!AM$74</f>
        <v/>
      </c>
      <c r="AN107" s="52">
        <f>$B$107*AN$99*INDEX(Cum_OtherInc,1,Assumptions!AN$77)*Assumptions!AN$74</f>
        <v/>
      </c>
      <c r="AO107" s="52">
        <f>$B$107*AO$99*INDEX(Cum_OtherInc,1,Assumptions!AO$77)*Assumptions!AO$74</f>
        <v/>
      </c>
      <c r="AP107" s="52">
        <f>$B$107*AP$99*INDEX(Cum_OtherInc,1,Assumptions!AP$77)*Assumptions!AP$74</f>
        <v/>
      </c>
      <c r="AQ107" s="52">
        <f>$B$107*AQ$99*INDEX(Cum_OtherInc,1,Assumptions!AQ$77)*Assumptions!AQ$74</f>
        <v/>
      </c>
      <c r="AR107" s="52">
        <f>$B$107*AR$99*INDEX(Cum_OtherInc,1,Assumptions!AR$77)*Assumptions!AR$74</f>
        <v/>
      </c>
      <c r="AS107" s="52">
        <f>$B$107*AS$99*INDEX(Cum_OtherInc,1,Assumptions!AS$77)*Assumptions!AS$74</f>
        <v/>
      </c>
      <c r="AT107" s="52">
        <f>$B$107*AT$99*INDEX(Cum_OtherInc,1,Assumptions!AT$77)*Assumptions!AT$74</f>
        <v/>
      </c>
      <c r="AU107" s="52">
        <f>$B$107*AU$99*INDEX(Cum_OtherInc,1,Assumptions!AU$77)*Assumptions!AU$74</f>
        <v/>
      </c>
      <c r="AV107" s="52">
        <f>$B$107*AV$99*INDEX(Cum_OtherInc,1,Assumptions!AV$77)*Assumptions!AV$74</f>
        <v/>
      </c>
      <c r="AW107" s="52">
        <f>$B$107*AW$99*INDEX(Cum_OtherInc,1,Assumptions!AW$77)*Assumptions!AW$74</f>
        <v/>
      </c>
      <c r="AX107" s="52">
        <f>$B$107*AX$99*INDEX(Cum_OtherInc,1,Assumptions!AX$77)*Assumptions!AX$74</f>
        <v/>
      </c>
      <c r="AY107" s="52">
        <f>$B$107*AY$99*INDEX(Cum_OtherInc,1,Assumptions!AY$77)*Assumptions!AY$74</f>
        <v/>
      </c>
      <c r="AZ107" s="52">
        <f>$B$107*AZ$99*INDEX(Cum_OtherInc,1,Assumptions!AZ$77)*Assumptions!AZ$74</f>
        <v/>
      </c>
      <c r="BA107" s="52">
        <f>$B$107*BA$99*INDEX(Cum_OtherInc,1,Assumptions!BA$77)*Assumptions!BA$74</f>
        <v/>
      </c>
      <c r="BB107" s="52">
        <f>$B$107*BB$99*INDEX(Cum_OtherInc,1,Assumptions!BB$77)*Assumptions!BB$74</f>
        <v/>
      </c>
      <c r="BC107" s="52">
        <f>$B$107*BC$99*INDEX(Cum_OtherInc,1,Assumptions!BC$77)*Assumptions!BC$74</f>
        <v/>
      </c>
      <c r="BD107" s="52">
        <f>$B$107*BD$99*INDEX(Cum_OtherInc,1,Assumptions!BD$77)*Assumptions!BD$74</f>
        <v/>
      </c>
      <c r="BE107" s="52">
        <f>$B$107*BE$99*INDEX(Cum_OtherInc,1,Assumptions!BE$77)*Assumptions!BE$74</f>
        <v/>
      </c>
      <c r="BF107" s="52">
        <f>$B$107*BF$99*INDEX(Cum_OtherInc,1,Assumptions!BF$77)*Assumptions!BF$74</f>
        <v/>
      </c>
      <c r="BG107" s="52">
        <f>$B$107*BG$99*INDEX(Cum_OtherInc,1,Assumptions!BG$77)*Assumptions!BG$74</f>
        <v/>
      </c>
      <c r="BH107" s="52">
        <f>$B$107*BH$99*INDEX(Cum_OtherInc,1,Assumptions!BH$77)*Assumptions!BH$74</f>
        <v/>
      </c>
      <c r="BI107" s="52">
        <f>$B$107*BI$99*INDEX(Cum_OtherInc,1,Assumptions!BI$77)*Assumptions!BI$74</f>
        <v/>
      </c>
      <c r="BJ107" s="52">
        <f>$B$107*BJ$99*INDEX(Cum_OtherInc,1,Assumptions!BJ$77)*Assumptions!BJ$74</f>
        <v/>
      </c>
      <c r="BK107" s="52">
        <f>$B$107*BK$99*INDEX(Cum_OtherInc,1,Assumptions!BK$77)*Assumptions!BK$74</f>
        <v/>
      </c>
      <c r="BL107" s="52">
        <f>$B$107*BL$99*INDEX(Cum_OtherInc,1,Assumptions!BL$77)*Assumptions!BL$74</f>
        <v/>
      </c>
      <c r="BM107" s="52">
        <f>$B$107*BM$99*INDEX(Cum_OtherInc,1,Assumptions!BM$77)*Assumptions!BM$74</f>
        <v/>
      </c>
      <c r="BN107" s="52">
        <f>$B$107*BN$99*INDEX(Cum_OtherInc,1,Assumptions!BN$77)*Assumptions!BN$74</f>
        <v/>
      </c>
      <c r="BO107" s="52">
        <f>$B$107*BO$99*INDEX(Cum_OtherInc,1,Assumptions!BO$77)*Assumptions!BO$74</f>
        <v/>
      </c>
      <c r="BP107" s="52">
        <f>$B$107*BP$99*INDEX(Cum_OtherInc,1,Assumptions!BP$77)*Assumptions!BP$74</f>
        <v/>
      </c>
      <c r="BQ107" s="52">
        <f>$B$107*BQ$99*INDEX(Cum_OtherInc,1,Assumptions!BQ$77)*Assumptions!BQ$74</f>
        <v/>
      </c>
      <c r="BR107" s="52">
        <f>$B$107*BR$99*INDEX(Cum_OtherInc,1,Assumptions!BR$77)*Assumptions!BR$74</f>
        <v/>
      </c>
      <c r="BS107" s="52">
        <f>$B$107*BS$99*INDEX(Cum_OtherInc,1,Assumptions!BS$77)*Assumptions!BS$74</f>
        <v/>
      </c>
      <c r="BT107" s="52">
        <f>$B$107*BT$99*INDEX(Cum_OtherInc,1,Assumptions!BT$77)*Assumptions!BT$74</f>
        <v/>
      </c>
      <c r="BU107" s="52">
        <f>$B$107*BU$99*INDEX(Cum_OtherInc,1,Assumptions!BU$77)*Assumptions!BU$74</f>
        <v/>
      </c>
      <c r="BV107" s="52">
        <f>$B$107*BV$99*INDEX(Cum_OtherInc,1,Assumptions!BV$77)*Assumptions!BV$74</f>
        <v/>
      </c>
      <c r="BW107" s="52">
        <f>$B$107*BW$99*INDEX(Cum_OtherInc,1,Assumptions!BW$77)*Assumptions!BW$74</f>
        <v/>
      </c>
      <c r="BX107" s="52">
        <f>$B$107*BX$99*INDEX(Cum_OtherInc,1,Assumptions!BX$77)*Assumptions!BX$74</f>
        <v/>
      </c>
      <c r="BY107" s="52">
        <f>$B$107*BY$99*INDEX(Cum_OtherInc,1,Assumptions!BY$77)*Assumptions!BY$74</f>
        <v/>
      </c>
      <c r="BZ107" s="52">
        <f>$B$107*BZ$99*INDEX(Cum_OtherInc,1,Assumptions!BZ$77)*Assumptions!BZ$74</f>
        <v/>
      </c>
      <c r="CA107" s="52">
        <f>$B$107*CA$99*INDEX(Cum_OtherInc,1,Assumptions!CA$77)*Assumptions!CA$74</f>
        <v/>
      </c>
      <c r="CB107" s="52">
        <f>$B$107*CB$99*INDEX(Cum_OtherInc,1,Assumptions!CB$77)*Assumptions!CB$74</f>
        <v/>
      </c>
      <c r="CC107" s="52">
        <f>$B$107*CC$99*INDEX(Cum_OtherInc,1,Assumptions!CC$77)*Assumptions!CC$74</f>
        <v/>
      </c>
      <c r="CD107" s="52">
        <f>$B$107*CD$99*INDEX(Cum_OtherInc,1,Assumptions!CD$77)*Assumptions!CD$74</f>
        <v/>
      </c>
      <c r="CE107" s="52">
        <f>$B$107*CE$99*INDEX(Cum_OtherInc,1,Assumptions!CE$77)*Assumptions!CE$74</f>
        <v/>
      </c>
      <c r="CF107" s="52">
        <f>$B$107*CF$99*INDEX(Cum_OtherInc,1,Assumptions!CF$77)*Assumptions!CF$74</f>
        <v/>
      </c>
      <c r="CG107" s="52">
        <f>$B$107*CG$99*INDEX(Cum_OtherInc,1,Assumptions!CG$77)*Assumptions!CG$74</f>
        <v/>
      </c>
      <c r="CH107" s="52">
        <f>$B$107*CH$99*INDEX(Cum_OtherInc,1,Assumptions!CH$77)*Assumptions!CH$74</f>
        <v/>
      </c>
      <c r="CI107" s="52">
        <f>$B$107*CI$99*INDEX(Cum_OtherInc,1,Assumptions!CI$77)*Assumptions!CI$74</f>
        <v/>
      </c>
      <c r="CJ107" s="52">
        <f>$B$107*CJ$99*INDEX(Cum_OtherInc,1,Assumptions!CJ$77)*Assumptions!CJ$74</f>
        <v/>
      </c>
      <c r="CK107" s="52">
        <f>$B$107*CK$99*INDEX(Cum_OtherInc,1,Assumptions!CK$77)*Assumptions!CK$74</f>
        <v/>
      </c>
      <c r="CL107" s="52">
        <f>$B$107*CL$99*INDEX(Cum_OtherInc,1,Assumptions!CL$77)*Assumptions!CL$74</f>
        <v/>
      </c>
      <c r="CM107" s="52">
        <f>$B$107*CM$99*INDEX(Cum_OtherInc,1,Assumptions!CM$77)*Assumptions!CM$74</f>
        <v/>
      </c>
      <c r="CN107" s="52">
        <f>$B$107*CN$99*INDEX(Cum_OtherInc,1,Assumptions!CN$77)*Assumptions!CN$74</f>
        <v/>
      </c>
      <c r="CO107" s="52">
        <f>$B$107*CO$99*INDEX(Cum_OtherInc,1,Assumptions!CO$77)*Assumptions!CO$74</f>
        <v/>
      </c>
      <c r="CP107" s="52">
        <f>$B$107*CP$99*INDEX(Cum_OtherInc,1,Assumptions!CP$77)*Assumptions!CP$74</f>
        <v/>
      </c>
      <c r="CQ107" s="52">
        <f>$B$107*CQ$99*INDEX(Cum_OtherInc,1,Assumptions!CQ$77)*Assumptions!CQ$74</f>
        <v/>
      </c>
      <c r="CR107" s="52">
        <f>$B$107*CR$99*INDEX(Cum_OtherInc,1,Assumptions!CR$77)*Assumptions!CR$74</f>
        <v/>
      </c>
      <c r="CS107" s="52">
        <f>$B$107*CS$99*INDEX(Cum_OtherInc,1,Assumptions!CS$77)*Assumptions!CS$74</f>
        <v/>
      </c>
      <c r="CT107" s="52">
        <f>$B$107*CT$99*INDEX(Cum_OtherInc,1,Assumptions!CT$77)*Assumptions!CT$74</f>
        <v/>
      </c>
      <c r="CU107" s="52">
        <f>$B$107*CU$99*INDEX(Cum_OtherInc,1,Assumptions!CU$77)*Assumptions!CU$74</f>
        <v/>
      </c>
      <c r="CV107" s="52">
        <f>$B$107*CV$99*INDEX(Cum_OtherInc,1,Assumptions!CV$77)*Assumptions!CV$74</f>
        <v/>
      </c>
      <c r="CW107" s="52">
        <f>$B$107*CW$99*INDEX(Cum_OtherInc,1,Assumptions!CW$77)*Assumptions!CW$74</f>
        <v/>
      </c>
      <c r="CX107" s="52">
        <f>$B$107*CX$99*INDEX(Cum_OtherInc,1,Assumptions!CX$77)*Assumptions!CX$74</f>
        <v/>
      </c>
      <c r="CY107" s="52">
        <f>$B$107*CY$99*INDEX(Cum_OtherInc,1,Assumptions!CY$77)*Assumptions!CY$74</f>
        <v/>
      </c>
      <c r="CZ107" s="52">
        <f>$B$107*CZ$99*INDEX(Cum_OtherInc,1,Assumptions!CZ$77)*Assumptions!CZ$74</f>
        <v/>
      </c>
      <c r="DA107" s="52">
        <f>$B$107*DA$99*INDEX(Cum_OtherInc,1,Assumptions!DA$77)*Assumptions!DA$74</f>
        <v/>
      </c>
      <c r="DB107" s="52">
        <f>$B$107*DB$99*INDEX(Cum_OtherInc,1,Assumptions!DB$77)*Assumptions!DB$74</f>
        <v/>
      </c>
      <c r="DC107" s="52">
        <f>$B$107*DC$99*INDEX(Cum_OtherInc,1,Assumptions!DC$77)*Assumptions!DC$74</f>
        <v/>
      </c>
      <c r="DD107" s="52">
        <f>$B$107*DD$99*INDEX(Cum_OtherInc,1,Assumptions!DD$77)*Assumptions!DD$74</f>
        <v/>
      </c>
      <c r="DE107" s="52">
        <f>$B$107*DE$99*INDEX(Cum_OtherInc,1,Assumptions!DE$77)*Assumptions!DE$74</f>
        <v/>
      </c>
      <c r="DF107" s="52">
        <f>$B$107*DF$99*INDEX(Cum_OtherInc,1,Assumptions!DF$77)*Assumptions!DF$74</f>
        <v/>
      </c>
      <c r="DG107" s="52">
        <f>$B$107*DG$99*INDEX(Cum_OtherInc,1,Assumptions!DG$77)*Assumptions!DG$74</f>
        <v/>
      </c>
      <c r="DH107" s="52">
        <f>$B$107*DH$99*INDEX(Cum_OtherInc,1,Assumptions!DH$77)*Assumptions!DH$74</f>
        <v/>
      </c>
      <c r="DI107" s="52">
        <f>$B$107*DI$99*INDEX(Cum_OtherInc,1,Assumptions!DI$77)*Assumptions!DI$74</f>
        <v/>
      </c>
      <c r="DJ107" s="52">
        <f>$B$107*DJ$99*INDEX(Cum_OtherInc,1,Assumptions!DJ$77)*Assumptions!DJ$74</f>
        <v/>
      </c>
      <c r="DK107" s="52">
        <f>$B$107*DK$99*INDEX(Cum_OtherInc,1,Assumptions!DK$77)*Assumptions!DK$74</f>
        <v/>
      </c>
      <c r="DL107" s="52">
        <f>$B$107*DL$99*INDEX(Cum_OtherInc,1,Assumptions!DL$77)*Assumptions!DL$74</f>
        <v/>
      </c>
      <c r="DM107" s="52">
        <f>$B$107*DM$99*INDEX(Cum_OtherInc,1,Assumptions!DM$77)*Assumptions!DM$74</f>
        <v/>
      </c>
      <c r="DN107" s="52">
        <f>$B$107*DN$99*INDEX(Cum_OtherInc,1,Assumptions!DN$77)*Assumptions!DN$74</f>
        <v/>
      </c>
      <c r="DO107" s="52">
        <f>$B$107*DO$99*INDEX(Cum_OtherInc,1,Assumptions!DO$77)*Assumptions!DO$74</f>
        <v/>
      </c>
      <c r="DP107" s="52">
        <f>$B$107*DP$99*INDEX(Cum_OtherInc,1,Assumptions!DP$77)*Assumptions!DP$74</f>
        <v/>
      </c>
      <c r="DQ107" s="52">
        <f>$B$107*DQ$99*INDEX(Cum_OtherInc,1,Assumptions!DQ$77)*Assumptions!DQ$74</f>
        <v/>
      </c>
      <c r="DR107" s="52">
        <f>$B$107*DR$99*INDEX(Cum_OtherInc,1,Assumptions!DR$77)*Assumptions!DR$74</f>
        <v/>
      </c>
      <c r="DS107" s="52">
        <f>$B$107*DS$99*INDEX(Cum_OtherInc,1,Assumptions!DS$77)*Assumptions!DS$74</f>
        <v/>
      </c>
      <c r="DT107" s="52">
        <f>$B$107*DT$99*INDEX(Cum_OtherInc,1,Assumptions!DT$77)*Assumptions!DT$74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$B$108*E$99*INDEX(Cum_OtherInc,1,Assumptions!E$77)*Assumptions!E$74</f>
        <v/>
      </c>
      <c r="F108" s="52">
        <f>$B$108*F$99*INDEX(Cum_OtherInc,1,Assumptions!F$77)*Assumptions!F$74</f>
        <v/>
      </c>
      <c r="G108" s="52">
        <f>$B$108*G$99*INDEX(Cum_OtherInc,1,Assumptions!G$77)*Assumptions!G$74</f>
        <v/>
      </c>
      <c r="H108" s="52">
        <f>$B$108*H$99*INDEX(Cum_OtherInc,1,Assumptions!H$77)*Assumptions!H$74</f>
        <v/>
      </c>
      <c r="I108" s="52">
        <f>$B$108*I$99*INDEX(Cum_OtherInc,1,Assumptions!I$77)*Assumptions!I$74</f>
        <v/>
      </c>
      <c r="J108" s="52">
        <f>$B$108*J$99*INDEX(Cum_OtherInc,1,Assumptions!J$77)*Assumptions!J$74</f>
        <v/>
      </c>
      <c r="K108" s="52">
        <f>$B$108*K$99*INDEX(Cum_OtherInc,1,Assumptions!K$77)*Assumptions!K$74</f>
        <v/>
      </c>
      <c r="L108" s="52">
        <f>$B$108*L$99*INDEX(Cum_OtherInc,1,Assumptions!L$77)*Assumptions!L$74</f>
        <v/>
      </c>
      <c r="M108" s="52">
        <f>$B$108*M$99*INDEX(Cum_OtherInc,1,Assumptions!M$77)*Assumptions!M$74</f>
        <v/>
      </c>
      <c r="N108" s="52">
        <f>$B$108*N$99*INDEX(Cum_OtherInc,1,Assumptions!N$77)*Assumptions!N$74</f>
        <v/>
      </c>
      <c r="O108" s="52">
        <f>$B$108*O$99*INDEX(Cum_OtherInc,1,Assumptions!O$77)*Assumptions!O$74</f>
        <v/>
      </c>
      <c r="P108" s="52">
        <f>$B$108*P$99*INDEX(Cum_OtherInc,1,Assumptions!P$77)*Assumptions!P$74</f>
        <v/>
      </c>
      <c r="Q108" s="52">
        <f>$B$108*Q$99*INDEX(Cum_OtherInc,1,Assumptions!Q$77)*Assumptions!Q$74</f>
        <v/>
      </c>
      <c r="R108" s="52">
        <f>$B$108*R$99*INDEX(Cum_OtherInc,1,Assumptions!R$77)*Assumptions!R$74</f>
        <v/>
      </c>
      <c r="S108" s="52">
        <f>$B$108*S$99*INDEX(Cum_OtherInc,1,Assumptions!S$77)*Assumptions!S$74</f>
        <v/>
      </c>
      <c r="T108" s="52">
        <f>$B$108*T$99*INDEX(Cum_OtherInc,1,Assumptions!T$77)*Assumptions!T$74</f>
        <v/>
      </c>
      <c r="U108" s="52">
        <f>$B$108*U$99*INDEX(Cum_OtherInc,1,Assumptions!U$77)*Assumptions!U$74</f>
        <v/>
      </c>
      <c r="V108" s="52">
        <f>$B$108*V$99*INDEX(Cum_OtherInc,1,Assumptions!V$77)*Assumptions!V$74</f>
        <v/>
      </c>
      <c r="W108" s="52">
        <f>$B$108*W$99*INDEX(Cum_OtherInc,1,Assumptions!W$77)*Assumptions!W$74</f>
        <v/>
      </c>
      <c r="X108" s="52">
        <f>$B$108*X$99*INDEX(Cum_OtherInc,1,Assumptions!X$77)*Assumptions!X$74</f>
        <v/>
      </c>
      <c r="Y108" s="52">
        <f>$B$108*Y$99*INDEX(Cum_OtherInc,1,Assumptions!Y$77)*Assumptions!Y$74</f>
        <v/>
      </c>
      <c r="Z108" s="52">
        <f>$B$108*Z$99*INDEX(Cum_OtherInc,1,Assumptions!Z$77)*Assumptions!Z$74</f>
        <v/>
      </c>
      <c r="AA108" s="52">
        <f>$B$108*AA$99*INDEX(Cum_OtherInc,1,Assumptions!AA$77)*Assumptions!AA$74</f>
        <v/>
      </c>
      <c r="AB108" s="52">
        <f>$B$108*AB$99*INDEX(Cum_OtherInc,1,Assumptions!AB$77)*Assumptions!AB$74</f>
        <v/>
      </c>
      <c r="AC108" s="52">
        <f>$B$108*AC$99*INDEX(Cum_OtherInc,1,Assumptions!AC$77)*Assumptions!AC$74</f>
        <v/>
      </c>
      <c r="AD108" s="52">
        <f>$B$108*AD$99*INDEX(Cum_OtherInc,1,Assumptions!AD$77)*Assumptions!AD$74</f>
        <v/>
      </c>
      <c r="AE108" s="52">
        <f>$B$108*AE$99*INDEX(Cum_OtherInc,1,Assumptions!AE$77)*Assumptions!AE$74</f>
        <v/>
      </c>
      <c r="AF108" s="52">
        <f>$B$108*AF$99*INDEX(Cum_OtherInc,1,Assumptions!AF$77)*Assumptions!AF$74</f>
        <v/>
      </c>
      <c r="AG108" s="52">
        <f>$B$108*AG$99*INDEX(Cum_OtherInc,1,Assumptions!AG$77)*Assumptions!AG$74</f>
        <v/>
      </c>
      <c r="AH108" s="52">
        <f>$B$108*AH$99*INDEX(Cum_OtherInc,1,Assumptions!AH$77)*Assumptions!AH$74</f>
        <v/>
      </c>
      <c r="AI108" s="52">
        <f>$B$108*AI$99*INDEX(Cum_OtherInc,1,Assumptions!AI$77)*Assumptions!AI$74</f>
        <v/>
      </c>
      <c r="AJ108" s="52">
        <f>$B$108*AJ$99*INDEX(Cum_OtherInc,1,Assumptions!AJ$77)*Assumptions!AJ$74</f>
        <v/>
      </c>
      <c r="AK108" s="52">
        <f>$B$108*AK$99*INDEX(Cum_OtherInc,1,Assumptions!AK$77)*Assumptions!AK$74</f>
        <v/>
      </c>
      <c r="AL108" s="52">
        <f>$B$108*AL$99*INDEX(Cum_OtherInc,1,Assumptions!AL$77)*Assumptions!AL$74</f>
        <v/>
      </c>
      <c r="AM108" s="52">
        <f>$B$108*AM$99*INDEX(Cum_OtherInc,1,Assumptions!AM$77)*Assumptions!AM$74</f>
        <v/>
      </c>
      <c r="AN108" s="52">
        <f>$B$108*AN$99*INDEX(Cum_OtherInc,1,Assumptions!AN$77)*Assumptions!AN$74</f>
        <v/>
      </c>
      <c r="AO108" s="52">
        <f>$B$108*AO$99*INDEX(Cum_OtherInc,1,Assumptions!AO$77)*Assumptions!AO$74</f>
        <v/>
      </c>
      <c r="AP108" s="52">
        <f>$B$108*AP$99*INDEX(Cum_OtherInc,1,Assumptions!AP$77)*Assumptions!AP$74</f>
        <v/>
      </c>
      <c r="AQ108" s="52">
        <f>$B$108*AQ$99*INDEX(Cum_OtherInc,1,Assumptions!AQ$77)*Assumptions!AQ$74</f>
        <v/>
      </c>
      <c r="AR108" s="52">
        <f>$B$108*AR$99*INDEX(Cum_OtherInc,1,Assumptions!AR$77)*Assumptions!AR$74</f>
        <v/>
      </c>
      <c r="AS108" s="52">
        <f>$B$108*AS$99*INDEX(Cum_OtherInc,1,Assumptions!AS$77)*Assumptions!AS$74</f>
        <v/>
      </c>
      <c r="AT108" s="52">
        <f>$B$108*AT$99*INDEX(Cum_OtherInc,1,Assumptions!AT$77)*Assumptions!AT$74</f>
        <v/>
      </c>
      <c r="AU108" s="52">
        <f>$B$108*AU$99*INDEX(Cum_OtherInc,1,Assumptions!AU$77)*Assumptions!AU$74</f>
        <v/>
      </c>
      <c r="AV108" s="52">
        <f>$B$108*AV$99*INDEX(Cum_OtherInc,1,Assumptions!AV$77)*Assumptions!AV$74</f>
        <v/>
      </c>
      <c r="AW108" s="52">
        <f>$B$108*AW$99*INDEX(Cum_OtherInc,1,Assumptions!AW$77)*Assumptions!AW$74</f>
        <v/>
      </c>
      <c r="AX108" s="52">
        <f>$B$108*AX$99*INDEX(Cum_OtherInc,1,Assumptions!AX$77)*Assumptions!AX$74</f>
        <v/>
      </c>
      <c r="AY108" s="52">
        <f>$B$108*AY$99*INDEX(Cum_OtherInc,1,Assumptions!AY$77)*Assumptions!AY$74</f>
        <v/>
      </c>
      <c r="AZ108" s="52">
        <f>$B$108*AZ$99*INDEX(Cum_OtherInc,1,Assumptions!AZ$77)*Assumptions!AZ$74</f>
        <v/>
      </c>
      <c r="BA108" s="52">
        <f>$B$108*BA$99*INDEX(Cum_OtherInc,1,Assumptions!BA$77)*Assumptions!BA$74</f>
        <v/>
      </c>
      <c r="BB108" s="52">
        <f>$B$108*BB$99*INDEX(Cum_OtherInc,1,Assumptions!BB$77)*Assumptions!BB$74</f>
        <v/>
      </c>
      <c r="BC108" s="52">
        <f>$B$108*BC$99*INDEX(Cum_OtherInc,1,Assumptions!BC$77)*Assumptions!BC$74</f>
        <v/>
      </c>
      <c r="BD108" s="52">
        <f>$B$108*BD$99*INDEX(Cum_OtherInc,1,Assumptions!BD$77)*Assumptions!BD$74</f>
        <v/>
      </c>
      <c r="BE108" s="52">
        <f>$B$108*BE$99*INDEX(Cum_OtherInc,1,Assumptions!BE$77)*Assumptions!BE$74</f>
        <v/>
      </c>
      <c r="BF108" s="52">
        <f>$B$108*BF$99*INDEX(Cum_OtherInc,1,Assumptions!BF$77)*Assumptions!BF$74</f>
        <v/>
      </c>
      <c r="BG108" s="52">
        <f>$B$108*BG$99*INDEX(Cum_OtherInc,1,Assumptions!BG$77)*Assumptions!BG$74</f>
        <v/>
      </c>
      <c r="BH108" s="52">
        <f>$B$108*BH$99*INDEX(Cum_OtherInc,1,Assumptions!BH$77)*Assumptions!BH$74</f>
        <v/>
      </c>
      <c r="BI108" s="52">
        <f>$B$108*BI$99*INDEX(Cum_OtherInc,1,Assumptions!BI$77)*Assumptions!BI$74</f>
        <v/>
      </c>
      <c r="BJ108" s="52">
        <f>$B$108*BJ$99*INDEX(Cum_OtherInc,1,Assumptions!BJ$77)*Assumptions!BJ$74</f>
        <v/>
      </c>
      <c r="BK108" s="52">
        <f>$B$108*BK$99*INDEX(Cum_OtherInc,1,Assumptions!BK$77)*Assumptions!BK$74</f>
        <v/>
      </c>
      <c r="BL108" s="52">
        <f>$B$108*BL$99*INDEX(Cum_OtherInc,1,Assumptions!BL$77)*Assumptions!BL$74</f>
        <v/>
      </c>
      <c r="BM108" s="52">
        <f>$B$108*BM$99*INDEX(Cum_OtherInc,1,Assumptions!BM$77)*Assumptions!BM$74</f>
        <v/>
      </c>
      <c r="BN108" s="52">
        <f>$B$108*BN$99*INDEX(Cum_OtherInc,1,Assumptions!BN$77)*Assumptions!BN$74</f>
        <v/>
      </c>
      <c r="BO108" s="52">
        <f>$B$108*BO$99*INDEX(Cum_OtherInc,1,Assumptions!BO$77)*Assumptions!BO$74</f>
        <v/>
      </c>
      <c r="BP108" s="52">
        <f>$B$108*BP$99*INDEX(Cum_OtherInc,1,Assumptions!BP$77)*Assumptions!BP$74</f>
        <v/>
      </c>
      <c r="BQ108" s="52">
        <f>$B$108*BQ$99*INDEX(Cum_OtherInc,1,Assumptions!BQ$77)*Assumptions!BQ$74</f>
        <v/>
      </c>
      <c r="BR108" s="52">
        <f>$B$108*BR$99*INDEX(Cum_OtherInc,1,Assumptions!BR$77)*Assumptions!BR$74</f>
        <v/>
      </c>
      <c r="BS108" s="52">
        <f>$B$108*BS$99*INDEX(Cum_OtherInc,1,Assumptions!BS$77)*Assumptions!BS$74</f>
        <v/>
      </c>
      <c r="BT108" s="52">
        <f>$B$108*BT$99*INDEX(Cum_OtherInc,1,Assumptions!BT$77)*Assumptions!BT$74</f>
        <v/>
      </c>
      <c r="BU108" s="52">
        <f>$B$108*BU$99*INDEX(Cum_OtherInc,1,Assumptions!BU$77)*Assumptions!BU$74</f>
        <v/>
      </c>
      <c r="BV108" s="52">
        <f>$B$108*BV$99*INDEX(Cum_OtherInc,1,Assumptions!BV$77)*Assumptions!BV$74</f>
        <v/>
      </c>
      <c r="BW108" s="52">
        <f>$B$108*BW$99*INDEX(Cum_OtherInc,1,Assumptions!BW$77)*Assumptions!BW$74</f>
        <v/>
      </c>
      <c r="BX108" s="52">
        <f>$B$108*BX$99*INDEX(Cum_OtherInc,1,Assumptions!BX$77)*Assumptions!BX$74</f>
        <v/>
      </c>
      <c r="BY108" s="52">
        <f>$B$108*BY$99*INDEX(Cum_OtherInc,1,Assumptions!BY$77)*Assumptions!BY$74</f>
        <v/>
      </c>
      <c r="BZ108" s="52">
        <f>$B$108*BZ$99*INDEX(Cum_OtherInc,1,Assumptions!BZ$77)*Assumptions!BZ$74</f>
        <v/>
      </c>
      <c r="CA108" s="52">
        <f>$B$108*CA$99*INDEX(Cum_OtherInc,1,Assumptions!CA$77)*Assumptions!CA$74</f>
        <v/>
      </c>
      <c r="CB108" s="52">
        <f>$B$108*CB$99*INDEX(Cum_OtherInc,1,Assumptions!CB$77)*Assumptions!CB$74</f>
        <v/>
      </c>
      <c r="CC108" s="52">
        <f>$B$108*CC$99*INDEX(Cum_OtherInc,1,Assumptions!CC$77)*Assumptions!CC$74</f>
        <v/>
      </c>
      <c r="CD108" s="52">
        <f>$B$108*CD$99*INDEX(Cum_OtherInc,1,Assumptions!CD$77)*Assumptions!CD$74</f>
        <v/>
      </c>
      <c r="CE108" s="52">
        <f>$B$108*CE$99*INDEX(Cum_OtherInc,1,Assumptions!CE$77)*Assumptions!CE$74</f>
        <v/>
      </c>
      <c r="CF108" s="52">
        <f>$B$108*CF$99*INDEX(Cum_OtherInc,1,Assumptions!CF$77)*Assumptions!CF$74</f>
        <v/>
      </c>
      <c r="CG108" s="52">
        <f>$B$108*CG$99*INDEX(Cum_OtherInc,1,Assumptions!CG$77)*Assumptions!CG$74</f>
        <v/>
      </c>
      <c r="CH108" s="52">
        <f>$B$108*CH$99*INDEX(Cum_OtherInc,1,Assumptions!CH$77)*Assumptions!CH$74</f>
        <v/>
      </c>
      <c r="CI108" s="52">
        <f>$B$108*CI$99*INDEX(Cum_OtherInc,1,Assumptions!CI$77)*Assumptions!CI$74</f>
        <v/>
      </c>
      <c r="CJ108" s="52">
        <f>$B$108*CJ$99*INDEX(Cum_OtherInc,1,Assumptions!CJ$77)*Assumptions!CJ$74</f>
        <v/>
      </c>
      <c r="CK108" s="52">
        <f>$B$108*CK$99*INDEX(Cum_OtherInc,1,Assumptions!CK$77)*Assumptions!CK$74</f>
        <v/>
      </c>
      <c r="CL108" s="52">
        <f>$B$108*CL$99*INDEX(Cum_OtherInc,1,Assumptions!CL$77)*Assumptions!CL$74</f>
        <v/>
      </c>
      <c r="CM108" s="52">
        <f>$B$108*CM$99*INDEX(Cum_OtherInc,1,Assumptions!CM$77)*Assumptions!CM$74</f>
        <v/>
      </c>
      <c r="CN108" s="52">
        <f>$B$108*CN$99*INDEX(Cum_OtherInc,1,Assumptions!CN$77)*Assumptions!CN$74</f>
        <v/>
      </c>
      <c r="CO108" s="52">
        <f>$B$108*CO$99*INDEX(Cum_OtherInc,1,Assumptions!CO$77)*Assumptions!CO$74</f>
        <v/>
      </c>
      <c r="CP108" s="52">
        <f>$B$108*CP$99*INDEX(Cum_OtherInc,1,Assumptions!CP$77)*Assumptions!CP$74</f>
        <v/>
      </c>
      <c r="CQ108" s="52">
        <f>$B$108*CQ$99*INDEX(Cum_OtherInc,1,Assumptions!CQ$77)*Assumptions!CQ$74</f>
        <v/>
      </c>
      <c r="CR108" s="52">
        <f>$B$108*CR$99*INDEX(Cum_OtherInc,1,Assumptions!CR$77)*Assumptions!CR$74</f>
        <v/>
      </c>
      <c r="CS108" s="52">
        <f>$B$108*CS$99*INDEX(Cum_OtherInc,1,Assumptions!CS$77)*Assumptions!CS$74</f>
        <v/>
      </c>
      <c r="CT108" s="52">
        <f>$B$108*CT$99*INDEX(Cum_OtherInc,1,Assumptions!CT$77)*Assumptions!CT$74</f>
        <v/>
      </c>
      <c r="CU108" s="52">
        <f>$B$108*CU$99*INDEX(Cum_OtherInc,1,Assumptions!CU$77)*Assumptions!CU$74</f>
        <v/>
      </c>
      <c r="CV108" s="52">
        <f>$B$108*CV$99*INDEX(Cum_OtherInc,1,Assumptions!CV$77)*Assumptions!CV$74</f>
        <v/>
      </c>
      <c r="CW108" s="52">
        <f>$B$108*CW$99*INDEX(Cum_OtherInc,1,Assumptions!CW$77)*Assumptions!CW$74</f>
        <v/>
      </c>
      <c r="CX108" s="52">
        <f>$B$108*CX$99*INDEX(Cum_OtherInc,1,Assumptions!CX$77)*Assumptions!CX$74</f>
        <v/>
      </c>
      <c r="CY108" s="52">
        <f>$B$108*CY$99*INDEX(Cum_OtherInc,1,Assumptions!CY$77)*Assumptions!CY$74</f>
        <v/>
      </c>
      <c r="CZ108" s="52">
        <f>$B$108*CZ$99*INDEX(Cum_OtherInc,1,Assumptions!CZ$77)*Assumptions!CZ$74</f>
        <v/>
      </c>
      <c r="DA108" s="52">
        <f>$B$108*DA$99*INDEX(Cum_OtherInc,1,Assumptions!DA$77)*Assumptions!DA$74</f>
        <v/>
      </c>
      <c r="DB108" s="52">
        <f>$B$108*DB$99*INDEX(Cum_OtherInc,1,Assumptions!DB$77)*Assumptions!DB$74</f>
        <v/>
      </c>
      <c r="DC108" s="52">
        <f>$B$108*DC$99*INDEX(Cum_OtherInc,1,Assumptions!DC$77)*Assumptions!DC$74</f>
        <v/>
      </c>
      <c r="DD108" s="52">
        <f>$B$108*DD$99*INDEX(Cum_OtherInc,1,Assumptions!DD$77)*Assumptions!DD$74</f>
        <v/>
      </c>
      <c r="DE108" s="52">
        <f>$B$108*DE$99*INDEX(Cum_OtherInc,1,Assumptions!DE$77)*Assumptions!DE$74</f>
        <v/>
      </c>
      <c r="DF108" s="52">
        <f>$B$108*DF$99*INDEX(Cum_OtherInc,1,Assumptions!DF$77)*Assumptions!DF$74</f>
        <v/>
      </c>
      <c r="DG108" s="52">
        <f>$B$108*DG$99*INDEX(Cum_OtherInc,1,Assumptions!DG$77)*Assumptions!DG$74</f>
        <v/>
      </c>
      <c r="DH108" s="52">
        <f>$B$108*DH$99*INDEX(Cum_OtherInc,1,Assumptions!DH$77)*Assumptions!DH$74</f>
        <v/>
      </c>
      <c r="DI108" s="52">
        <f>$B$108*DI$99*INDEX(Cum_OtherInc,1,Assumptions!DI$77)*Assumptions!DI$74</f>
        <v/>
      </c>
      <c r="DJ108" s="52">
        <f>$B$108*DJ$99*INDEX(Cum_OtherInc,1,Assumptions!DJ$77)*Assumptions!DJ$74</f>
        <v/>
      </c>
      <c r="DK108" s="52">
        <f>$B$108*DK$99*INDEX(Cum_OtherInc,1,Assumptions!DK$77)*Assumptions!DK$74</f>
        <v/>
      </c>
      <c r="DL108" s="52">
        <f>$B$108*DL$99*INDEX(Cum_OtherInc,1,Assumptions!DL$77)*Assumptions!DL$74</f>
        <v/>
      </c>
      <c r="DM108" s="52">
        <f>$B$108*DM$99*INDEX(Cum_OtherInc,1,Assumptions!DM$77)*Assumptions!DM$74</f>
        <v/>
      </c>
      <c r="DN108" s="52">
        <f>$B$108*DN$99*INDEX(Cum_OtherInc,1,Assumptions!DN$77)*Assumptions!DN$74</f>
        <v/>
      </c>
      <c r="DO108" s="52">
        <f>$B$108*DO$99*INDEX(Cum_OtherInc,1,Assumptions!DO$77)*Assumptions!DO$74</f>
        <v/>
      </c>
      <c r="DP108" s="52">
        <f>$B$108*DP$99*INDEX(Cum_OtherInc,1,Assumptions!DP$77)*Assumptions!DP$74</f>
        <v/>
      </c>
      <c r="DQ108" s="52">
        <f>$B$108*DQ$99*INDEX(Cum_OtherInc,1,Assumptions!DQ$77)*Assumptions!DQ$74</f>
        <v/>
      </c>
      <c r="DR108" s="52">
        <f>$B$108*DR$99*INDEX(Cum_OtherInc,1,Assumptions!DR$77)*Assumptions!DR$74</f>
        <v/>
      </c>
      <c r="DS108" s="52">
        <f>$B$108*DS$99*INDEX(Cum_OtherInc,1,Assumptions!DS$77)*Assumptions!DS$74</f>
        <v/>
      </c>
      <c r="DT108" s="52">
        <f>$B$108*DT$99*INDEX(Cum_OtherInc,1,Assumptions!DT$77)*Assumptions!DT$74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$B$109*E$99*INDEX(Cum_OtherInc,1,Assumptions!E$77)*Assumptions!E$74</f>
        <v/>
      </c>
      <c r="F109" s="52">
        <f>$B$109*F$99*INDEX(Cum_OtherInc,1,Assumptions!F$77)*Assumptions!F$74</f>
        <v/>
      </c>
      <c r="G109" s="52">
        <f>$B$109*G$99*INDEX(Cum_OtherInc,1,Assumptions!G$77)*Assumptions!G$74</f>
        <v/>
      </c>
      <c r="H109" s="52">
        <f>$B$109*H$99*INDEX(Cum_OtherInc,1,Assumptions!H$77)*Assumptions!H$74</f>
        <v/>
      </c>
      <c r="I109" s="52">
        <f>$B$109*I$99*INDEX(Cum_OtherInc,1,Assumptions!I$77)*Assumptions!I$74</f>
        <v/>
      </c>
      <c r="J109" s="52">
        <f>$B$109*J$99*INDEX(Cum_OtherInc,1,Assumptions!J$77)*Assumptions!J$74</f>
        <v/>
      </c>
      <c r="K109" s="52">
        <f>$B$109*K$99*INDEX(Cum_OtherInc,1,Assumptions!K$77)*Assumptions!K$74</f>
        <v/>
      </c>
      <c r="L109" s="52">
        <f>$B$109*L$99*INDEX(Cum_OtherInc,1,Assumptions!L$77)*Assumptions!L$74</f>
        <v/>
      </c>
      <c r="M109" s="52">
        <f>$B$109*M$99*INDEX(Cum_OtherInc,1,Assumptions!M$77)*Assumptions!M$74</f>
        <v/>
      </c>
      <c r="N109" s="52">
        <f>$B$109*N$99*INDEX(Cum_OtherInc,1,Assumptions!N$77)*Assumptions!N$74</f>
        <v/>
      </c>
      <c r="O109" s="52">
        <f>$B$109*O$99*INDEX(Cum_OtherInc,1,Assumptions!O$77)*Assumptions!O$74</f>
        <v/>
      </c>
      <c r="P109" s="52">
        <f>$B$109*P$99*INDEX(Cum_OtherInc,1,Assumptions!P$77)*Assumptions!P$74</f>
        <v/>
      </c>
      <c r="Q109" s="52">
        <f>$B$109*Q$99*INDEX(Cum_OtherInc,1,Assumptions!Q$77)*Assumptions!Q$74</f>
        <v/>
      </c>
      <c r="R109" s="52">
        <f>$B$109*R$99*INDEX(Cum_OtherInc,1,Assumptions!R$77)*Assumptions!R$74</f>
        <v/>
      </c>
      <c r="S109" s="52">
        <f>$B$109*S$99*INDEX(Cum_OtherInc,1,Assumptions!S$77)*Assumptions!S$74</f>
        <v/>
      </c>
      <c r="T109" s="52">
        <f>$B$109*T$99*INDEX(Cum_OtherInc,1,Assumptions!T$77)*Assumptions!T$74</f>
        <v/>
      </c>
      <c r="U109" s="52">
        <f>$B$109*U$99*INDEX(Cum_OtherInc,1,Assumptions!U$77)*Assumptions!U$74</f>
        <v/>
      </c>
      <c r="V109" s="52">
        <f>$B$109*V$99*INDEX(Cum_OtherInc,1,Assumptions!V$77)*Assumptions!V$74</f>
        <v/>
      </c>
      <c r="W109" s="52">
        <f>$B$109*W$99*INDEX(Cum_OtherInc,1,Assumptions!W$77)*Assumptions!W$74</f>
        <v/>
      </c>
      <c r="X109" s="52">
        <f>$B$109*X$99*INDEX(Cum_OtherInc,1,Assumptions!X$77)*Assumptions!X$74</f>
        <v/>
      </c>
      <c r="Y109" s="52">
        <f>$B$109*Y$99*INDEX(Cum_OtherInc,1,Assumptions!Y$77)*Assumptions!Y$74</f>
        <v/>
      </c>
      <c r="Z109" s="52">
        <f>$B$109*Z$99*INDEX(Cum_OtherInc,1,Assumptions!Z$77)*Assumptions!Z$74</f>
        <v/>
      </c>
      <c r="AA109" s="52">
        <f>$B$109*AA$99*INDEX(Cum_OtherInc,1,Assumptions!AA$77)*Assumptions!AA$74</f>
        <v/>
      </c>
      <c r="AB109" s="52">
        <f>$B$109*AB$99*INDEX(Cum_OtherInc,1,Assumptions!AB$77)*Assumptions!AB$74</f>
        <v/>
      </c>
      <c r="AC109" s="52">
        <f>$B$109*AC$99*INDEX(Cum_OtherInc,1,Assumptions!AC$77)*Assumptions!AC$74</f>
        <v/>
      </c>
      <c r="AD109" s="52">
        <f>$B$109*AD$99*INDEX(Cum_OtherInc,1,Assumptions!AD$77)*Assumptions!AD$74</f>
        <v/>
      </c>
      <c r="AE109" s="52">
        <f>$B$109*AE$99*INDEX(Cum_OtherInc,1,Assumptions!AE$77)*Assumptions!AE$74</f>
        <v/>
      </c>
      <c r="AF109" s="52">
        <f>$B$109*AF$99*INDEX(Cum_OtherInc,1,Assumptions!AF$77)*Assumptions!AF$74</f>
        <v/>
      </c>
      <c r="AG109" s="52">
        <f>$B$109*AG$99*INDEX(Cum_OtherInc,1,Assumptions!AG$77)*Assumptions!AG$74</f>
        <v/>
      </c>
      <c r="AH109" s="52">
        <f>$B$109*AH$99*INDEX(Cum_OtherInc,1,Assumptions!AH$77)*Assumptions!AH$74</f>
        <v/>
      </c>
      <c r="AI109" s="52">
        <f>$B$109*AI$99*INDEX(Cum_OtherInc,1,Assumptions!AI$77)*Assumptions!AI$74</f>
        <v/>
      </c>
      <c r="AJ109" s="52">
        <f>$B$109*AJ$99*INDEX(Cum_OtherInc,1,Assumptions!AJ$77)*Assumptions!AJ$74</f>
        <v/>
      </c>
      <c r="AK109" s="52">
        <f>$B$109*AK$99*INDEX(Cum_OtherInc,1,Assumptions!AK$77)*Assumptions!AK$74</f>
        <v/>
      </c>
      <c r="AL109" s="52">
        <f>$B$109*AL$99*INDEX(Cum_OtherInc,1,Assumptions!AL$77)*Assumptions!AL$74</f>
        <v/>
      </c>
      <c r="AM109" s="52">
        <f>$B$109*AM$99*INDEX(Cum_OtherInc,1,Assumptions!AM$77)*Assumptions!AM$74</f>
        <v/>
      </c>
      <c r="AN109" s="52">
        <f>$B$109*AN$99*INDEX(Cum_OtherInc,1,Assumptions!AN$77)*Assumptions!AN$74</f>
        <v/>
      </c>
      <c r="AO109" s="52">
        <f>$B$109*AO$99*INDEX(Cum_OtherInc,1,Assumptions!AO$77)*Assumptions!AO$74</f>
        <v/>
      </c>
      <c r="AP109" s="52">
        <f>$B$109*AP$99*INDEX(Cum_OtherInc,1,Assumptions!AP$77)*Assumptions!AP$74</f>
        <v/>
      </c>
      <c r="AQ109" s="52">
        <f>$B$109*AQ$99*INDEX(Cum_OtherInc,1,Assumptions!AQ$77)*Assumptions!AQ$74</f>
        <v/>
      </c>
      <c r="AR109" s="52">
        <f>$B$109*AR$99*INDEX(Cum_OtherInc,1,Assumptions!AR$77)*Assumptions!AR$74</f>
        <v/>
      </c>
      <c r="AS109" s="52">
        <f>$B$109*AS$99*INDEX(Cum_OtherInc,1,Assumptions!AS$77)*Assumptions!AS$74</f>
        <v/>
      </c>
      <c r="AT109" s="52">
        <f>$B$109*AT$99*INDEX(Cum_OtherInc,1,Assumptions!AT$77)*Assumptions!AT$74</f>
        <v/>
      </c>
      <c r="AU109" s="52">
        <f>$B$109*AU$99*INDEX(Cum_OtherInc,1,Assumptions!AU$77)*Assumptions!AU$74</f>
        <v/>
      </c>
      <c r="AV109" s="52">
        <f>$B$109*AV$99*INDEX(Cum_OtherInc,1,Assumptions!AV$77)*Assumptions!AV$74</f>
        <v/>
      </c>
      <c r="AW109" s="52">
        <f>$B$109*AW$99*INDEX(Cum_OtherInc,1,Assumptions!AW$77)*Assumptions!AW$74</f>
        <v/>
      </c>
      <c r="AX109" s="52">
        <f>$B$109*AX$99*INDEX(Cum_OtherInc,1,Assumptions!AX$77)*Assumptions!AX$74</f>
        <v/>
      </c>
      <c r="AY109" s="52">
        <f>$B$109*AY$99*INDEX(Cum_OtherInc,1,Assumptions!AY$77)*Assumptions!AY$74</f>
        <v/>
      </c>
      <c r="AZ109" s="52">
        <f>$B$109*AZ$99*INDEX(Cum_OtherInc,1,Assumptions!AZ$77)*Assumptions!AZ$74</f>
        <v/>
      </c>
      <c r="BA109" s="52">
        <f>$B$109*BA$99*INDEX(Cum_OtherInc,1,Assumptions!BA$77)*Assumptions!BA$74</f>
        <v/>
      </c>
      <c r="BB109" s="52">
        <f>$B$109*BB$99*INDEX(Cum_OtherInc,1,Assumptions!BB$77)*Assumptions!BB$74</f>
        <v/>
      </c>
      <c r="BC109" s="52">
        <f>$B$109*BC$99*INDEX(Cum_OtherInc,1,Assumptions!BC$77)*Assumptions!BC$74</f>
        <v/>
      </c>
      <c r="BD109" s="52">
        <f>$B$109*BD$99*INDEX(Cum_OtherInc,1,Assumptions!BD$77)*Assumptions!BD$74</f>
        <v/>
      </c>
      <c r="BE109" s="52">
        <f>$B$109*BE$99*INDEX(Cum_OtherInc,1,Assumptions!BE$77)*Assumptions!BE$74</f>
        <v/>
      </c>
      <c r="BF109" s="52">
        <f>$B$109*BF$99*INDEX(Cum_OtherInc,1,Assumptions!BF$77)*Assumptions!BF$74</f>
        <v/>
      </c>
      <c r="BG109" s="52">
        <f>$B$109*BG$99*INDEX(Cum_OtherInc,1,Assumptions!BG$77)*Assumptions!BG$74</f>
        <v/>
      </c>
      <c r="BH109" s="52">
        <f>$B$109*BH$99*INDEX(Cum_OtherInc,1,Assumptions!BH$77)*Assumptions!BH$74</f>
        <v/>
      </c>
      <c r="BI109" s="52">
        <f>$B$109*BI$99*INDEX(Cum_OtherInc,1,Assumptions!BI$77)*Assumptions!BI$74</f>
        <v/>
      </c>
      <c r="BJ109" s="52">
        <f>$B$109*BJ$99*INDEX(Cum_OtherInc,1,Assumptions!BJ$77)*Assumptions!BJ$74</f>
        <v/>
      </c>
      <c r="BK109" s="52">
        <f>$B$109*BK$99*INDEX(Cum_OtherInc,1,Assumptions!BK$77)*Assumptions!BK$74</f>
        <v/>
      </c>
      <c r="BL109" s="52">
        <f>$B$109*BL$99*INDEX(Cum_OtherInc,1,Assumptions!BL$77)*Assumptions!BL$74</f>
        <v/>
      </c>
      <c r="BM109" s="52">
        <f>$B$109*BM$99*INDEX(Cum_OtherInc,1,Assumptions!BM$77)*Assumptions!BM$74</f>
        <v/>
      </c>
      <c r="BN109" s="52">
        <f>$B$109*BN$99*INDEX(Cum_OtherInc,1,Assumptions!BN$77)*Assumptions!BN$74</f>
        <v/>
      </c>
      <c r="BO109" s="52">
        <f>$B$109*BO$99*INDEX(Cum_OtherInc,1,Assumptions!BO$77)*Assumptions!BO$74</f>
        <v/>
      </c>
      <c r="BP109" s="52">
        <f>$B$109*BP$99*INDEX(Cum_OtherInc,1,Assumptions!BP$77)*Assumptions!BP$74</f>
        <v/>
      </c>
      <c r="BQ109" s="52">
        <f>$B$109*BQ$99*INDEX(Cum_OtherInc,1,Assumptions!BQ$77)*Assumptions!BQ$74</f>
        <v/>
      </c>
      <c r="BR109" s="52">
        <f>$B$109*BR$99*INDEX(Cum_OtherInc,1,Assumptions!BR$77)*Assumptions!BR$74</f>
        <v/>
      </c>
      <c r="BS109" s="52">
        <f>$B$109*BS$99*INDEX(Cum_OtherInc,1,Assumptions!BS$77)*Assumptions!BS$74</f>
        <v/>
      </c>
      <c r="BT109" s="52">
        <f>$B$109*BT$99*INDEX(Cum_OtherInc,1,Assumptions!BT$77)*Assumptions!BT$74</f>
        <v/>
      </c>
      <c r="BU109" s="52">
        <f>$B$109*BU$99*INDEX(Cum_OtherInc,1,Assumptions!BU$77)*Assumptions!BU$74</f>
        <v/>
      </c>
      <c r="BV109" s="52">
        <f>$B$109*BV$99*INDEX(Cum_OtherInc,1,Assumptions!BV$77)*Assumptions!BV$74</f>
        <v/>
      </c>
      <c r="BW109" s="52">
        <f>$B$109*BW$99*INDEX(Cum_OtherInc,1,Assumptions!BW$77)*Assumptions!BW$74</f>
        <v/>
      </c>
      <c r="BX109" s="52">
        <f>$B$109*BX$99*INDEX(Cum_OtherInc,1,Assumptions!BX$77)*Assumptions!BX$74</f>
        <v/>
      </c>
      <c r="BY109" s="52">
        <f>$B$109*BY$99*INDEX(Cum_OtherInc,1,Assumptions!BY$77)*Assumptions!BY$74</f>
        <v/>
      </c>
      <c r="BZ109" s="52">
        <f>$B$109*BZ$99*INDEX(Cum_OtherInc,1,Assumptions!BZ$77)*Assumptions!BZ$74</f>
        <v/>
      </c>
      <c r="CA109" s="52">
        <f>$B$109*CA$99*INDEX(Cum_OtherInc,1,Assumptions!CA$77)*Assumptions!CA$74</f>
        <v/>
      </c>
      <c r="CB109" s="52">
        <f>$B$109*CB$99*INDEX(Cum_OtherInc,1,Assumptions!CB$77)*Assumptions!CB$74</f>
        <v/>
      </c>
      <c r="CC109" s="52">
        <f>$B$109*CC$99*INDEX(Cum_OtherInc,1,Assumptions!CC$77)*Assumptions!CC$74</f>
        <v/>
      </c>
      <c r="CD109" s="52">
        <f>$B$109*CD$99*INDEX(Cum_OtherInc,1,Assumptions!CD$77)*Assumptions!CD$74</f>
        <v/>
      </c>
      <c r="CE109" s="52">
        <f>$B$109*CE$99*INDEX(Cum_OtherInc,1,Assumptions!CE$77)*Assumptions!CE$74</f>
        <v/>
      </c>
      <c r="CF109" s="52">
        <f>$B$109*CF$99*INDEX(Cum_OtherInc,1,Assumptions!CF$77)*Assumptions!CF$74</f>
        <v/>
      </c>
      <c r="CG109" s="52">
        <f>$B$109*CG$99*INDEX(Cum_OtherInc,1,Assumptions!CG$77)*Assumptions!CG$74</f>
        <v/>
      </c>
      <c r="CH109" s="52">
        <f>$B$109*CH$99*INDEX(Cum_OtherInc,1,Assumptions!CH$77)*Assumptions!CH$74</f>
        <v/>
      </c>
      <c r="CI109" s="52">
        <f>$B$109*CI$99*INDEX(Cum_OtherInc,1,Assumptions!CI$77)*Assumptions!CI$74</f>
        <v/>
      </c>
      <c r="CJ109" s="52">
        <f>$B$109*CJ$99*INDEX(Cum_OtherInc,1,Assumptions!CJ$77)*Assumptions!CJ$74</f>
        <v/>
      </c>
      <c r="CK109" s="52">
        <f>$B$109*CK$99*INDEX(Cum_OtherInc,1,Assumptions!CK$77)*Assumptions!CK$74</f>
        <v/>
      </c>
      <c r="CL109" s="52">
        <f>$B$109*CL$99*INDEX(Cum_OtherInc,1,Assumptions!CL$77)*Assumptions!CL$74</f>
        <v/>
      </c>
      <c r="CM109" s="52">
        <f>$B$109*CM$99*INDEX(Cum_OtherInc,1,Assumptions!CM$77)*Assumptions!CM$74</f>
        <v/>
      </c>
      <c r="CN109" s="52">
        <f>$B$109*CN$99*INDEX(Cum_OtherInc,1,Assumptions!CN$77)*Assumptions!CN$74</f>
        <v/>
      </c>
      <c r="CO109" s="52">
        <f>$B$109*CO$99*INDEX(Cum_OtherInc,1,Assumptions!CO$77)*Assumptions!CO$74</f>
        <v/>
      </c>
      <c r="CP109" s="52">
        <f>$B$109*CP$99*INDEX(Cum_OtherInc,1,Assumptions!CP$77)*Assumptions!CP$74</f>
        <v/>
      </c>
      <c r="CQ109" s="52">
        <f>$B$109*CQ$99*INDEX(Cum_OtherInc,1,Assumptions!CQ$77)*Assumptions!CQ$74</f>
        <v/>
      </c>
      <c r="CR109" s="52">
        <f>$B$109*CR$99*INDEX(Cum_OtherInc,1,Assumptions!CR$77)*Assumptions!CR$74</f>
        <v/>
      </c>
      <c r="CS109" s="52">
        <f>$B$109*CS$99*INDEX(Cum_OtherInc,1,Assumptions!CS$77)*Assumptions!CS$74</f>
        <v/>
      </c>
      <c r="CT109" s="52">
        <f>$B$109*CT$99*INDEX(Cum_OtherInc,1,Assumptions!CT$77)*Assumptions!CT$74</f>
        <v/>
      </c>
      <c r="CU109" s="52">
        <f>$B$109*CU$99*INDEX(Cum_OtherInc,1,Assumptions!CU$77)*Assumptions!CU$74</f>
        <v/>
      </c>
      <c r="CV109" s="52">
        <f>$B$109*CV$99*INDEX(Cum_OtherInc,1,Assumptions!CV$77)*Assumptions!CV$74</f>
        <v/>
      </c>
      <c r="CW109" s="52">
        <f>$B$109*CW$99*INDEX(Cum_OtherInc,1,Assumptions!CW$77)*Assumptions!CW$74</f>
        <v/>
      </c>
      <c r="CX109" s="52">
        <f>$B$109*CX$99*INDEX(Cum_OtherInc,1,Assumptions!CX$77)*Assumptions!CX$74</f>
        <v/>
      </c>
      <c r="CY109" s="52">
        <f>$B$109*CY$99*INDEX(Cum_OtherInc,1,Assumptions!CY$77)*Assumptions!CY$74</f>
        <v/>
      </c>
      <c r="CZ109" s="52">
        <f>$B$109*CZ$99*INDEX(Cum_OtherInc,1,Assumptions!CZ$77)*Assumptions!CZ$74</f>
        <v/>
      </c>
      <c r="DA109" s="52">
        <f>$B$109*DA$99*INDEX(Cum_OtherInc,1,Assumptions!DA$77)*Assumptions!DA$74</f>
        <v/>
      </c>
      <c r="DB109" s="52">
        <f>$B$109*DB$99*INDEX(Cum_OtherInc,1,Assumptions!DB$77)*Assumptions!DB$74</f>
        <v/>
      </c>
      <c r="DC109" s="52">
        <f>$B$109*DC$99*INDEX(Cum_OtherInc,1,Assumptions!DC$77)*Assumptions!DC$74</f>
        <v/>
      </c>
      <c r="DD109" s="52">
        <f>$B$109*DD$99*INDEX(Cum_OtherInc,1,Assumptions!DD$77)*Assumptions!DD$74</f>
        <v/>
      </c>
      <c r="DE109" s="52">
        <f>$B$109*DE$99*INDEX(Cum_OtherInc,1,Assumptions!DE$77)*Assumptions!DE$74</f>
        <v/>
      </c>
      <c r="DF109" s="52">
        <f>$B$109*DF$99*INDEX(Cum_OtherInc,1,Assumptions!DF$77)*Assumptions!DF$74</f>
        <v/>
      </c>
      <c r="DG109" s="52">
        <f>$B$109*DG$99*INDEX(Cum_OtherInc,1,Assumptions!DG$77)*Assumptions!DG$74</f>
        <v/>
      </c>
      <c r="DH109" s="52">
        <f>$B$109*DH$99*INDEX(Cum_OtherInc,1,Assumptions!DH$77)*Assumptions!DH$74</f>
        <v/>
      </c>
      <c r="DI109" s="52">
        <f>$B$109*DI$99*INDEX(Cum_OtherInc,1,Assumptions!DI$77)*Assumptions!DI$74</f>
        <v/>
      </c>
      <c r="DJ109" s="52">
        <f>$B$109*DJ$99*INDEX(Cum_OtherInc,1,Assumptions!DJ$77)*Assumptions!DJ$74</f>
        <v/>
      </c>
      <c r="DK109" s="52">
        <f>$B$109*DK$99*INDEX(Cum_OtherInc,1,Assumptions!DK$77)*Assumptions!DK$74</f>
        <v/>
      </c>
      <c r="DL109" s="52">
        <f>$B$109*DL$99*INDEX(Cum_OtherInc,1,Assumptions!DL$77)*Assumptions!DL$74</f>
        <v/>
      </c>
      <c r="DM109" s="52">
        <f>$B$109*DM$99*INDEX(Cum_OtherInc,1,Assumptions!DM$77)*Assumptions!DM$74</f>
        <v/>
      </c>
      <c r="DN109" s="52">
        <f>$B$109*DN$99*INDEX(Cum_OtherInc,1,Assumptions!DN$77)*Assumptions!DN$74</f>
        <v/>
      </c>
      <c r="DO109" s="52">
        <f>$B$109*DO$99*INDEX(Cum_OtherInc,1,Assumptions!DO$77)*Assumptions!DO$74</f>
        <v/>
      </c>
      <c r="DP109" s="52">
        <f>$B$109*DP$99*INDEX(Cum_OtherInc,1,Assumptions!DP$77)*Assumptions!DP$74</f>
        <v/>
      </c>
      <c r="DQ109" s="52">
        <f>$B$109*DQ$99*INDEX(Cum_OtherInc,1,Assumptions!DQ$77)*Assumptions!DQ$74</f>
        <v/>
      </c>
      <c r="DR109" s="52">
        <f>$B$109*DR$99*INDEX(Cum_OtherInc,1,Assumptions!DR$77)*Assumptions!DR$74</f>
        <v/>
      </c>
      <c r="DS109" s="52">
        <f>$B$109*DS$99*INDEX(Cum_OtherInc,1,Assumptions!DS$77)*Assumptions!DS$74</f>
        <v/>
      </c>
      <c r="DT109" s="52">
        <f>$B$109*DT$99*INDEX(Cum_OtherInc,1,Assumptions!DT$77)*Assumptions!DT$74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$B$110*E$99*INDEX(Cum_OtherInc,1,Assumptions!E$77)*Assumptions!E$74</f>
        <v/>
      </c>
      <c r="F110" s="52">
        <f>$B$110*F$99*INDEX(Cum_OtherInc,1,Assumptions!F$77)*Assumptions!F$74</f>
        <v/>
      </c>
      <c r="G110" s="52">
        <f>$B$110*G$99*INDEX(Cum_OtherInc,1,Assumptions!G$77)*Assumptions!G$74</f>
        <v/>
      </c>
      <c r="H110" s="52">
        <f>$B$110*H$99*INDEX(Cum_OtherInc,1,Assumptions!H$77)*Assumptions!H$74</f>
        <v/>
      </c>
      <c r="I110" s="52">
        <f>$B$110*I$99*INDEX(Cum_OtherInc,1,Assumptions!I$77)*Assumptions!I$74</f>
        <v/>
      </c>
      <c r="J110" s="52">
        <f>$B$110*J$99*INDEX(Cum_OtherInc,1,Assumptions!J$77)*Assumptions!J$74</f>
        <v/>
      </c>
      <c r="K110" s="52">
        <f>$B$110*K$99*INDEX(Cum_OtherInc,1,Assumptions!K$77)*Assumptions!K$74</f>
        <v/>
      </c>
      <c r="L110" s="52">
        <f>$B$110*L$99*INDEX(Cum_OtherInc,1,Assumptions!L$77)*Assumptions!L$74</f>
        <v/>
      </c>
      <c r="M110" s="52">
        <f>$B$110*M$99*INDEX(Cum_OtherInc,1,Assumptions!M$77)*Assumptions!M$74</f>
        <v/>
      </c>
      <c r="N110" s="52">
        <f>$B$110*N$99*INDEX(Cum_OtherInc,1,Assumptions!N$77)*Assumptions!N$74</f>
        <v/>
      </c>
      <c r="O110" s="52">
        <f>$B$110*O$99*INDEX(Cum_OtherInc,1,Assumptions!O$77)*Assumptions!O$74</f>
        <v/>
      </c>
      <c r="P110" s="52">
        <f>$B$110*P$99*INDEX(Cum_OtherInc,1,Assumptions!P$77)*Assumptions!P$74</f>
        <v/>
      </c>
      <c r="Q110" s="52">
        <f>$B$110*Q$99*INDEX(Cum_OtherInc,1,Assumptions!Q$77)*Assumptions!Q$74</f>
        <v/>
      </c>
      <c r="R110" s="52">
        <f>$B$110*R$99*INDEX(Cum_OtherInc,1,Assumptions!R$77)*Assumptions!R$74</f>
        <v/>
      </c>
      <c r="S110" s="52">
        <f>$B$110*S$99*INDEX(Cum_OtherInc,1,Assumptions!S$77)*Assumptions!S$74</f>
        <v/>
      </c>
      <c r="T110" s="52">
        <f>$B$110*T$99*INDEX(Cum_OtherInc,1,Assumptions!T$77)*Assumptions!T$74</f>
        <v/>
      </c>
      <c r="U110" s="52">
        <f>$B$110*U$99*INDEX(Cum_OtherInc,1,Assumptions!U$77)*Assumptions!U$74</f>
        <v/>
      </c>
      <c r="V110" s="52">
        <f>$B$110*V$99*INDEX(Cum_OtherInc,1,Assumptions!V$77)*Assumptions!V$74</f>
        <v/>
      </c>
      <c r="W110" s="52">
        <f>$B$110*W$99*INDEX(Cum_OtherInc,1,Assumptions!W$77)*Assumptions!W$74</f>
        <v/>
      </c>
      <c r="X110" s="52">
        <f>$B$110*X$99*INDEX(Cum_OtherInc,1,Assumptions!X$77)*Assumptions!X$74</f>
        <v/>
      </c>
      <c r="Y110" s="52">
        <f>$B$110*Y$99*INDEX(Cum_OtherInc,1,Assumptions!Y$77)*Assumptions!Y$74</f>
        <v/>
      </c>
      <c r="Z110" s="52">
        <f>$B$110*Z$99*INDEX(Cum_OtherInc,1,Assumptions!Z$77)*Assumptions!Z$74</f>
        <v/>
      </c>
      <c r="AA110" s="52">
        <f>$B$110*AA$99*INDEX(Cum_OtherInc,1,Assumptions!AA$77)*Assumptions!AA$74</f>
        <v/>
      </c>
      <c r="AB110" s="52">
        <f>$B$110*AB$99*INDEX(Cum_OtherInc,1,Assumptions!AB$77)*Assumptions!AB$74</f>
        <v/>
      </c>
      <c r="AC110" s="52">
        <f>$B$110*AC$99*INDEX(Cum_OtherInc,1,Assumptions!AC$77)*Assumptions!AC$74</f>
        <v/>
      </c>
      <c r="AD110" s="52">
        <f>$B$110*AD$99*INDEX(Cum_OtherInc,1,Assumptions!AD$77)*Assumptions!AD$74</f>
        <v/>
      </c>
      <c r="AE110" s="52">
        <f>$B$110*AE$99*INDEX(Cum_OtherInc,1,Assumptions!AE$77)*Assumptions!AE$74</f>
        <v/>
      </c>
      <c r="AF110" s="52">
        <f>$B$110*AF$99*INDEX(Cum_OtherInc,1,Assumptions!AF$77)*Assumptions!AF$74</f>
        <v/>
      </c>
      <c r="AG110" s="52">
        <f>$B$110*AG$99*INDEX(Cum_OtherInc,1,Assumptions!AG$77)*Assumptions!AG$74</f>
        <v/>
      </c>
      <c r="AH110" s="52">
        <f>$B$110*AH$99*INDEX(Cum_OtherInc,1,Assumptions!AH$77)*Assumptions!AH$74</f>
        <v/>
      </c>
      <c r="AI110" s="52">
        <f>$B$110*AI$99*INDEX(Cum_OtherInc,1,Assumptions!AI$77)*Assumptions!AI$74</f>
        <v/>
      </c>
      <c r="AJ110" s="52">
        <f>$B$110*AJ$99*INDEX(Cum_OtherInc,1,Assumptions!AJ$77)*Assumptions!AJ$74</f>
        <v/>
      </c>
      <c r="AK110" s="52">
        <f>$B$110*AK$99*INDEX(Cum_OtherInc,1,Assumptions!AK$77)*Assumptions!AK$74</f>
        <v/>
      </c>
      <c r="AL110" s="52">
        <f>$B$110*AL$99*INDEX(Cum_OtherInc,1,Assumptions!AL$77)*Assumptions!AL$74</f>
        <v/>
      </c>
      <c r="AM110" s="52">
        <f>$B$110*AM$99*INDEX(Cum_OtherInc,1,Assumptions!AM$77)*Assumptions!AM$74</f>
        <v/>
      </c>
      <c r="AN110" s="52">
        <f>$B$110*AN$99*INDEX(Cum_OtherInc,1,Assumptions!AN$77)*Assumptions!AN$74</f>
        <v/>
      </c>
      <c r="AO110" s="52">
        <f>$B$110*AO$99*INDEX(Cum_OtherInc,1,Assumptions!AO$77)*Assumptions!AO$74</f>
        <v/>
      </c>
      <c r="AP110" s="52">
        <f>$B$110*AP$99*INDEX(Cum_OtherInc,1,Assumptions!AP$77)*Assumptions!AP$74</f>
        <v/>
      </c>
      <c r="AQ110" s="52">
        <f>$B$110*AQ$99*INDEX(Cum_OtherInc,1,Assumptions!AQ$77)*Assumptions!AQ$74</f>
        <v/>
      </c>
      <c r="AR110" s="52">
        <f>$B$110*AR$99*INDEX(Cum_OtherInc,1,Assumptions!AR$77)*Assumptions!AR$74</f>
        <v/>
      </c>
      <c r="AS110" s="52">
        <f>$B$110*AS$99*INDEX(Cum_OtherInc,1,Assumptions!AS$77)*Assumptions!AS$74</f>
        <v/>
      </c>
      <c r="AT110" s="52">
        <f>$B$110*AT$99*INDEX(Cum_OtherInc,1,Assumptions!AT$77)*Assumptions!AT$74</f>
        <v/>
      </c>
      <c r="AU110" s="52">
        <f>$B$110*AU$99*INDEX(Cum_OtherInc,1,Assumptions!AU$77)*Assumptions!AU$74</f>
        <v/>
      </c>
      <c r="AV110" s="52">
        <f>$B$110*AV$99*INDEX(Cum_OtherInc,1,Assumptions!AV$77)*Assumptions!AV$74</f>
        <v/>
      </c>
      <c r="AW110" s="52">
        <f>$B$110*AW$99*INDEX(Cum_OtherInc,1,Assumptions!AW$77)*Assumptions!AW$74</f>
        <v/>
      </c>
      <c r="AX110" s="52">
        <f>$B$110*AX$99*INDEX(Cum_OtherInc,1,Assumptions!AX$77)*Assumptions!AX$74</f>
        <v/>
      </c>
      <c r="AY110" s="52">
        <f>$B$110*AY$99*INDEX(Cum_OtherInc,1,Assumptions!AY$77)*Assumptions!AY$74</f>
        <v/>
      </c>
      <c r="AZ110" s="52">
        <f>$B$110*AZ$99*INDEX(Cum_OtherInc,1,Assumptions!AZ$77)*Assumptions!AZ$74</f>
        <v/>
      </c>
      <c r="BA110" s="52">
        <f>$B$110*BA$99*INDEX(Cum_OtherInc,1,Assumptions!BA$77)*Assumptions!BA$74</f>
        <v/>
      </c>
      <c r="BB110" s="52">
        <f>$B$110*BB$99*INDEX(Cum_OtherInc,1,Assumptions!BB$77)*Assumptions!BB$74</f>
        <v/>
      </c>
      <c r="BC110" s="52">
        <f>$B$110*BC$99*INDEX(Cum_OtherInc,1,Assumptions!BC$77)*Assumptions!BC$74</f>
        <v/>
      </c>
      <c r="BD110" s="52">
        <f>$B$110*BD$99*INDEX(Cum_OtherInc,1,Assumptions!BD$77)*Assumptions!BD$74</f>
        <v/>
      </c>
      <c r="BE110" s="52">
        <f>$B$110*BE$99*INDEX(Cum_OtherInc,1,Assumptions!BE$77)*Assumptions!BE$74</f>
        <v/>
      </c>
      <c r="BF110" s="52">
        <f>$B$110*BF$99*INDEX(Cum_OtherInc,1,Assumptions!BF$77)*Assumptions!BF$74</f>
        <v/>
      </c>
      <c r="BG110" s="52">
        <f>$B$110*BG$99*INDEX(Cum_OtherInc,1,Assumptions!BG$77)*Assumptions!BG$74</f>
        <v/>
      </c>
      <c r="BH110" s="52">
        <f>$B$110*BH$99*INDEX(Cum_OtherInc,1,Assumptions!BH$77)*Assumptions!BH$74</f>
        <v/>
      </c>
      <c r="BI110" s="52">
        <f>$B$110*BI$99*INDEX(Cum_OtherInc,1,Assumptions!BI$77)*Assumptions!BI$74</f>
        <v/>
      </c>
      <c r="BJ110" s="52">
        <f>$B$110*BJ$99*INDEX(Cum_OtherInc,1,Assumptions!BJ$77)*Assumptions!BJ$74</f>
        <v/>
      </c>
      <c r="BK110" s="52">
        <f>$B$110*BK$99*INDEX(Cum_OtherInc,1,Assumptions!BK$77)*Assumptions!BK$74</f>
        <v/>
      </c>
      <c r="BL110" s="52">
        <f>$B$110*BL$99*INDEX(Cum_OtherInc,1,Assumptions!BL$77)*Assumptions!BL$74</f>
        <v/>
      </c>
      <c r="BM110" s="52">
        <f>$B$110*BM$99*INDEX(Cum_OtherInc,1,Assumptions!BM$77)*Assumptions!BM$74</f>
        <v/>
      </c>
      <c r="BN110" s="52">
        <f>$B$110*BN$99*INDEX(Cum_OtherInc,1,Assumptions!BN$77)*Assumptions!BN$74</f>
        <v/>
      </c>
      <c r="BO110" s="52">
        <f>$B$110*BO$99*INDEX(Cum_OtherInc,1,Assumptions!BO$77)*Assumptions!BO$74</f>
        <v/>
      </c>
      <c r="BP110" s="52">
        <f>$B$110*BP$99*INDEX(Cum_OtherInc,1,Assumptions!BP$77)*Assumptions!BP$74</f>
        <v/>
      </c>
      <c r="BQ110" s="52">
        <f>$B$110*BQ$99*INDEX(Cum_OtherInc,1,Assumptions!BQ$77)*Assumptions!BQ$74</f>
        <v/>
      </c>
      <c r="BR110" s="52">
        <f>$B$110*BR$99*INDEX(Cum_OtherInc,1,Assumptions!BR$77)*Assumptions!BR$74</f>
        <v/>
      </c>
      <c r="BS110" s="52">
        <f>$B$110*BS$99*INDEX(Cum_OtherInc,1,Assumptions!BS$77)*Assumptions!BS$74</f>
        <v/>
      </c>
      <c r="BT110" s="52">
        <f>$B$110*BT$99*INDEX(Cum_OtherInc,1,Assumptions!BT$77)*Assumptions!BT$74</f>
        <v/>
      </c>
      <c r="BU110" s="52">
        <f>$B$110*BU$99*INDEX(Cum_OtherInc,1,Assumptions!BU$77)*Assumptions!BU$74</f>
        <v/>
      </c>
      <c r="BV110" s="52">
        <f>$B$110*BV$99*INDEX(Cum_OtherInc,1,Assumptions!BV$77)*Assumptions!BV$74</f>
        <v/>
      </c>
      <c r="BW110" s="52">
        <f>$B$110*BW$99*INDEX(Cum_OtherInc,1,Assumptions!BW$77)*Assumptions!BW$74</f>
        <v/>
      </c>
      <c r="BX110" s="52">
        <f>$B$110*BX$99*INDEX(Cum_OtherInc,1,Assumptions!BX$77)*Assumptions!BX$74</f>
        <v/>
      </c>
      <c r="BY110" s="52">
        <f>$B$110*BY$99*INDEX(Cum_OtherInc,1,Assumptions!BY$77)*Assumptions!BY$74</f>
        <v/>
      </c>
      <c r="BZ110" s="52">
        <f>$B$110*BZ$99*INDEX(Cum_OtherInc,1,Assumptions!BZ$77)*Assumptions!BZ$74</f>
        <v/>
      </c>
      <c r="CA110" s="52">
        <f>$B$110*CA$99*INDEX(Cum_OtherInc,1,Assumptions!CA$77)*Assumptions!CA$74</f>
        <v/>
      </c>
      <c r="CB110" s="52">
        <f>$B$110*CB$99*INDEX(Cum_OtherInc,1,Assumptions!CB$77)*Assumptions!CB$74</f>
        <v/>
      </c>
      <c r="CC110" s="52">
        <f>$B$110*CC$99*INDEX(Cum_OtherInc,1,Assumptions!CC$77)*Assumptions!CC$74</f>
        <v/>
      </c>
      <c r="CD110" s="52">
        <f>$B$110*CD$99*INDEX(Cum_OtherInc,1,Assumptions!CD$77)*Assumptions!CD$74</f>
        <v/>
      </c>
      <c r="CE110" s="52">
        <f>$B$110*CE$99*INDEX(Cum_OtherInc,1,Assumptions!CE$77)*Assumptions!CE$74</f>
        <v/>
      </c>
      <c r="CF110" s="52">
        <f>$B$110*CF$99*INDEX(Cum_OtherInc,1,Assumptions!CF$77)*Assumptions!CF$74</f>
        <v/>
      </c>
      <c r="CG110" s="52">
        <f>$B$110*CG$99*INDEX(Cum_OtherInc,1,Assumptions!CG$77)*Assumptions!CG$74</f>
        <v/>
      </c>
      <c r="CH110" s="52">
        <f>$B$110*CH$99*INDEX(Cum_OtherInc,1,Assumptions!CH$77)*Assumptions!CH$74</f>
        <v/>
      </c>
      <c r="CI110" s="52">
        <f>$B$110*CI$99*INDEX(Cum_OtherInc,1,Assumptions!CI$77)*Assumptions!CI$74</f>
        <v/>
      </c>
      <c r="CJ110" s="52">
        <f>$B$110*CJ$99*INDEX(Cum_OtherInc,1,Assumptions!CJ$77)*Assumptions!CJ$74</f>
        <v/>
      </c>
      <c r="CK110" s="52">
        <f>$B$110*CK$99*INDEX(Cum_OtherInc,1,Assumptions!CK$77)*Assumptions!CK$74</f>
        <v/>
      </c>
      <c r="CL110" s="52">
        <f>$B$110*CL$99*INDEX(Cum_OtherInc,1,Assumptions!CL$77)*Assumptions!CL$74</f>
        <v/>
      </c>
      <c r="CM110" s="52">
        <f>$B$110*CM$99*INDEX(Cum_OtherInc,1,Assumptions!CM$77)*Assumptions!CM$74</f>
        <v/>
      </c>
      <c r="CN110" s="52">
        <f>$B$110*CN$99*INDEX(Cum_OtherInc,1,Assumptions!CN$77)*Assumptions!CN$74</f>
        <v/>
      </c>
      <c r="CO110" s="52">
        <f>$B$110*CO$99*INDEX(Cum_OtherInc,1,Assumptions!CO$77)*Assumptions!CO$74</f>
        <v/>
      </c>
      <c r="CP110" s="52">
        <f>$B$110*CP$99*INDEX(Cum_OtherInc,1,Assumptions!CP$77)*Assumptions!CP$74</f>
        <v/>
      </c>
      <c r="CQ110" s="52">
        <f>$B$110*CQ$99*INDEX(Cum_OtherInc,1,Assumptions!CQ$77)*Assumptions!CQ$74</f>
        <v/>
      </c>
      <c r="CR110" s="52">
        <f>$B$110*CR$99*INDEX(Cum_OtherInc,1,Assumptions!CR$77)*Assumptions!CR$74</f>
        <v/>
      </c>
      <c r="CS110" s="52">
        <f>$B$110*CS$99*INDEX(Cum_OtherInc,1,Assumptions!CS$77)*Assumptions!CS$74</f>
        <v/>
      </c>
      <c r="CT110" s="52">
        <f>$B$110*CT$99*INDEX(Cum_OtherInc,1,Assumptions!CT$77)*Assumptions!CT$74</f>
        <v/>
      </c>
      <c r="CU110" s="52">
        <f>$B$110*CU$99*INDEX(Cum_OtherInc,1,Assumptions!CU$77)*Assumptions!CU$74</f>
        <v/>
      </c>
      <c r="CV110" s="52">
        <f>$B$110*CV$99*INDEX(Cum_OtherInc,1,Assumptions!CV$77)*Assumptions!CV$74</f>
        <v/>
      </c>
      <c r="CW110" s="52">
        <f>$B$110*CW$99*INDEX(Cum_OtherInc,1,Assumptions!CW$77)*Assumptions!CW$74</f>
        <v/>
      </c>
      <c r="CX110" s="52">
        <f>$B$110*CX$99*INDEX(Cum_OtherInc,1,Assumptions!CX$77)*Assumptions!CX$74</f>
        <v/>
      </c>
      <c r="CY110" s="52">
        <f>$B$110*CY$99*INDEX(Cum_OtherInc,1,Assumptions!CY$77)*Assumptions!CY$74</f>
        <v/>
      </c>
      <c r="CZ110" s="52">
        <f>$B$110*CZ$99*INDEX(Cum_OtherInc,1,Assumptions!CZ$77)*Assumptions!CZ$74</f>
        <v/>
      </c>
      <c r="DA110" s="52">
        <f>$B$110*DA$99*INDEX(Cum_OtherInc,1,Assumptions!DA$77)*Assumptions!DA$74</f>
        <v/>
      </c>
      <c r="DB110" s="52">
        <f>$B$110*DB$99*INDEX(Cum_OtherInc,1,Assumptions!DB$77)*Assumptions!DB$74</f>
        <v/>
      </c>
      <c r="DC110" s="52">
        <f>$B$110*DC$99*INDEX(Cum_OtherInc,1,Assumptions!DC$77)*Assumptions!DC$74</f>
        <v/>
      </c>
      <c r="DD110" s="52">
        <f>$B$110*DD$99*INDEX(Cum_OtherInc,1,Assumptions!DD$77)*Assumptions!DD$74</f>
        <v/>
      </c>
      <c r="DE110" s="52">
        <f>$B$110*DE$99*INDEX(Cum_OtherInc,1,Assumptions!DE$77)*Assumptions!DE$74</f>
        <v/>
      </c>
      <c r="DF110" s="52">
        <f>$B$110*DF$99*INDEX(Cum_OtherInc,1,Assumptions!DF$77)*Assumptions!DF$74</f>
        <v/>
      </c>
      <c r="DG110" s="52">
        <f>$B$110*DG$99*INDEX(Cum_OtherInc,1,Assumptions!DG$77)*Assumptions!DG$74</f>
        <v/>
      </c>
      <c r="DH110" s="52">
        <f>$B$110*DH$99*INDEX(Cum_OtherInc,1,Assumptions!DH$77)*Assumptions!DH$74</f>
        <v/>
      </c>
      <c r="DI110" s="52">
        <f>$B$110*DI$99*INDEX(Cum_OtherInc,1,Assumptions!DI$77)*Assumptions!DI$74</f>
        <v/>
      </c>
      <c r="DJ110" s="52">
        <f>$B$110*DJ$99*INDEX(Cum_OtherInc,1,Assumptions!DJ$77)*Assumptions!DJ$74</f>
        <v/>
      </c>
      <c r="DK110" s="52">
        <f>$B$110*DK$99*INDEX(Cum_OtherInc,1,Assumptions!DK$77)*Assumptions!DK$74</f>
        <v/>
      </c>
      <c r="DL110" s="52">
        <f>$B$110*DL$99*INDEX(Cum_OtherInc,1,Assumptions!DL$77)*Assumptions!DL$74</f>
        <v/>
      </c>
      <c r="DM110" s="52">
        <f>$B$110*DM$99*INDEX(Cum_OtherInc,1,Assumptions!DM$77)*Assumptions!DM$74</f>
        <v/>
      </c>
      <c r="DN110" s="52">
        <f>$B$110*DN$99*INDEX(Cum_OtherInc,1,Assumptions!DN$77)*Assumptions!DN$74</f>
        <v/>
      </c>
      <c r="DO110" s="52">
        <f>$B$110*DO$99*INDEX(Cum_OtherInc,1,Assumptions!DO$77)*Assumptions!DO$74</f>
        <v/>
      </c>
      <c r="DP110" s="52">
        <f>$B$110*DP$99*INDEX(Cum_OtherInc,1,Assumptions!DP$77)*Assumptions!DP$74</f>
        <v/>
      </c>
      <c r="DQ110" s="52">
        <f>$B$110*DQ$99*INDEX(Cum_OtherInc,1,Assumptions!DQ$77)*Assumptions!DQ$74</f>
        <v/>
      </c>
      <c r="DR110" s="52">
        <f>$B$110*DR$99*INDEX(Cum_OtherInc,1,Assumptions!DR$77)*Assumptions!DR$74</f>
        <v/>
      </c>
      <c r="DS110" s="52">
        <f>$B$110*DS$99*INDEX(Cum_OtherInc,1,Assumptions!DS$77)*Assumptions!DS$74</f>
        <v/>
      </c>
      <c r="DT110" s="52">
        <f>$B$110*DT$99*INDEX(Cum_OtherInc,1,Assumptions!DT$77)*Assumptions!DT$74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$B$111*E$99*INDEX(Cum_OtherInc,1,Assumptions!E$77)*Assumptions!E$74</f>
        <v/>
      </c>
      <c r="F111" s="52">
        <f>$B$111*F$99*INDEX(Cum_OtherInc,1,Assumptions!F$77)*Assumptions!F$74</f>
        <v/>
      </c>
      <c r="G111" s="52">
        <f>$B$111*G$99*INDEX(Cum_OtherInc,1,Assumptions!G$77)*Assumptions!G$74</f>
        <v/>
      </c>
      <c r="H111" s="52">
        <f>$B$111*H$99*INDEX(Cum_OtherInc,1,Assumptions!H$77)*Assumptions!H$74</f>
        <v/>
      </c>
      <c r="I111" s="52">
        <f>$B$111*I$99*INDEX(Cum_OtherInc,1,Assumptions!I$77)*Assumptions!I$74</f>
        <v/>
      </c>
      <c r="J111" s="52">
        <f>$B$111*J$99*INDEX(Cum_OtherInc,1,Assumptions!J$77)*Assumptions!J$74</f>
        <v/>
      </c>
      <c r="K111" s="52">
        <f>$B$111*K$99*INDEX(Cum_OtherInc,1,Assumptions!K$77)*Assumptions!K$74</f>
        <v/>
      </c>
      <c r="L111" s="52">
        <f>$B$111*L$99*INDEX(Cum_OtherInc,1,Assumptions!L$77)*Assumptions!L$74</f>
        <v/>
      </c>
      <c r="M111" s="52">
        <f>$B$111*M$99*INDEX(Cum_OtherInc,1,Assumptions!M$77)*Assumptions!M$74</f>
        <v/>
      </c>
      <c r="N111" s="52">
        <f>$B$111*N$99*INDEX(Cum_OtherInc,1,Assumptions!N$77)*Assumptions!N$74</f>
        <v/>
      </c>
      <c r="O111" s="52">
        <f>$B$111*O$99*INDEX(Cum_OtherInc,1,Assumptions!O$77)*Assumptions!O$74</f>
        <v/>
      </c>
      <c r="P111" s="52">
        <f>$B$111*P$99*INDEX(Cum_OtherInc,1,Assumptions!P$77)*Assumptions!P$74</f>
        <v/>
      </c>
      <c r="Q111" s="52">
        <f>$B$111*Q$99*INDEX(Cum_OtherInc,1,Assumptions!Q$77)*Assumptions!Q$74</f>
        <v/>
      </c>
      <c r="R111" s="52">
        <f>$B$111*R$99*INDEX(Cum_OtherInc,1,Assumptions!R$77)*Assumptions!R$74</f>
        <v/>
      </c>
      <c r="S111" s="52">
        <f>$B$111*S$99*INDEX(Cum_OtherInc,1,Assumptions!S$77)*Assumptions!S$74</f>
        <v/>
      </c>
      <c r="T111" s="52">
        <f>$B$111*T$99*INDEX(Cum_OtherInc,1,Assumptions!T$77)*Assumptions!T$74</f>
        <v/>
      </c>
      <c r="U111" s="52">
        <f>$B$111*U$99*INDEX(Cum_OtherInc,1,Assumptions!U$77)*Assumptions!U$74</f>
        <v/>
      </c>
      <c r="V111" s="52">
        <f>$B$111*V$99*INDEX(Cum_OtherInc,1,Assumptions!V$77)*Assumptions!V$74</f>
        <v/>
      </c>
      <c r="W111" s="52">
        <f>$B$111*W$99*INDEX(Cum_OtherInc,1,Assumptions!W$77)*Assumptions!W$74</f>
        <v/>
      </c>
      <c r="X111" s="52">
        <f>$B$111*X$99*INDEX(Cum_OtherInc,1,Assumptions!X$77)*Assumptions!X$74</f>
        <v/>
      </c>
      <c r="Y111" s="52">
        <f>$B$111*Y$99*INDEX(Cum_OtherInc,1,Assumptions!Y$77)*Assumptions!Y$74</f>
        <v/>
      </c>
      <c r="Z111" s="52">
        <f>$B$111*Z$99*INDEX(Cum_OtherInc,1,Assumptions!Z$77)*Assumptions!Z$74</f>
        <v/>
      </c>
      <c r="AA111" s="52">
        <f>$B$111*AA$99*INDEX(Cum_OtherInc,1,Assumptions!AA$77)*Assumptions!AA$74</f>
        <v/>
      </c>
      <c r="AB111" s="52">
        <f>$B$111*AB$99*INDEX(Cum_OtherInc,1,Assumptions!AB$77)*Assumptions!AB$74</f>
        <v/>
      </c>
      <c r="AC111" s="52">
        <f>$B$111*AC$99*INDEX(Cum_OtherInc,1,Assumptions!AC$77)*Assumptions!AC$74</f>
        <v/>
      </c>
      <c r="AD111" s="52">
        <f>$B$111*AD$99*INDEX(Cum_OtherInc,1,Assumptions!AD$77)*Assumptions!AD$74</f>
        <v/>
      </c>
      <c r="AE111" s="52">
        <f>$B$111*AE$99*INDEX(Cum_OtherInc,1,Assumptions!AE$77)*Assumptions!AE$74</f>
        <v/>
      </c>
      <c r="AF111" s="52">
        <f>$B$111*AF$99*INDEX(Cum_OtherInc,1,Assumptions!AF$77)*Assumptions!AF$74</f>
        <v/>
      </c>
      <c r="AG111" s="52">
        <f>$B$111*AG$99*INDEX(Cum_OtherInc,1,Assumptions!AG$77)*Assumptions!AG$74</f>
        <v/>
      </c>
      <c r="AH111" s="52">
        <f>$B$111*AH$99*INDEX(Cum_OtherInc,1,Assumptions!AH$77)*Assumptions!AH$74</f>
        <v/>
      </c>
      <c r="AI111" s="52">
        <f>$B$111*AI$99*INDEX(Cum_OtherInc,1,Assumptions!AI$77)*Assumptions!AI$74</f>
        <v/>
      </c>
      <c r="AJ111" s="52">
        <f>$B$111*AJ$99*INDEX(Cum_OtherInc,1,Assumptions!AJ$77)*Assumptions!AJ$74</f>
        <v/>
      </c>
      <c r="AK111" s="52">
        <f>$B$111*AK$99*INDEX(Cum_OtherInc,1,Assumptions!AK$77)*Assumptions!AK$74</f>
        <v/>
      </c>
      <c r="AL111" s="52">
        <f>$B$111*AL$99*INDEX(Cum_OtherInc,1,Assumptions!AL$77)*Assumptions!AL$74</f>
        <v/>
      </c>
      <c r="AM111" s="52">
        <f>$B$111*AM$99*INDEX(Cum_OtherInc,1,Assumptions!AM$77)*Assumptions!AM$74</f>
        <v/>
      </c>
      <c r="AN111" s="52">
        <f>$B$111*AN$99*INDEX(Cum_OtherInc,1,Assumptions!AN$77)*Assumptions!AN$74</f>
        <v/>
      </c>
      <c r="AO111" s="52">
        <f>$B$111*AO$99*INDEX(Cum_OtherInc,1,Assumptions!AO$77)*Assumptions!AO$74</f>
        <v/>
      </c>
      <c r="AP111" s="52">
        <f>$B$111*AP$99*INDEX(Cum_OtherInc,1,Assumptions!AP$77)*Assumptions!AP$74</f>
        <v/>
      </c>
      <c r="AQ111" s="52">
        <f>$B$111*AQ$99*INDEX(Cum_OtherInc,1,Assumptions!AQ$77)*Assumptions!AQ$74</f>
        <v/>
      </c>
      <c r="AR111" s="52">
        <f>$B$111*AR$99*INDEX(Cum_OtherInc,1,Assumptions!AR$77)*Assumptions!AR$74</f>
        <v/>
      </c>
      <c r="AS111" s="52">
        <f>$B$111*AS$99*INDEX(Cum_OtherInc,1,Assumptions!AS$77)*Assumptions!AS$74</f>
        <v/>
      </c>
      <c r="AT111" s="52">
        <f>$B$111*AT$99*INDEX(Cum_OtherInc,1,Assumptions!AT$77)*Assumptions!AT$74</f>
        <v/>
      </c>
      <c r="AU111" s="52">
        <f>$B$111*AU$99*INDEX(Cum_OtherInc,1,Assumptions!AU$77)*Assumptions!AU$74</f>
        <v/>
      </c>
      <c r="AV111" s="52">
        <f>$B$111*AV$99*INDEX(Cum_OtherInc,1,Assumptions!AV$77)*Assumptions!AV$74</f>
        <v/>
      </c>
      <c r="AW111" s="52">
        <f>$B$111*AW$99*INDEX(Cum_OtherInc,1,Assumptions!AW$77)*Assumptions!AW$74</f>
        <v/>
      </c>
      <c r="AX111" s="52">
        <f>$B$111*AX$99*INDEX(Cum_OtherInc,1,Assumptions!AX$77)*Assumptions!AX$74</f>
        <v/>
      </c>
      <c r="AY111" s="52">
        <f>$B$111*AY$99*INDEX(Cum_OtherInc,1,Assumptions!AY$77)*Assumptions!AY$74</f>
        <v/>
      </c>
      <c r="AZ111" s="52">
        <f>$B$111*AZ$99*INDEX(Cum_OtherInc,1,Assumptions!AZ$77)*Assumptions!AZ$74</f>
        <v/>
      </c>
      <c r="BA111" s="52">
        <f>$B$111*BA$99*INDEX(Cum_OtherInc,1,Assumptions!BA$77)*Assumptions!BA$74</f>
        <v/>
      </c>
      <c r="BB111" s="52">
        <f>$B$111*BB$99*INDEX(Cum_OtherInc,1,Assumptions!BB$77)*Assumptions!BB$74</f>
        <v/>
      </c>
      <c r="BC111" s="52">
        <f>$B$111*BC$99*INDEX(Cum_OtherInc,1,Assumptions!BC$77)*Assumptions!BC$74</f>
        <v/>
      </c>
      <c r="BD111" s="52">
        <f>$B$111*BD$99*INDEX(Cum_OtherInc,1,Assumptions!BD$77)*Assumptions!BD$74</f>
        <v/>
      </c>
      <c r="BE111" s="52">
        <f>$B$111*BE$99*INDEX(Cum_OtherInc,1,Assumptions!BE$77)*Assumptions!BE$74</f>
        <v/>
      </c>
      <c r="BF111" s="52">
        <f>$B$111*BF$99*INDEX(Cum_OtherInc,1,Assumptions!BF$77)*Assumptions!BF$74</f>
        <v/>
      </c>
      <c r="BG111" s="52">
        <f>$B$111*BG$99*INDEX(Cum_OtherInc,1,Assumptions!BG$77)*Assumptions!BG$74</f>
        <v/>
      </c>
      <c r="BH111" s="52">
        <f>$B$111*BH$99*INDEX(Cum_OtherInc,1,Assumptions!BH$77)*Assumptions!BH$74</f>
        <v/>
      </c>
      <c r="BI111" s="52">
        <f>$B$111*BI$99*INDEX(Cum_OtherInc,1,Assumptions!BI$77)*Assumptions!BI$74</f>
        <v/>
      </c>
      <c r="BJ111" s="52">
        <f>$B$111*BJ$99*INDEX(Cum_OtherInc,1,Assumptions!BJ$77)*Assumptions!BJ$74</f>
        <v/>
      </c>
      <c r="BK111" s="52">
        <f>$B$111*BK$99*INDEX(Cum_OtherInc,1,Assumptions!BK$77)*Assumptions!BK$74</f>
        <v/>
      </c>
      <c r="BL111" s="52">
        <f>$B$111*BL$99*INDEX(Cum_OtherInc,1,Assumptions!BL$77)*Assumptions!BL$74</f>
        <v/>
      </c>
      <c r="BM111" s="52">
        <f>$B$111*BM$99*INDEX(Cum_OtherInc,1,Assumptions!BM$77)*Assumptions!BM$74</f>
        <v/>
      </c>
      <c r="BN111" s="52">
        <f>$B$111*BN$99*INDEX(Cum_OtherInc,1,Assumptions!BN$77)*Assumptions!BN$74</f>
        <v/>
      </c>
      <c r="BO111" s="52">
        <f>$B$111*BO$99*INDEX(Cum_OtherInc,1,Assumptions!BO$77)*Assumptions!BO$74</f>
        <v/>
      </c>
      <c r="BP111" s="52">
        <f>$B$111*BP$99*INDEX(Cum_OtherInc,1,Assumptions!BP$77)*Assumptions!BP$74</f>
        <v/>
      </c>
      <c r="BQ111" s="52">
        <f>$B$111*BQ$99*INDEX(Cum_OtherInc,1,Assumptions!BQ$77)*Assumptions!BQ$74</f>
        <v/>
      </c>
      <c r="BR111" s="52">
        <f>$B$111*BR$99*INDEX(Cum_OtherInc,1,Assumptions!BR$77)*Assumptions!BR$74</f>
        <v/>
      </c>
      <c r="BS111" s="52">
        <f>$B$111*BS$99*INDEX(Cum_OtherInc,1,Assumptions!BS$77)*Assumptions!BS$74</f>
        <v/>
      </c>
      <c r="BT111" s="52">
        <f>$B$111*BT$99*INDEX(Cum_OtherInc,1,Assumptions!BT$77)*Assumptions!BT$74</f>
        <v/>
      </c>
      <c r="BU111" s="52">
        <f>$B$111*BU$99*INDEX(Cum_OtherInc,1,Assumptions!BU$77)*Assumptions!BU$74</f>
        <v/>
      </c>
      <c r="BV111" s="52">
        <f>$B$111*BV$99*INDEX(Cum_OtherInc,1,Assumptions!BV$77)*Assumptions!BV$74</f>
        <v/>
      </c>
      <c r="BW111" s="52">
        <f>$B$111*BW$99*INDEX(Cum_OtherInc,1,Assumptions!BW$77)*Assumptions!BW$74</f>
        <v/>
      </c>
      <c r="BX111" s="52">
        <f>$B$111*BX$99*INDEX(Cum_OtherInc,1,Assumptions!BX$77)*Assumptions!BX$74</f>
        <v/>
      </c>
      <c r="BY111" s="52">
        <f>$B$111*BY$99*INDEX(Cum_OtherInc,1,Assumptions!BY$77)*Assumptions!BY$74</f>
        <v/>
      </c>
      <c r="BZ111" s="52">
        <f>$B$111*BZ$99*INDEX(Cum_OtherInc,1,Assumptions!BZ$77)*Assumptions!BZ$74</f>
        <v/>
      </c>
      <c r="CA111" s="52">
        <f>$B$111*CA$99*INDEX(Cum_OtherInc,1,Assumptions!CA$77)*Assumptions!CA$74</f>
        <v/>
      </c>
      <c r="CB111" s="52">
        <f>$B$111*CB$99*INDEX(Cum_OtherInc,1,Assumptions!CB$77)*Assumptions!CB$74</f>
        <v/>
      </c>
      <c r="CC111" s="52">
        <f>$B$111*CC$99*INDEX(Cum_OtherInc,1,Assumptions!CC$77)*Assumptions!CC$74</f>
        <v/>
      </c>
      <c r="CD111" s="52">
        <f>$B$111*CD$99*INDEX(Cum_OtherInc,1,Assumptions!CD$77)*Assumptions!CD$74</f>
        <v/>
      </c>
      <c r="CE111" s="52">
        <f>$B$111*CE$99*INDEX(Cum_OtherInc,1,Assumptions!CE$77)*Assumptions!CE$74</f>
        <v/>
      </c>
      <c r="CF111" s="52">
        <f>$B$111*CF$99*INDEX(Cum_OtherInc,1,Assumptions!CF$77)*Assumptions!CF$74</f>
        <v/>
      </c>
      <c r="CG111" s="52">
        <f>$B$111*CG$99*INDEX(Cum_OtherInc,1,Assumptions!CG$77)*Assumptions!CG$74</f>
        <v/>
      </c>
      <c r="CH111" s="52">
        <f>$B$111*CH$99*INDEX(Cum_OtherInc,1,Assumptions!CH$77)*Assumptions!CH$74</f>
        <v/>
      </c>
      <c r="CI111" s="52">
        <f>$B$111*CI$99*INDEX(Cum_OtherInc,1,Assumptions!CI$77)*Assumptions!CI$74</f>
        <v/>
      </c>
      <c r="CJ111" s="52">
        <f>$B$111*CJ$99*INDEX(Cum_OtherInc,1,Assumptions!CJ$77)*Assumptions!CJ$74</f>
        <v/>
      </c>
      <c r="CK111" s="52">
        <f>$B$111*CK$99*INDEX(Cum_OtherInc,1,Assumptions!CK$77)*Assumptions!CK$74</f>
        <v/>
      </c>
      <c r="CL111" s="52">
        <f>$B$111*CL$99*INDEX(Cum_OtherInc,1,Assumptions!CL$77)*Assumptions!CL$74</f>
        <v/>
      </c>
      <c r="CM111" s="52">
        <f>$B$111*CM$99*INDEX(Cum_OtherInc,1,Assumptions!CM$77)*Assumptions!CM$74</f>
        <v/>
      </c>
      <c r="CN111" s="52">
        <f>$B$111*CN$99*INDEX(Cum_OtherInc,1,Assumptions!CN$77)*Assumptions!CN$74</f>
        <v/>
      </c>
      <c r="CO111" s="52">
        <f>$B$111*CO$99*INDEX(Cum_OtherInc,1,Assumptions!CO$77)*Assumptions!CO$74</f>
        <v/>
      </c>
      <c r="CP111" s="52">
        <f>$B$111*CP$99*INDEX(Cum_OtherInc,1,Assumptions!CP$77)*Assumptions!CP$74</f>
        <v/>
      </c>
      <c r="CQ111" s="52">
        <f>$B$111*CQ$99*INDEX(Cum_OtherInc,1,Assumptions!CQ$77)*Assumptions!CQ$74</f>
        <v/>
      </c>
      <c r="CR111" s="52">
        <f>$B$111*CR$99*INDEX(Cum_OtherInc,1,Assumptions!CR$77)*Assumptions!CR$74</f>
        <v/>
      </c>
      <c r="CS111" s="52">
        <f>$B$111*CS$99*INDEX(Cum_OtherInc,1,Assumptions!CS$77)*Assumptions!CS$74</f>
        <v/>
      </c>
      <c r="CT111" s="52">
        <f>$B$111*CT$99*INDEX(Cum_OtherInc,1,Assumptions!CT$77)*Assumptions!CT$74</f>
        <v/>
      </c>
      <c r="CU111" s="52">
        <f>$B$111*CU$99*INDEX(Cum_OtherInc,1,Assumptions!CU$77)*Assumptions!CU$74</f>
        <v/>
      </c>
      <c r="CV111" s="52">
        <f>$B$111*CV$99*INDEX(Cum_OtherInc,1,Assumptions!CV$77)*Assumptions!CV$74</f>
        <v/>
      </c>
      <c r="CW111" s="52">
        <f>$B$111*CW$99*INDEX(Cum_OtherInc,1,Assumptions!CW$77)*Assumptions!CW$74</f>
        <v/>
      </c>
      <c r="CX111" s="52">
        <f>$B$111*CX$99*INDEX(Cum_OtherInc,1,Assumptions!CX$77)*Assumptions!CX$74</f>
        <v/>
      </c>
      <c r="CY111" s="52">
        <f>$B$111*CY$99*INDEX(Cum_OtherInc,1,Assumptions!CY$77)*Assumptions!CY$74</f>
        <v/>
      </c>
      <c r="CZ111" s="52">
        <f>$B$111*CZ$99*INDEX(Cum_OtherInc,1,Assumptions!CZ$77)*Assumptions!CZ$74</f>
        <v/>
      </c>
      <c r="DA111" s="52">
        <f>$B$111*DA$99*INDEX(Cum_OtherInc,1,Assumptions!DA$77)*Assumptions!DA$74</f>
        <v/>
      </c>
      <c r="DB111" s="52">
        <f>$B$111*DB$99*INDEX(Cum_OtherInc,1,Assumptions!DB$77)*Assumptions!DB$74</f>
        <v/>
      </c>
      <c r="DC111" s="52">
        <f>$B$111*DC$99*INDEX(Cum_OtherInc,1,Assumptions!DC$77)*Assumptions!DC$74</f>
        <v/>
      </c>
      <c r="DD111" s="52">
        <f>$B$111*DD$99*INDEX(Cum_OtherInc,1,Assumptions!DD$77)*Assumptions!DD$74</f>
        <v/>
      </c>
      <c r="DE111" s="52">
        <f>$B$111*DE$99*INDEX(Cum_OtherInc,1,Assumptions!DE$77)*Assumptions!DE$74</f>
        <v/>
      </c>
      <c r="DF111" s="52">
        <f>$B$111*DF$99*INDEX(Cum_OtherInc,1,Assumptions!DF$77)*Assumptions!DF$74</f>
        <v/>
      </c>
      <c r="DG111" s="52">
        <f>$B$111*DG$99*INDEX(Cum_OtherInc,1,Assumptions!DG$77)*Assumptions!DG$74</f>
        <v/>
      </c>
      <c r="DH111" s="52">
        <f>$B$111*DH$99*INDEX(Cum_OtherInc,1,Assumptions!DH$77)*Assumptions!DH$74</f>
        <v/>
      </c>
      <c r="DI111" s="52">
        <f>$B$111*DI$99*INDEX(Cum_OtherInc,1,Assumptions!DI$77)*Assumptions!DI$74</f>
        <v/>
      </c>
      <c r="DJ111" s="52">
        <f>$B$111*DJ$99*INDEX(Cum_OtherInc,1,Assumptions!DJ$77)*Assumptions!DJ$74</f>
        <v/>
      </c>
      <c r="DK111" s="52">
        <f>$B$111*DK$99*INDEX(Cum_OtherInc,1,Assumptions!DK$77)*Assumptions!DK$74</f>
        <v/>
      </c>
      <c r="DL111" s="52">
        <f>$B$111*DL$99*INDEX(Cum_OtherInc,1,Assumptions!DL$77)*Assumptions!DL$74</f>
        <v/>
      </c>
      <c r="DM111" s="52">
        <f>$B$111*DM$99*INDEX(Cum_OtherInc,1,Assumptions!DM$77)*Assumptions!DM$74</f>
        <v/>
      </c>
      <c r="DN111" s="52">
        <f>$B$111*DN$99*INDEX(Cum_OtherInc,1,Assumptions!DN$77)*Assumptions!DN$74</f>
        <v/>
      </c>
      <c r="DO111" s="52">
        <f>$B$111*DO$99*INDEX(Cum_OtherInc,1,Assumptions!DO$77)*Assumptions!DO$74</f>
        <v/>
      </c>
      <c r="DP111" s="52">
        <f>$B$111*DP$99*INDEX(Cum_OtherInc,1,Assumptions!DP$77)*Assumptions!DP$74</f>
        <v/>
      </c>
      <c r="DQ111" s="52">
        <f>$B$111*DQ$99*INDEX(Cum_OtherInc,1,Assumptions!DQ$77)*Assumptions!DQ$74</f>
        <v/>
      </c>
      <c r="DR111" s="52">
        <f>$B$111*DR$99*INDEX(Cum_OtherInc,1,Assumptions!DR$77)*Assumptions!DR$74</f>
        <v/>
      </c>
      <c r="DS111" s="52">
        <f>$B$111*DS$99*INDEX(Cum_OtherInc,1,Assumptions!DS$77)*Assumptions!DS$74</f>
        <v/>
      </c>
      <c r="DT111" s="52">
        <f>$B$111*DT$99*INDEX(Cum_OtherInc,1,Assumptions!DT$77)*Assumptions!DT$74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$B$112*E$99*INDEX(Cum_OtherInc,1,Assumptions!E$77)*Assumptions!E$74</f>
        <v/>
      </c>
      <c r="F112" s="52">
        <f>$B$112*F$99*INDEX(Cum_OtherInc,1,Assumptions!F$77)*Assumptions!F$74</f>
        <v/>
      </c>
      <c r="G112" s="52">
        <f>$B$112*G$99*INDEX(Cum_OtherInc,1,Assumptions!G$77)*Assumptions!G$74</f>
        <v/>
      </c>
      <c r="H112" s="52">
        <f>$B$112*H$99*INDEX(Cum_OtherInc,1,Assumptions!H$77)*Assumptions!H$74</f>
        <v/>
      </c>
      <c r="I112" s="52">
        <f>$B$112*I$99*INDEX(Cum_OtherInc,1,Assumptions!I$77)*Assumptions!I$74</f>
        <v/>
      </c>
      <c r="J112" s="52">
        <f>$B$112*J$99*INDEX(Cum_OtherInc,1,Assumptions!J$77)*Assumptions!J$74</f>
        <v/>
      </c>
      <c r="K112" s="52">
        <f>$B$112*K$99*INDEX(Cum_OtherInc,1,Assumptions!K$77)*Assumptions!K$74</f>
        <v/>
      </c>
      <c r="L112" s="52">
        <f>$B$112*L$99*INDEX(Cum_OtherInc,1,Assumptions!L$77)*Assumptions!L$74</f>
        <v/>
      </c>
      <c r="M112" s="52">
        <f>$B$112*M$99*INDEX(Cum_OtherInc,1,Assumptions!M$77)*Assumptions!M$74</f>
        <v/>
      </c>
      <c r="N112" s="52">
        <f>$B$112*N$99*INDEX(Cum_OtherInc,1,Assumptions!N$77)*Assumptions!N$74</f>
        <v/>
      </c>
      <c r="O112" s="52">
        <f>$B$112*O$99*INDEX(Cum_OtherInc,1,Assumptions!O$77)*Assumptions!O$74</f>
        <v/>
      </c>
      <c r="P112" s="52">
        <f>$B$112*P$99*INDEX(Cum_OtherInc,1,Assumptions!P$77)*Assumptions!P$74</f>
        <v/>
      </c>
      <c r="Q112" s="52">
        <f>$B$112*Q$99*INDEX(Cum_OtherInc,1,Assumptions!Q$77)*Assumptions!Q$74</f>
        <v/>
      </c>
      <c r="R112" s="52">
        <f>$B$112*R$99*INDEX(Cum_OtherInc,1,Assumptions!R$77)*Assumptions!R$74</f>
        <v/>
      </c>
      <c r="S112" s="52">
        <f>$B$112*S$99*INDEX(Cum_OtherInc,1,Assumptions!S$77)*Assumptions!S$74</f>
        <v/>
      </c>
      <c r="T112" s="52">
        <f>$B$112*T$99*INDEX(Cum_OtherInc,1,Assumptions!T$77)*Assumptions!T$74</f>
        <v/>
      </c>
      <c r="U112" s="52">
        <f>$B$112*U$99*INDEX(Cum_OtherInc,1,Assumptions!U$77)*Assumptions!U$74</f>
        <v/>
      </c>
      <c r="V112" s="52">
        <f>$B$112*V$99*INDEX(Cum_OtherInc,1,Assumptions!V$77)*Assumptions!V$74</f>
        <v/>
      </c>
      <c r="W112" s="52">
        <f>$B$112*W$99*INDEX(Cum_OtherInc,1,Assumptions!W$77)*Assumptions!W$74</f>
        <v/>
      </c>
      <c r="X112" s="52">
        <f>$B$112*X$99*INDEX(Cum_OtherInc,1,Assumptions!X$77)*Assumptions!X$74</f>
        <v/>
      </c>
      <c r="Y112" s="52">
        <f>$B$112*Y$99*INDEX(Cum_OtherInc,1,Assumptions!Y$77)*Assumptions!Y$74</f>
        <v/>
      </c>
      <c r="Z112" s="52">
        <f>$B$112*Z$99*INDEX(Cum_OtherInc,1,Assumptions!Z$77)*Assumptions!Z$74</f>
        <v/>
      </c>
      <c r="AA112" s="52">
        <f>$B$112*AA$99*INDEX(Cum_OtherInc,1,Assumptions!AA$77)*Assumptions!AA$74</f>
        <v/>
      </c>
      <c r="AB112" s="52">
        <f>$B$112*AB$99*INDEX(Cum_OtherInc,1,Assumptions!AB$77)*Assumptions!AB$74</f>
        <v/>
      </c>
      <c r="AC112" s="52">
        <f>$B$112*AC$99*INDEX(Cum_OtherInc,1,Assumptions!AC$77)*Assumptions!AC$74</f>
        <v/>
      </c>
      <c r="AD112" s="52">
        <f>$B$112*AD$99*INDEX(Cum_OtherInc,1,Assumptions!AD$77)*Assumptions!AD$74</f>
        <v/>
      </c>
      <c r="AE112" s="52">
        <f>$B$112*AE$99*INDEX(Cum_OtherInc,1,Assumptions!AE$77)*Assumptions!AE$74</f>
        <v/>
      </c>
      <c r="AF112" s="52">
        <f>$B$112*AF$99*INDEX(Cum_OtherInc,1,Assumptions!AF$77)*Assumptions!AF$74</f>
        <v/>
      </c>
      <c r="AG112" s="52">
        <f>$B$112*AG$99*INDEX(Cum_OtherInc,1,Assumptions!AG$77)*Assumptions!AG$74</f>
        <v/>
      </c>
      <c r="AH112" s="52">
        <f>$B$112*AH$99*INDEX(Cum_OtherInc,1,Assumptions!AH$77)*Assumptions!AH$74</f>
        <v/>
      </c>
      <c r="AI112" s="52">
        <f>$B$112*AI$99*INDEX(Cum_OtherInc,1,Assumptions!AI$77)*Assumptions!AI$74</f>
        <v/>
      </c>
      <c r="AJ112" s="52">
        <f>$B$112*AJ$99*INDEX(Cum_OtherInc,1,Assumptions!AJ$77)*Assumptions!AJ$74</f>
        <v/>
      </c>
      <c r="AK112" s="52">
        <f>$B$112*AK$99*INDEX(Cum_OtherInc,1,Assumptions!AK$77)*Assumptions!AK$74</f>
        <v/>
      </c>
      <c r="AL112" s="52">
        <f>$B$112*AL$99*INDEX(Cum_OtherInc,1,Assumptions!AL$77)*Assumptions!AL$74</f>
        <v/>
      </c>
      <c r="AM112" s="52">
        <f>$B$112*AM$99*INDEX(Cum_OtherInc,1,Assumptions!AM$77)*Assumptions!AM$74</f>
        <v/>
      </c>
      <c r="AN112" s="52">
        <f>$B$112*AN$99*INDEX(Cum_OtherInc,1,Assumptions!AN$77)*Assumptions!AN$74</f>
        <v/>
      </c>
      <c r="AO112" s="52">
        <f>$B$112*AO$99*INDEX(Cum_OtherInc,1,Assumptions!AO$77)*Assumptions!AO$74</f>
        <v/>
      </c>
      <c r="AP112" s="52">
        <f>$B$112*AP$99*INDEX(Cum_OtherInc,1,Assumptions!AP$77)*Assumptions!AP$74</f>
        <v/>
      </c>
      <c r="AQ112" s="52">
        <f>$B$112*AQ$99*INDEX(Cum_OtherInc,1,Assumptions!AQ$77)*Assumptions!AQ$74</f>
        <v/>
      </c>
      <c r="AR112" s="52">
        <f>$B$112*AR$99*INDEX(Cum_OtherInc,1,Assumptions!AR$77)*Assumptions!AR$74</f>
        <v/>
      </c>
      <c r="AS112" s="52">
        <f>$B$112*AS$99*INDEX(Cum_OtherInc,1,Assumptions!AS$77)*Assumptions!AS$74</f>
        <v/>
      </c>
      <c r="AT112" s="52">
        <f>$B$112*AT$99*INDEX(Cum_OtherInc,1,Assumptions!AT$77)*Assumptions!AT$74</f>
        <v/>
      </c>
      <c r="AU112" s="52">
        <f>$B$112*AU$99*INDEX(Cum_OtherInc,1,Assumptions!AU$77)*Assumptions!AU$74</f>
        <v/>
      </c>
      <c r="AV112" s="52">
        <f>$B$112*AV$99*INDEX(Cum_OtherInc,1,Assumptions!AV$77)*Assumptions!AV$74</f>
        <v/>
      </c>
      <c r="AW112" s="52">
        <f>$B$112*AW$99*INDEX(Cum_OtherInc,1,Assumptions!AW$77)*Assumptions!AW$74</f>
        <v/>
      </c>
      <c r="AX112" s="52">
        <f>$B$112*AX$99*INDEX(Cum_OtherInc,1,Assumptions!AX$77)*Assumptions!AX$74</f>
        <v/>
      </c>
      <c r="AY112" s="52">
        <f>$B$112*AY$99*INDEX(Cum_OtherInc,1,Assumptions!AY$77)*Assumptions!AY$74</f>
        <v/>
      </c>
      <c r="AZ112" s="52">
        <f>$B$112*AZ$99*INDEX(Cum_OtherInc,1,Assumptions!AZ$77)*Assumptions!AZ$74</f>
        <v/>
      </c>
      <c r="BA112" s="52">
        <f>$B$112*BA$99*INDEX(Cum_OtherInc,1,Assumptions!BA$77)*Assumptions!BA$74</f>
        <v/>
      </c>
      <c r="BB112" s="52">
        <f>$B$112*BB$99*INDEX(Cum_OtherInc,1,Assumptions!BB$77)*Assumptions!BB$74</f>
        <v/>
      </c>
      <c r="BC112" s="52">
        <f>$B$112*BC$99*INDEX(Cum_OtherInc,1,Assumptions!BC$77)*Assumptions!BC$74</f>
        <v/>
      </c>
      <c r="BD112" s="52">
        <f>$B$112*BD$99*INDEX(Cum_OtherInc,1,Assumptions!BD$77)*Assumptions!BD$74</f>
        <v/>
      </c>
      <c r="BE112" s="52">
        <f>$B$112*BE$99*INDEX(Cum_OtherInc,1,Assumptions!BE$77)*Assumptions!BE$74</f>
        <v/>
      </c>
      <c r="BF112" s="52">
        <f>$B$112*BF$99*INDEX(Cum_OtherInc,1,Assumptions!BF$77)*Assumptions!BF$74</f>
        <v/>
      </c>
      <c r="BG112" s="52">
        <f>$B$112*BG$99*INDEX(Cum_OtherInc,1,Assumptions!BG$77)*Assumptions!BG$74</f>
        <v/>
      </c>
      <c r="BH112" s="52">
        <f>$B$112*BH$99*INDEX(Cum_OtherInc,1,Assumptions!BH$77)*Assumptions!BH$74</f>
        <v/>
      </c>
      <c r="BI112" s="52">
        <f>$B$112*BI$99*INDEX(Cum_OtherInc,1,Assumptions!BI$77)*Assumptions!BI$74</f>
        <v/>
      </c>
      <c r="BJ112" s="52">
        <f>$B$112*BJ$99*INDEX(Cum_OtherInc,1,Assumptions!BJ$77)*Assumptions!BJ$74</f>
        <v/>
      </c>
      <c r="BK112" s="52">
        <f>$B$112*BK$99*INDEX(Cum_OtherInc,1,Assumptions!BK$77)*Assumptions!BK$74</f>
        <v/>
      </c>
      <c r="BL112" s="52">
        <f>$B$112*BL$99*INDEX(Cum_OtherInc,1,Assumptions!BL$77)*Assumptions!BL$74</f>
        <v/>
      </c>
      <c r="BM112" s="52">
        <f>$B$112*BM$99*INDEX(Cum_OtherInc,1,Assumptions!BM$77)*Assumptions!BM$74</f>
        <v/>
      </c>
      <c r="BN112" s="52">
        <f>$B$112*BN$99*INDEX(Cum_OtherInc,1,Assumptions!BN$77)*Assumptions!BN$74</f>
        <v/>
      </c>
      <c r="BO112" s="52">
        <f>$B$112*BO$99*INDEX(Cum_OtherInc,1,Assumptions!BO$77)*Assumptions!BO$74</f>
        <v/>
      </c>
      <c r="BP112" s="52">
        <f>$B$112*BP$99*INDEX(Cum_OtherInc,1,Assumptions!BP$77)*Assumptions!BP$74</f>
        <v/>
      </c>
      <c r="BQ112" s="52">
        <f>$B$112*BQ$99*INDEX(Cum_OtherInc,1,Assumptions!BQ$77)*Assumptions!BQ$74</f>
        <v/>
      </c>
      <c r="BR112" s="52">
        <f>$B$112*BR$99*INDEX(Cum_OtherInc,1,Assumptions!BR$77)*Assumptions!BR$74</f>
        <v/>
      </c>
      <c r="BS112" s="52">
        <f>$B$112*BS$99*INDEX(Cum_OtherInc,1,Assumptions!BS$77)*Assumptions!BS$74</f>
        <v/>
      </c>
      <c r="BT112" s="52">
        <f>$B$112*BT$99*INDEX(Cum_OtherInc,1,Assumptions!BT$77)*Assumptions!BT$74</f>
        <v/>
      </c>
      <c r="BU112" s="52">
        <f>$B$112*BU$99*INDEX(Cum_OtherInc,1,Assumptions!BU$77)*Assumptions!BU$74</f>
        <v/>
      </c>
      <c r="BV112" s="52">
        <f>$B$112*BV$99*INDEX(Cum_OtherInc,1,Assumptions!BV$77)*Assumptions!BV$74</f>
        <v/>
      </c>
      <c r="BW112" s="52">
        <f>$B$112*BW$99*INDEX(Cum_OtherInc,1,Assumptions!BW$77)*Assumptions!BW$74</f>
        <v/>
      </c>
      <c r="BX112" s="52">
        <f>$B$112*BX$99*INDEX(Cum_OtherInc,1,Assumptions!BX$77)*Assumptions!BX$74</f>
        <v/>
      </c>
      <c r="BY112" s="52">
        <f>$B$112*BY$99*INDEX(Cum_OtherInc,1,Assumptions!BY$77)*Assumptions!BY$74</f>
        <v/>
      </c>
      <c r="BZ112" s="52">
        <f>$B$112*BZ$99*INDEX(Cum_OtherInc,1,Assumptions!BZ$77)*Assumptions!BZ$74</f>
        <v/>
      </c>
      <c r="CA112" s="52">
        <f>$B$112*CA$99*INDEX(Cum_OtherInc,1,Assumptions!CA$77)*Assumptions!CA$74</f>
        <v/>
      </c>
      <c r="CB112" s="52">
        <f>$B$112*CB$99*INDEX(Cum_OtherInc,1,Assumptions!CB$77)*Assumptions!CB$74</f>
        <v/>
      </c>
      <c r="CC112" s="52">
        <f>$B$112*CC$99*INDEX(Cum_OtherInc,1,Assumptions!CC$77)*Assumptions!CC$74</f>
        <v/>
      </c>
      <c r="CD112" s="52">
        <f>$B$112*CD$99*INDEX(Cum_OtherInc,1,Assumptions!CD$77)*Assumptions!CD$74</f>
        <v/>
      </c>
      <c r="CE112" s="52">
        <f>$B$112*CE$99*INDEX(Cum_OtherInc,1,Assumptions!CE$77)*Assumptions!CE$74</f>
        <v/>
      </c>
      <c r="CF112" s="52">
        <f>$B$112*CF$99*INDEX(Cum_OtherInc,1,Assumptions!CF$77)*Assumptions!CF$74</f>
        <v/>
      </c>
      <c r="CG112" s="52">
        <f>$B$112*CG$99*INDEX(Cum_OtherInc,1,Assumptions!CG$77)*Assumptions!CG$74</f>
        <v/>
      </c>
      <c r="CH112" s="52">
        <f>$B$112*CH$99*INDEX(Cum_OtherInc,1,Assumptions!CH$77)*Assumptions!CH$74</f>
        <v/>
      </c>
      <c r="CI112" s="52">
        <f>$B$112*CI$99*INDEX(Cum_OtherInc,1,Assumptions!CI$77)*Assumptions!CI$74</f>
        <v/>
      </c>
      <c r="CJ112" s="52">
        <f>$B$112*CJ$99*INDEX(Cum_OtherInc,1,Assumptions!CJ$77)*Assumptions!CJ$74</f>
        <v/>
      </c>
      <c r="CK112" s="52">
        <f>$B$112*CK$99*INDEX(Cum_OtherInc,1,Assumptions!CK$77)*Assumptions!CK$74</f>
        <v/>
      </c>
      <c r="CL112" s="52">
        <f>$B$112*CL$99*INDEX(Cum_OtherInc,1,Assumptions!CL$77)*Assumptions!CL$74</f>
        <v/>
      </c>
      <c r="CM112" s="52">
        <f>$B$112*CM$99*INDEX(Cum_OtherInc,1,Assumptions!CM$77)*Assumptions!CM$74</f>
        <v/>
      </c>
      <c r="CN112" s="52">
        <f>$B$112*CN$99*INDEX(Cum_OtherInc,1,Assumptions!CN$77)*Assumptions!CN$74</f>
        <v/>
      </c>
      <c r="CO112" s="52">
        <f>$B$112*CO$99*INDEX(Cum_OtherInc,1,Assumptions!CO$77)*Assumptions!CO$74</f>
        <v/>
      </c>
      <c r="CP112" s="52">
        <f>$B$112*CP$99*INDEX(Cum_OtherInc,1,Assumptions!CP$77)*Assumptions!CP$74</f>
        <v/>
      </c>
      <c r="CQ112" s="52">
        <f>$B$112*CQ$99*INDEX(Cum_OtherInc,1,Assumptions!CQ$77)*Assumptions!CQ$74</f>
        <v/>
      </c>
      <c r="CR112" s="52">
        <f>$B$112*CR$99*INDEX(Cum_OtherInc,1,Assumptions!CR$77)*Assumptions!CR$74</f>
        <v/>
      </c>
      <c r="CS112" s="52">
        <f>$B$112*CS$99*INDEX(Cum_OtherInc,1,Assumptions!CS$77)*Assumptions!CS$74</f>
        <v/>
      </c>
      <c r="CT112" s="52">
        <f>$B$112*CT$99*INDEX(Cum_OtherInc,1,Assumptions!CT$77)*Assumptions!CT$74</f>
        <v/>
      </c>
      <c r="CU112" s="52">
        <f>$B$112*CU$99*INDEX(Cum_OtherInc,1,Assumptions!CU$77)*Assumptions!CU$74</f>
        <v/>
      </c>
      <c r="CV112" s="52">
        <f>$B$112*CV$99*INDEX(Cum_OtherInc,1,Assumptions!CV$77)*Assumptions!CV$74</f>
        <v/>
      </c>
      <c r="CW112" s="52">
        <f>$B$112*CW$99*INDEX(Cum_OtherInc,1,Assumptions!CW$77)*Assumptions!CW$74</f>
        <v/>
      </c>
      <c r="CX112" s="52">
        <f>$B$112*CX$99*INDEX(Cum_OtherInc,1,Assumptions!CX$77)*Assumptions!CX$74</f>
        <v/>
      </c>
      <c r="CY112" s="52">
        <f>$B$112*CY$99*INDEX(Cum_OtherInc,1,Assumptions!CY$77)*Assumptions!CY$74</f>
        <v/>
      </c>
      <c r="CZ112" s="52">
        <f>$B$112*CZ$99*INDEX(Cum_OtherInc,1,Assumptions!CZ$77)*Assumptions!CZ$74</f>
        <v/>
      </c>
      <c r="DA112" s="52">
        <f>$B$112*DA$99*INDEX(Cum_OtherInc,1,Assumptions!DA$77)*Assumptions!DA$74</f>
        <v/>
      </c>
      <c r="DB112" s="52">
        <f>$B$112*DB$99*INDEX(Cum_OtherInc,1,Assumptions!DB$77)*Assumptions!DB$74</f>
        <v/>
      </c>
      <c r="DC112" s="52">
        <f>$B$112*DC$99*INDEX(Cum_OtherInc,1,Assumptions!DC$77)*Assumptions!DC$74</f>
        <v/>
      </c>
      <c r="DD112" s="52">
        <f>$B$112*DD$99*INDEX(Cum_OtherInc,1,Assumptions!DD$77)*Assumptions!DD$74</f>
        <v/>
      </c>
      <c r="DE112" s="52">
        <f>$B$112*DE$99*INDEX(Cum_OtherInc,1,Assumptions!DE$77)*Assumptions!DE$74</f>
        <v/>
      </c>
      <c r="DF112" s="52">
        <f>$B$112*DF$99*INDEX(Cum_OtherInc,1,Assumptions!DF$77)*Assumptions!DF$74</f>
        <v/>
      </c>
      <c r="DG112" s="52">
        <f>$B$112*DG$99*INDEX(Cum_OtherInc,1,Assumptions!DG$77)*Assumptions!DG$74</f>
        <v/>
      </c>
      <c r="DH112" s="52">
        <f>$B$112*DH$99*INDEX(Cum_OtherInc,1,Assumptions!DH$77)*Assumptions!DH$74</f>
        <v/>
      </c>
      <c r="DI112" s="52">
        <f>$B$112*DI$99*INDEX(Cum_OtherInc,1,Assumptions!DI$77)*Assumptions!DI$74</f>
        <v/>
      </c>
      <c r="DJ112" s="52">
        <f>$B$112*DJ$99*INDEX(Cum_OtherInc,1,Assumptions!DJ$77)*Assumptions!DJ$74</f>
        <v/>
      </c>
      <c r="DK112" s="52">
        <f>$B$112*DK$99*INDEX(Cum_OtherInc,1,Assumptions!DK$77)*Assumptions!DK$74</f>
        <v/>
      </c>
      <c r="DL112" s="52">
        <f>$B$112*DL$99*INDEX(Cum_OtherInc,1,Assumptions!DL$77)*Assumptions!DL$74</f>
        <v/>
      </c>
      <c r="DM112" s="52">
        <f>$B$112*DM$99*INDEX(Cum_OtherInc,1,Assumptions!DM$77)*Assumptions!DM$74</f>
        <v/>
      </c>
      <c r="DN112" s="52">
        <f>$B$112*DN$99*INDEX(Cum_OtherInc,1,Assumptions!DN$77)*Assumptions!DN$74</f>
        <v/>
      </c>
      <c r="DO112" s="52">
        <f>$B$112*DO$99*INDEX(Cum_OtherInc,1,Assumptions!DO$77)*Assumptions!DO$74</f>
        <v/>
      </c>
      <c r="DP112" s="52">
        <f>$B$112*DP$99*INDEX(Cum_OtherInc,1,Assumptions!DP$77)*Assumptions!DP$74</f>
        <v/>
      </c>
      <c r="DQ112" s="52">
        <f>$B$112*DQ$99*INDEX(Cum_OtherInc,1,Assumptions!DQ$77)*Assumptions!DQ$74</f>
        <v/>
      </c>
      <c r="DR112" s="52">
        <f>$B$112*DR$99*INDEX(Cum_OtherInc,1,Assumptions!DR$77)*Assumptions!DR$74</f>
        <v/>
      </c>
      <c r="DS112" s="52">
        <f>$B$112*DS$99*INDEX(Cum_OtherInc,1,Assumptions!DS$77)*Assumptions!DS$74</f>
        <v/>
      </c>
      <c r="DT112" s="52">
        <f>$B$112*DT$99*INDEX(Cum_OtherInc,1,Assumptions!DT$77)*Assumptions!DT$74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IF(Assumptions!E$74=0,0,IF(Assumptions!E$72&lt;$C$17,0,IF(Assumptions!E$72&lt;=$D$17,$E$17*$B$17/12*(1+$F$17)^INT((Assumptions!E$72-$C$17)/12),IF(Assumptions!E$72&lt;=$D$17+RetailDowntime,0,1)*$E$17*$B$17/12*INDEX(Cum_RetailRent,1,Assumptions!E$77)*RenewalRentFactor)))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IF(Assumptions!F$74=0,0,IF(Assumptions!F$72&lt;$C$17,0,IF(Assumptions!F$72&lt;=$D$17,$E$17*$B$17/12*(1+$F$17)^INT((Assumptions!F$72-$C$17)/12),IF(Assumptions!F$72&lt;=$D$17+RetailDowntime,0,1)*$E$17*$B$17/12*INDEX(Cum_RetailRent,1,Assumptions!F$77)*RenewalRentFactor)))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IF(Assumptions!G$74=0,0,IF(Assumptions!G$72&lt;$C$17,0,IF(Assumptions!G$72&lt;=$D$17,$E$17*$B$17/12*(1+$F$17)^INT((Assumptions!G$72-$C$17)/12),IF(Assumptions!G$72&lt;=$D$17+RetailDowntime,0,1)*$E$17*$B$17/12*INDEX(Cum_RetailRent,1,Assumptions!G$77)*RenewalRentFactor)))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IF(Assumptions!H$74=0,0,IF(Assumptions!H$72&lt;$C$17,0,IF(Assumptions!H$72&lt;=$D$17,$E$17*$B$17/12*(1+$F$17)^INT((Assumptions!H$72-$C$17)/12),IF(Assumptions!H$72&lt;=$D$17+RetailDowntime,0,1)*$E$17*$B$17/12*INDEX(Cum_RetailRent,1,Assumptions!H$77)*RenewalRentFactor)))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IF(Assumptions!I$74=0,0,IF(Assumptions!I$72&lt;$C$17,0,IF(Assumptions!I$72&lt;=$D$17,$E$17*$B$17/12*(1+$F$17)^INT((Assumptions!I$72-$C$17)/12),IF(Assumptions!I$72&lt;=$D$17+RetailDowntime,0,1)*$E$17*$B$17/12*INDEX(Cum_RetailRent,1,Assumptions!I$77)*RenewalRentFactor)))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IF(Assumptions!J$74=0,0,IF(Assumptions!J$72&lt;$C$17,0,IF(Assumptions!J$72&lt;=$D$17,$E$17*$B$17/12*(1+$F$17)^INT((Assumptions!J$72-$C$17)/12),IF(Assumptions!J$72&lt;=$D$17+RetailDowntime,0,1)*$E$17*$B$17/12*INDEX(Cum_RetailRent,1,Assumptions!J$77)*RenewalRentFactor)))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IF(Assumptions!K$74=0,0,IF(Assumptions!K$72&lt;$C$17,0,IF(Assumptions!K$72&lt;=$D$17,$E$17*$B$17/12*(1+$F$17)^INT((Assumptions!K$72-$C$17)/12),IF(Assumptions!K$72&lt;=$D$17+RetailDowntime,0,1)*$E$17*$B$17/12*INDEX(Cum_RetailRent,1,Assumptions!K$77)*RenewalRentFactor)))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IF(Assumptions!L$74=0,0,IF(Assumptions!L$72&lt;$C$17,0,IF(Assumptions!L$72&lt;=$D$17,$E$17*$B$17/12*(1+$F$17)^INT((Assumptions!L$72-$C$17)/12),IF(Assumptions!L$72&lt;=$D$17+RetailDowntime,0,1)*$E$17*$B$17/12*INDEX(Cum_RetailRent,1,Assumptions!L$77)*RenewalRentFactor)))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IF(Assumptions!M$74=0,0,IF(Assumptions!M$72&lt;$C$17,0,IF(Assumptions!M$72&lt;=$D$17,$E$17*$B$17/12*(1+$F$17)^INT((Assumptions!M$72-$C$17)/12),IF(Assumptions!M$72&lt;=$D$17+RetailDowntime,0,1)*$E$17*$B$17/12*INDEX(Cum_RetailRent,1,Assumptions!M$77)*RenewalRentFactor)))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IF(Assumptions!N$74=0,0,IF(Assumptions!N$72&lt;$C$17,0,IF(Assumptions!N$72&lt;=$D$17,$E$17*$B$17/12*(1+$F$17)^INT((Assumptions!N$72-$C$17)/12),IF(Assumptions!N$72&lt;=$D$17+RetailDowntime,0,1)*$E$17*$B$17/12*INDEX(Cum_RetailRent,1,Assumptions!N$77)*RenewalRentFactor)))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IF(Assumptions!O$74=0,0,IF(Assumptions!O$72&lt;$C$17,0,IF(Assumptions!O$72&lt;=$D$17,$E$17*$B$17/12*(1+$F$17)^INT((Assumptions!O$72-$C$17)/12),IF(Assumptions!O$72&lt;=$D$17+RetailDowntime,0,1)*$E$17*$B$17/12*INDEX(Cum_RetailRent,1,Assumptions!O$77)*RenewalRentFactor)))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IF(Assumptions!P$74=0,0,IF(Assumptions!P$72&lt;$C$17,0,IF(Assumptions!P$72&lt;=$D$17,$E$17*$B$17/12*(1+$F$17)^INT((Assumptions!P$72-$C$17)/12),IF(Assumptions!P$72&lt;=$D$17+RetailDowntime,0,1)*$E$17*$B$17/12*INDEX(Cum_RetailRent,1,Assumptions!P$77)*RenewalRentFactor)))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IF(Assumptions!Q$74=0,0,IF(Assumptions!Q$72&lt;$C$17,0,IF(Assumptions!Q$72&lt;=$D$17,$E$17*$B$17/12*(1+$F$17)^INT((Assumptions!Q$72-$C$17)/12),IF(Assumptions!Q$72&lt;=$D$17+RetailDowntime,0,1)*$E$17*$B$17/12*INDEX(Cum_RetailRent,1,Assumptions!Q$77)*RenewalRentFactor)))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IF(Assumptions!R$74=0,0,IF(Assumptions!R$72&lt;$C$17,0,IF(Assumptions!R$72&lt;=$D$17,$E$17*$B$17/12*(1+$F$17)^INT((Assumptions!R$72-$C$17)/12),IF(Assumptions!R$72&lt;=$D$17+RetailDowntime,0,1)*$E$17*$B$17/12*INDEX(Cum_RetailRent,1,Assumptions!R$77)*RenewalRentFactor)))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IF(Assumptions!S$74=0,0,IF(Assumptions!S$72&lt;$C$17,0,IF(Assumptions!S$72&lt;=$D$17,$E$17*$B$17/12*(1+$F$17)^INT((Assumptions!S$72-$C$17)/12),IF(Assumptions!S$72&lt;=$D$17+RetailDowntime,0,1)*$E$17*$B$17/12*INDEX(Cum_RetailRent,1,Assumptions!S$77)*RenewalRentFactor)))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IF(Assumptions!T$74=0,0,IF(Assumptions!T$72&lt;$C$17,0,IF(Assumptions!T$72&lt;=$D$17,$E$17*$B$17/12*(1+$F$17)^INT((Assumptions!T$72-$C$17)/12),IF(Assumptions!T$72&lt;=$D$17+RetailDowntime,0,1)*$E$17*$B$17/12*INDEX(Cum_RetailRent,1,Assumptions!T$77)*RenewalRentFactor)))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IF(Assumptions!U$74=0,0,IF(Assumptions!U$72&lt;$C$17,0,IF(Assumptions!U$72&lt;=$D$17,$E$17*$B$17/12*(1+$F$17)^INT((Assumptions!U$72-$C$17)/12),IF(Assumptions!U$72&lt;=$D$17+RetailDowntime,0,1)*$E$17*$B$17/12*INDEX(Cum_RetailRent,1,Assumptions!U$77)*RenewalRentFactor)))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IF(Assumptions!V$74=0,0,IF(Assumptions!V$72&lt;$C$17,0,IF(Assumptions!V$72&lt;=$D$17,$E$17*$B$17/12*(1+$F$17)^INT((Assumptions!V$72-$C$17)/12),IF(Assumptions!V$72&lt;=$D$17+RetailDowntime,0,1)*$E$17*$B$17/12*INDEX(Cum_RetailRent,1,Assumptions!V$77)*RenewalRentFactor)))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IF(Assumptions!W$74=0,0,IF(Assumptions!W$72&lt;$C$17,0,IF(Assumptions!W$72&lt;=$D$17,$E$17*$B$17/12*(1+$F$17)^INT((Assumptions!W$72-$C$17)/12),IF(Assumptions!W$72&lt;=$D$17+RetailDowntime,0,1)*$E$17*$B$17/12*INDEX(Cum_RetailRent,1,Assumptions!W$77)*RenewalRentFactor)))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IF(Assumptions!X$74=0,0,IF(Assumptions!X$72&lt;$C$17,0,IF(Assumptions!X$72&lt;=$D$17,$E$17*$B$17/12*(1+$F$17)^INT((Assumptions!X$72-$C$17)/12),IF(Assumptions!X$72&lt;=$D$17+RetailDowntime,0,1)*$E$17*$B$17/12*INDEX(Cum_RetailRent,1,Assumptions!X$77)*RenewalRentFactor)))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IF(Assumptions!Y$74=0,0,IF(Assumptions!Y$72&lt;$C$17,0,IF(Assumptions!Y$72&lt;=$D$17,$E$17*$B$17/12*(1+$F$17)^INT((Assumptions!Y$72-$C$17)/12),IF(Assumptions!Y$72&lt;=$D$17+RetailDowntime,0,1)*$E$17*$B$17/12*INDEX(Cum_RetailRent,1,Assumptions!Y$77)*RenewalRentFactor)))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IF(Assumptions!Z$74=0,0,IF(Assumptions!Z$72&lt;$C$17,0,IF(Assumptions!Z$72&lt;=$D$17,$E$17*$B$17/12*(1+$F$17)^INT((Assumptions!Z$72-$C$17)/12),IF(Assumptions!Z$72&lt;=$D$17+RetailDowntime,0,1)*$E$17*$B$17/12*INDEX(Cum_RetailRent,1,Assumptions!Z$77)*RenewalRentFactor)))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IF(Assumptions!AA$74=0,0,IF(Assumptions!AA$72&lt;$C$17,0,IF(Assumptions!AA$72&lt;=$D$17,$E$17*$B$17/12*(1+$F$17)^INT((Assumptions!AA$72-$C$17)/12),IF(Assumptions!AA$72&lt;=$D$17+RetailDowntime,0,1)*$E$17*$B$17/12*INDEX(Cum_RetailRent,1,Assumptions!AA$77)*RenewalRentFactor)))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IF(Assumptions!AB$74=0,0,IF(Assumptions!AB$72&lt;$C$17,0,IF(Assumptions!AB$72&lt;=$D$17,$E$17*$B$17/12*(1+$F$17)^INT((Assumptions!AB$72-$C$17)/12),IF(Assumptions!AB$72&lt;=$D$17+RetailDowntime,0,1)*$E$17*$B$17/12*INDEX(Cum_RetailRent,1,Assumptions!AB$77)*RenewalRentFactor)))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IF(Assumptions!AC$74=0,0,IF(Assumptions!AC$72&lt;$C$17,0,IF(Assumptions!AC$72&lt;=$D$17,$E$17*$B$17/12*(1+$F$17)^INT((Assumptions!AC$72-$C$17)/12),IF(Assumptions!AC$72&lt;=$D$17+RetailDowntime,0,1)*$E$17*$B$17/12*INDEX(Cum_RetailRent,1,Assumptions!AC$77)*RenewalRentFactor)))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IF(Assumptions!AD$74=0,0,IF(Assumptions!AD$72&lt;$C$17,0,IF(Assumptions!AD$72&lt;=$D$17,$E$17*$B$17/12*(1+$F$17)^INT((Assumptions!AD$72-$C$17)/12),IF(Assumptions!AD$72&lt;=$D$17+RetailDowntime,0,1)*$E$17*$B$17/12*INDEX(Cum_RetailRent,1,Assumptions!AD$77)*RenewalRentFactor)))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IF(Assumptions!AE$74=0,0,IF(Assumptions!AE$72&lt;$C$17,0,IF(Assumptions!AE$72&lt;=$D$17,$E$17*$B$17/12*(1+$F$17)^INT((Assumptions!AE$72-$C$17)/12),IF(Assumptions!AE$72&lt;=$D$17+RetailDowntime,0,1)*$E$17*$B$17/12*INDEX(Cum_RetailRent,1,Assumptions!AE$77)*RenewalRentFactor)))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IF(Assumptions!AF$74=0,0,IF(Assumptions!AF$72&lt;$C$17,0,IF(Assumptions!AF$72&lt;=$D$17,$E$17*$B$17/12*(1+$F$17)^INT((Assumptions!AF$72-$C$17)/12),IF(Assumptions!AF$72&lt;=$D$17+RetailDowntime,0,1)*$E$17*$B$17/12*INDEX(Cum_RetailRent,1,Assumptions!AF$77)*RenewalRentFactor)))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IF(Assumptions!AG$74=0,0,IF(Assumptions!AG$72&lt;$C$17,0,IF(Assumptions!AG$72&lt;=$D$17,$E$17*$B$17/12*(1+$F$17)^INT((Assumptions!AG$72-$C$17)/12),IF(Assumptions!AG$72&lt;=$D$17+RetailDowntime,0,1)*$E$17*$B$17/12*INDEX(Cum_RetailRent,1,Assumptions!AG$77)*RenewalRentFactor)))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IF(Assumptions!AH$74=0,0,IF(Assumptions!AH$72&lt;$C$17,0,IF(Assumptions!AH$72&lt;=$D$17,$E$17*$B$17/12*(1+$F$17)^INT((Assumptions!AH$72-$C$17)/12),IF(Assumptions!AH$72&lt;=$D$17+RetailDowntime,0,1)*$E$17*$B$17/12*INDEX(Cum_RetailRent,1,Assumptions!AH$77)*RenewalRentFactor)))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IF(Assumptions!AI$74=0,0,IF(Assumptions!AI$72&lt;$C$17,0,IF(Assumptions!AI$72&lt;=$D$17,$E$17*$B$17/12*(1+$F$17)^INT((Assumptions!AI$72-$C$17)/12),IF(Assumptions!AI$72&lt;=$D$17+RetailDowntime,0,1)*$E$17*$B$17/12*INDEX(Cum_RetailRent,1,Assumptions!AI$77)*RenewalRentFactor)))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IF(Assumptions!AJ$74=0,0,IF(Assumptions!AJ$72&lt;$C$17,0,IF(Assumptions!AJ$72&lt;=$D$17,$E$17*$B$17/12*(1+$F$17)^INT((Assumptions!AJ$72-$C$17)/12),IF(Assumptions!AJ$72&lt;=$D$17+RetailDowntime,0,1)*$E$17*$B$17/12*INDEX(Cum_RetailRent,1,Assumptions!AJ$77)*RenewalRentFactor)))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IF(Assumptions!AK$74=0,0,IF(Assumptions!AK$72&lt;$C$17,0,IF(Assumptions!AK$72&lt;=$D$17,$E$17*$B$17/12*(1+$F$17)^INT((Assumptions!AK$72-$C$17)/12),IF(Assumptions!AK$72&lt;=$D$17+RetailDowntime,0,1)*$E$17*$B$17/12*INDEX(Cum_RetailRent,1,Assumptions!AK$77)*RenewalRentFactor)))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IF(Assumptions!AL$74=0,0,IF(Assumptions!AL$72&lt;$C$17,0,IF(Assumptions!AL$72&lt;=$D$17,$E$17*$B$17/12*(1+$F$17)^INT((Assumptions!AL$72-$C$17)/12),IF(Assumptions!AL$72&lt;=$D$17+RetailDowntime,0,1)*$E$17*$B$17/12*INDEX(Cum_RetailRent,1,Assumptions!AL$77)*RenewalRentFactor)))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IF(Assumptions!AM$74=0,0,IF(Assumptions!AM$72&lt;$C$17,0,IF(Assumptions!AM$72&lt;=$D$17,$E$17*$B$17/12*(1+$F$17)^INT((Assumptions!AM$72-$C$17)/12),IF(Assumptions!AM$72&lt;=$D$17+RetailDowntime,0,1)*$E$17*$B$17/12*INDEX(Cum_RetailRent,1,Assumptions!AM$77)*RenewalRentFactor)))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IF(Assumptions!AN$74=0,0,IF(Assumptions!AN$72&lt;$C$17,0,IF(Assumptions!AN$72&lt;=$D$17,$E$17*$B$17/12*(1+$F$17)^INT((Assumptions!AN$72-$C$17)/12),IF(Assumptions!AN$72&lt;=$D$17+RetailDowntime,0,1)*$E$17*$B$17/12*INDEX(Cum_RetailRent,1,Assumptions!AN$77)*RenewalRentFactor)))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IF(Assumptions!AO$74=0,0,IF(Assumptions!AO$72&lt;$C$17,0,IF(Assumptions!AO$72&lt;=$D$17,$E$17*$B$17/12*(1+$F$17)^INT((Assumptions!AO$72-$C$17)/12),IF(Assumptions!AO$72&lt;=$D$17+RetailDowntime,0,1)*$E$17*$B$17/12*INDEX(Cum_RetailRent,1,Assumptions!AO$77)*RenewalRentFactor)))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IF(Assumptions!AP$74=0,0,IF(Assumptions!AP$72&lt;$C$17,0,IF(Assumptions!AP$72&lt;=$D$17,$E$17*$B$17/12*(1+$F$17)^INT((Assumptions!AP$72-$C$17)/12),IF(Assumptions!AP$72&lt;=$D$17+RetailDowntime,0,1)*$E$17*$B$17/12*INDEX(Cum_RetailRent,1,Assumptions!AP$77)*RenewalRentFactor)))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IF(Assumptions!AQ$74=0,0,IF(Assumptions!AQ$72&lt;$C$17,0,IF(Assumptions!AQ$72&lt;=$D$17,$E$17*$B$17/12*(1+$F$17)^INT((Assumptions!AQ$72-$C$17)/12),IF(Assumptions!AQ$72&lt;=$D$17+RetailDowntime,0,1)*$E$17*$B$17/12*INDEX(Cum_RetailRent,1,Assumptions!AQ$77)*RenewalRentFactor)))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IF(Assumptions!AR$74=0,0,IF(Assumptions!AR$72&lt;$C$17,0,IF(Assumptions!AR$72&lt;=$D$17,$E$17*$B$17/12*(1+$F$17)^INT((Assumptions!AR$72-$C$17)/12),IF(Assumptions!AR$72&lt;=$D$17+RetailDowntime,0,1)*$E$17*$B$17/12*INDEX(Cum_RetailRent,1,Assumptions!AR$77)*RenewalRentFactor)))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IF(Assumptions!AS$74=0,0,IF(Assumptions!AS$72&lt;$C$17,0,IF(Assumptions!AS$72&lt;=$D$17,$E$17*$B$17/12*(1+$F$17)^INT((Assumptions!AS$72-$C$17)/12),IF(Assumptions!AS$72&lt;=$D$17+RetailDowntime,0,1)*$E$17*$B$17/12*INDEX(Cum_RetailRent,1,Assumptions!AS$77)*RenewalRentFactor)))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IF(Assumptions!AT$74=0,0,IF(Assumptions!AT$72&lt;$C$17,0,IF(Assumptions!AT$72&lt;=$D$17,$E$17*$B$17/12*(1+$F$17)^INT((Assumptions!AT$72-$C$17)/12),IF(Assumptions!AT$72&lt;=$D$17+RetailDowntime,0,1)*$E$17*$B$17/12*INDEX(Cum_RetailRent,1,Assumptions!AT$77)*RenewalRentFactor)))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IF(Assumptions!AU$74=0,0,IF(Assumptions!AU$72&lt;$C$17,0,IF(Assumptions!AU$72&lt;=$D$17,$E$17*$B$17/12*(1+$F$17)^INT((Assumptions!AU$72-$C$17)/12),IF(Assumptions!AU$72&lt;=$D$17+RetailDowntime,0,1)*$E$17*$B$17/12*INDEX(Cum_RetailRent,1,Assumptions!AU$77)*RenewalRentFactor)))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IF(Assumptions!AV$74=0,0,IF(Assumptions!AV$72&lt;$C$17,0,IF(Assumptions!AV$72&lt;=$D$17,$E$17*$B$17/12*(1+$F$17)^INT((Assumptions!AV$72-$C$17)/12),IF(Assumptions!AV$72&lt;=$D$17+RetailDowntime,0,1)*$E$17*$B$17/12*INDEX(Cum_RetailRent,1,Assumptions!AV$77)*RenewalRentFactor)))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IF(Assumptions!AW$74=0,0,IF(Assumptions!AW$72&lt;$C$17,0,IF(Assumptions!AW$72&lt;=$D$17,$E$17*$B$17/12*(1+$F$17)^INT((Assumptions!AW$72-$C$17)/12),IF(Assumptions!AW$72&lt;=$D$17+RetailDowntime,0,1)*$E$17*$B$17/12*INDEX(Cum_RetailRent,1,Assumptions!AW$77)*RenewalRentFactor)))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IF(Assumptions!AX$74=0,0,IF(Assumptions!AX$72&lt;$C$17,0,IF(Assumptions!AX$72&lt;=$D$17,$E$17*$B$17/12*(1+$F$17)^INT((Assumptions!AX$72-$C$17)/12),IF(Assumptions!AX$72&lt;=$D$17+RetailDowntime,0,1)*$E$17*$B$17/12*INDEX(Cum_RetailRent,1,Assumptions!AX$77)*RenewalRentFactor)))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IF(Assumptions!AY$74=0,0,IF(Assumptions!AY$72&lt;$C$17,0,IF(Assumptions!AY$72&lt;=$D$17,$E$17*$B$17/12*(1+$F$17)^INT((Assumptions!AY$72-$C$17)/12),IF(Assumptions!AY$72&lt;=$D$17+RetailDowntime,0,1)*$E$17*$B$17/12*INDEX(Cum_RetailRent,1,Assumptions!AY$77)*RenewalRentFactor)))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IF(Assumptions!AZ$74=0,0,IF(Assumptions!AZ$72&lt;$C$17,0,IF(Assumptions!AZ$72&lt;=$D$17,$E$17*$B$17/12*(1+$F$17)^INT((Assumptions!AZ$72-$C$17)/12),IF(Assumptions!AZ$72&lt;=$D$17+RetailDowntime,0,1)*$E$17*$B$17/12*INDEX(Cum_RetailRent,1,Assumptions!AZ$77)*RenewalRentFactor)))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IF(Assumptions!BA$74=0,0,IF(Assumptions!BA$72&lt;$C$17,0,IF(Assumptions!BA$72&lt;=$D$17,$E$17*$B$17/12*(1+$F$17)^INT((Assumptions!BA$72-$C$17)/12),IF(Assumptions!BA$72&lt;=$D$17+RetailDowntime,0,1)*$E$17*$B$17/12*INDEX(Cum_RetailRent,1,Assumptions!BA$77)*RenewalRentFactor)))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IF(Assumptions!BB$74=0,0,IF(Assumptions!BB$72&lt;$C$17,0,IF(Assumptions!BB$72&lt;=$D$17,$E$17*$B$17/12*(1+$F$17)^INT((Assumptions!BB$72-$C$17)/12),IF(Assumptions!BB$72&lt;=$D$17+RetailDowntime,0,1)*$E$17*$B$17/12*INDEX(Cum_RetailRent,1,Assumptions!BB$77)*RenewalRentFactor)))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IF(Assumptions!BC$74=0,0,IF(Assumptions!BC$72&lt;$C$17,0,IF(Assumptions!BC$72&lt;=$D$17,$E$17*$B$17/12*(1+$F$17)^INT((Assumptions!BC$72-$C$17)/12),IF(Assumptions!BC$72&lt;=$D$17+RetailDowntime,0,1)*$E$17*$B$17/12*INDEX(Cum_RetailRent,1,Assumptions!BC$77)*RenewalRentFactor)))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IF(Assumptions!BD$74=0,0,IF(Assumptions!BD$72&lt;$C$17,0,IF(Assumptions!BD$72&lt;=$D$17,$E$17*$B$17/12*(1+$F$17)^INT((Assumptions!BD$72-$C$17)/12),IF(Assumptions!BD$72&lt;=$D$17+RetailDowntime,0,1)*$E$17*$B$17/12*INDEX(Cum_RetailRent,1,Assumptions!BD$77)*RenewalRentFactor)))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IF(Assumptions!BE$74=0,0,IF(Assumptions!BE$72&lt;$C$17,0,IF(Assumptions!BE$72&lt;=$D$17,$E$17*$B$17/12*(1+$F$17)^INT((Assumptions!BE$72-$C$17)/12),IF(Assumptions!BE$72&lt;=$D$17+RetailDowntime,0,1)*$E$17*$B$17/12*INDEX(Cum_RetailRent,1,Assumptions!BE$77)*RenewalRentFactor)))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IF(Assumptions!BF$74=0,0,IF(Assumptions!BF$72&lt;$C$17,0,IF(Assumptions!BF$72&lt;=$D$17,$E$17*$B$17/12*(1+$F$17)^INT((Assumptions!BF$72-$C$17)/12),IF(Assumptions!BF$72&lt;=$D$17+RetailDowntime,0,1)*$E$17*$B$17/12*INDEX(Cum_RetailRent,1,Assumptions!BF$77)*RenewalRentFactor)))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IF(Assumptions!BG$74=0,0,IF(Assumptions!BG$72&lt;$C$17,0,IF(Assumptions!BG$72&lt;=$D$17,$E$17*$B$17/12*(1+$F$17)^INT((Assumptions!BG$72-$C$17)/12),IF(Assumptions!BG$72&lt;=$D$17+RetailDowntime,0,1)*$E$17*$B$17/12*INDEX(Cum_RetailRent,1,Assumptions!BG$77)*RenewalRentFactor)))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IF(Assumptions!BH$74=0,0,IF(Assumptions!BH$72&lt;$C$17,0,IF(Assumptions!BH$72&lt;=$D$17,$E$17*$B$17/12*(1+$F$17)^INT((Assumptions!BH$72-$C$17)/12),IF(Assumptions!BH$72&lt;=$D$17+RetailDowntime,0,1)*$E$17*$B$17/12*INDEX(Cum_RetailRent,1,Assumptions!BH$77)*RenewalRentFactor)))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IF(Assumptions!BI$74=0,0,IF(Assumptions!BI$72&lt;$C$17,0,IF(Assumptions!BI$72&lt;=$D$17,$E$17*$B$17/12*(1+$F$17)^INT((Assumptions!BI$72-$C$17)/12),IF(Assumptions!BI$72&lt;=$D$17+RetailDowntime,0,1)*$E$17*$B$17/12*INDEX(Cum_RetailRent,1,Assumptions!BI$77)*RenewalRentFactor)))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IF(Assumptions!BJ$74=0,0,IF(Assumptions!BJ$72&lt;$C$17,0,IF(Assumptions!BJ$72&lt;=$D$17,$E$17*$B$17/12*(1+$F$17)^INT((Assumptions!BJ$72-$C$17)/12),IF(Assumptions!BJ$72&lt;=$D$17+RetailDowntime,0,1)*$E$17*$B$17/12*INDEX(Cum_RetailRent,1,Assumptions!BJ$77)*RenewalRentFactor)))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IF(Assumptions!BK$74=0,0,IF(Assumptions!BK$72&lt;$C$17,0,IF(Assumptions!BK$72&lt;=$D$17,$E$17*$B$17/12*(1+$F$17)^INT((Assumptions!BK$72-$C$17)/12),IF(Assumptions!BK$72&lt;=$D$17+RetailDowntime,0,1)*$E$17*$B$17/12*INDEX(Cum_RetailRent,1,Assumptions!BK$77)*RenewalRentFactor)))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IF(Assumptions!BL$74=0,0,IF(Assumptions!BL$72&lt;$C$17,0,IF(Assumptions!BL$72&lt;=$D$17,$E$17*$B$17/12*(1+$F$17)^INT((Assumptions!BL$72-$C$17)/12),IF(Assumptions!BL$72&lt;=$D$17+RetailDowntime,0,1)*$E$17*$B$17/12*INDEX(Cum_RetailRent,1,Assumptions!BL$77)*RenewalRentFactor)))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IF(Assumptions!BM$74=0,0,IF(Assumptions!BM$72&lt;$C$17,0,IF(Assumptions!BM$72&lt;=$D$17,$E$17*$B$17/12*(1+$F$17)^INT((Assumptions!BM$72-$C$17)/12),IF(Assumptions!BM$72&lt;=$D$17+RetailDowntime,0,1)*$E$17*$B$17/12*INDEX(Cum_RetailRent,1,Assumptions!BM$77)*RenewalRentFactor)))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IF(Assumptions!BN$74=0,0,IF(Assumptions!BN$72&lt;$C$17,0,IF(Assumptions!BN$72&lt;=$D$17,$E$17*$B$17/12*(1+$F$17)^INT((Assumptions!BN$72-$C$17)/12),IF(Assumptions!BN$72&lt;=$D$17+RetailDowntime,0,1)*$E$17*$B$17/12*INDEX(Cum_RetailRent,1,Assumptions!BN$77)*RenewalRentFactor)))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IF(Assumptions!BO$74=0,0,IF(Assumptions!BO$72&lt;$C$17,0,IF(Assumptions!BO$72&lt;=$D$17,$E$17*$B$17/12*(1+$F$17)^INT((Assumptions!BO$72-$C$17)/12),IF(Assumptions!BO$72&lt;=$D$17+RetailDowntime,0,1)*$E$17*$B$17/12*INDEX(Cum_RetailRent,1,Assumptions!BO$77)*RenewalRentFactor)))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IF(Assumptions!BP$74=0,0,IF(Assumptions!BP$72&lt;$C$17,0,IF(Assumptions!BP$72&lt;=$D$17,$E$17*$B$17/12*(1+$F$17)^INT((Assumptions!BP$72-$C$17)/12),IF(Assumptions!BP$72&lt;=$D$17+RetailDowntime,0,1)*$E$17*$B$17/12*INDEX(Cum_RetailRent,1,Assumptions!BP$77)*RenewalRentFactor)))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IF(Assumptions!BQ$74=0,0,IF(Assumptions!BQ$72&lt;$C$17,0,IF(Assumptions!BQ$72&lt;=$D$17,$E$17*$B$17/12*(1+$F$17)^INT((Assumptions!BQ$72-$C$17)/12),IF(Assumptions!BQ$72&lt;=$D$17+RetailDowntime,0,1)*$E$17*$B$17/12*INDEX(Cum_RetailRent,1,Assumptions!BQ$77)*RenewalRentFactor)))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IF(Assumptions!BR$74=0,0,IF(Assumptions!BR$72&lt;$C$17,0,IF(Assumptions!BR$72&lt;=$D$17,$E$17*$B$17/12*(1+$F$17)^INT((Assumptions!BR$72-$C$17)/12),IF(Assumptions!BR$72&lt;=$D$17+RetailDowntime,0,1)*$E$17*$B$17/12*INDEX(Cum_RetailRent,1,Assumptions!BR$77)*RenewalRentFactor)))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IF(Assumptions!BS$74=0,0,IF(Assumptions!BS$72&lt;$C$17,0,IF(Assumptions!BS$72&lt;=$D$17,$E$17*$B$17/12*(1+$F$17)^INT((Assumptions!BS$72-$C$17)/12),IF(Assumptions!BS$72&lt;=$D$17+RetailDowntime,0,1)*$E$17*$B$17/12*INDEX(Cum_RetailRent,1,Assumptions!BS$77)*RenewalRentFactor)))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IF(Assumptions!BT$74=0,0,IF(Assumptions!BT$72&lt;$C$17,0,IF(Assumptions!BT$72&lt;=$D$17,$E$17*$B$17/12*(1+$F$17)^INT((Assumptions!BT$72-$C$17)/12),IF(Assumptions!BT$72&lt;=$D$17+RetailDowntime,0,1)*$E$17*$B$17/12*INDEX(Cum_RetailRent,1,Assumptions!BT$77)*RenewalRentFactor)))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IF(Assumptions!BU$74=0,0,IF(Assumptions!BU$72&lt;$C$17,0,IF(Assumptions!BU$72&lt;=$D$17,$E$17*$B$17/12*(1+$F$17)^INT((Assumptions!BU$72-$C$17)/12),IF(Assumptions!BU$72&lt;=$D$17+RetailDowntime,0,1)*$E$17*$B$17/12*INDEX(Cum_RetailRent,1,Assumptions!BU$77)*RenewalRentFactor)))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IF(Assumptions!BV$74=0,0,IF(Assumptions!BV$72&lt;$C$17,0,IF(Assumptions!BV$72&lt;=$D$17,$E$17*$B$17/12*(1+$F$17)^INT((Assumptions!BV$72-$C$17)/12),IF(Assumptions!BV$72&lt;=$D$17+RetailDowntime,0,1)*$E$17*$B$17/12*INDEX(Cum_RetailRent,1,Assumptions!BV$77)*RenewalRentFactor)))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IF(Assumptions!BW$74=0,0,IF(Assumptions!BW$72&lt;$C$17,0,IF(Assumptions!BW$72&lt;=$D$17,$E$17*$B$17/12*(1+$F$17)^INT((Assumptions!BW$72-$C$17)/12),IF(Assumptions!BW$72&lt;=$D$17+RetailDowntime,0,1)*$E$17*$B$17/12*INDEX(Cum_RetailRent,1,Assumptions!BW$77)*RenewalRentFactor)))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IF(Assumptions!BX$74=0,0,IF(Assumptions!BX$72&lt;$C$17,0,IF(Assumptions!BX$72&lt;=$D$17,$E$17*$B$17/12*(1+$F$17)^INT((Assumptions!BX$72-$C$17)/12),IF(Assumptions!BX$72&lt;=$D$17+RetailDowntime,0,1)*$E$17*$B$17/12*INDEX(Cum_RetailRent,1,Assumptions!BX$77)*RenewalRentFactor)))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IF(Assumptions!BY$74=0,0,IF(Assumptions!BY$72&lt;$C$17,0,IF(Assumptions!BY$72&lt;=$D$17,$E$17*$B$17/12*(1+$F$17)^INT((Assumptions!BY$72-$C$17)/12),IF(Assumptions!BY$72&lt;=$D$17+RetailDowntime,0,1)*$E$17*$B$17/12*INDEX(Cum_RetailRent,1,Assumptions!BY$77)*RenewalRentFactor)))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IF(Assumptions!BZ$74=0,0,IF(Assumptions!BZ$72&lt;$C$17,0,IF(Assumptions!BZ$72&lt;=$D$17,$E$17*$B$17/12*(1+$F$17)^INT((Assumptions!BZ$72-$C$17)/12),IF(Assumptions!BZ$72&lt;=$D$17+RetailDowntime,0,1)*$E$17*$B$17/12*INDEX(Cum_RetailRent,1,Assumptions!BZ$77)*RenewalRentFactor)))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IF(Assumptions!CA$74=0,0,IF(Assumptions!CA$72&lt;$C$17,0,IF(Assumptions!CA$72&lt;=$D$17,$E$17*$B$17/12*(1+$F$17)^INT((Assumptions!CA$72-$C$17)/12),IF(Assumptions!CA$72&lt;=$D$17+RetailDowntime,0,1)*$E$17*$B$17/12*INDEX(Cum_RetailRent,1,Assumptions!CA$77)*RenewalRentFactor)))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IF(Assumptions!CB$74=0,0,IF(Assumptions!CB$72&lt;$C$17,0,IF(Assumptions!CB$72&lt;=$D$17,$E$17*$B$17/12*(1+$F$17)^INT((Assumptions!CB$72-$C$17)/12),IF(Assumptions!CB$72&lt;=$D$17+RetailDowntime,0,1)*$E$17*$B$17/12*INDEX(Cum_RetailRent,1,Assumptions!CB$77)*RenewalRentFactor)))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IF(Assumptions!CC$74=0,0,IF(Assumptions!CC$72&lt;$C$17,0,IF(Assumptions!CC$72&lt;=$D$17,$E$17*$B$17/12*(1+$F$17)^INT((Assumptions!CC$72-$C$17)/12),IF(Assumptions!CC$72&lt;=$D$17+RetailDowntime,0,1)*$E$17*$B$17/12*INDEX(Cum_RetailRent,1,Assumptions!CC$77)*RenewalRentFactor)))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IF(Assumptions!CD$74=0,0,IF(Assumptions!CD$72&lt;$C$17,0,IF(Assumptions!CD$72&lt;=$D$17,$E$17*$B$17/12*(1+$F$17)^INT((Assumptions!CD$72-$C$17)/12),IF(Assumptions!CD$72&lt;=$D$17+RetailDowntime,0,1)*$E$17*$B$17/12*INDEX(Cum_RetailRent,1,Assumptions!CD$77)*RenewalRentFactor)))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IF(Assumptions!CE$74=0,0,IF(Assumptions!CE$72&lt;$C$17,0,IF(Assumptions!CE$72&lt;=$D$17,$E$17*$B$17/12*(1+$F$17)^INT((Assumptions!CE$72-$C$17)/12),IF(Assumptions!CE$72&lt;=$D$17+RetailDowntime,0,1)*$E$17*$B$17/12*INDEX(Cum_RetailRent,1,Assumptions!CE$77)*RenewalRentFactor)))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IF(Assumptions!CF$74=0,0,IF(Assumptions!CF$72&lt;$C$17,0,IF(Assumptions!CF$72&lt;=$D$17,$E$17*$B$17/12*(1+$F$17)^INT((Assumptions!CF$72-$C$17)/12),IF(Assumptions!CF$72&lt;=$D$17+RetailDowntime,0,1)*$E$17*$B$17/12*INDEX(Cum_RetailRent,1,Assumptions!CF$77)*RenewalRentFactor)))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IF(Assumptions!CG$74=0,0,IF(Assumptions!CG$72&lt;$C$17,0,IF(Assumptions!CG$72&lt;=$D$17,$E$17*$B$17/12*(1+$F$17)^INT((Assumptions!CG$72-$C$17)/12),IF(Assumptions!CG$72&lt;=$D$17+RetailDowntime,0,1)*$E$17*$B$17/12*INDEX(Cum_RetailRent,1,Assumptions!CG$77)*RenewalRentFactor)))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IF(Assumptions!CH$74=0,0,IF(Assumptions!CH$72&lt;$C$17,0,IF(Assumptions!CH$72&lt;=$D$17,$E$17*$B$17/12*(1+$F$17)^INT((Assumptions!CH$72-$C$17)/12),IF(Assumptions!CH$72&lt;=$D$17+RetailDowntime,0,1)*$E$17*$B$17/12*INDEX(Cum_RetailRent,1,Assumptions!CH$77)*RenewalRentFactor)))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IF(Assumptions!CI$74=0,0,IF(Assumptions!CI$72&lt;$C$17,0,IF(Assumptions!CI$72&lt;=$D$17,$E$17*$B$17/12*(1+$F$17)^INT((Assumptions!CI$72-$C$17)/12),IF(Assumptions!CI$72&lt;=$D$17+RetailDowntime,0,1)*$E$17*$B$17/12*INDEX(Cum_RetailRent,1,Assumptions!CI$77)*RenewalRentFactor)))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IF(Assumptions!CJ$74=0,0,IF(Assumptions!CJ$72&lt;$C$17,0,IF(Assumptions!CJ$72&lt;=$D$17,$E$17*$B$17/12*(1+$F$17)^INT((Assumptions!CJ$72-$C$17)/12),IF(Assumptions!CJ$72&lt;=$D$17+RetailDowntime,0,1)*$E$17*$B$17/12*INDEX(Cum_RetailRent,1,Assumptions!CJ$77)*RenewalRentFactor)))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IF(Assumptions!CK$74=0,0,IF(Assumptions!CK$72&lt;$C$17,0,IF(Assumptions!CK$72&lt;=$D$17,$E$17*$B$17/12*(1+$F$17)^INT((Assumptions!CK$72-$C$17)/12),IF(Assumptions!CK$72&lt;=$D$17+RetailDowntime,0,1)*$E$17*$B$17/12*INDEX(Cum_RetailRent,1,Assumptions!CK$77)*RenewalRentFactor)))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IF(Assumptions!CL$74=0,0,IF(Assumptions!CL$72&lt;$C$17,0,IF(Assumptions!CL$72&lt;=$D$17,$E$17*$B$17/12*(1+$F$17)^INT((Assumptions!CL$72-$C$17)/12),IF(Assumptions!CL$72&lt;=$D$17+RetailDowntime,0,1)*$E$17*$B$17/12*INDEX(Cum_RetailRent,1,Assumptions!CL$77)*RenewalRentFactor)))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IF(Assumptions!CM$74=0,0,IF(Assumptions!CM$72&lt;$C$17,0,IF(Assumptions!CM$72&lt;=$D$17,$E$17*$B$17/12*(1+$F$17)^INT((Assumptions!CM$72-$C$17)/12),IF(Assumptions!CM$72&lt;=$D$17+RetailDowntime,0,1)*$E$17*$B$17/12*INDEX(Cum_RetailRent,1,Assumptions!CM$77)*RenewalRentFactor)))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IF(Assumptions!CN$74=0,0,IF(Assumptions!CN$72&lt;$C$17,0,IF(Assumptions!CN$72&lt;=$D$17,$E$17*$B$17/12*(1+$F$17)^INT((Assumptions!CN$72-$C$17)/12),IF(Assumptions!CN$72&lt;=$D$17+RetailDowntime,0,1)*$E$17*$B$17/12*INDEX(Cum_RetailRent,1,Assumptions!CN$77)*RenewalRentFactor)))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IF(Assumptions!CO$74=0,0,IF(Assumptions!CO$72&lt;$C$17,0,IF(Assumptions!CO$72&lt;=$D$17,$E$17*$B$17/12*(1+$F$17)^INT((Assumptions!CO$72-$C$17)/12),IF(Assumptions!CO$72&lt;=$D$17+RetailDowntime,0,1)*$E$17*$B$17/12*INDEX(Cum_RetailRent,1,Assumptions!CO$77)*RenewalRentFactor)))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IF(Assumptions!CP$74=0,0,IF(Assumptions!CP$72&lt;$C$17,0,IF(Assumptions!CP$72&lt;=$D$17,$E$17*$B$17/12*(1+$F$17)^INT((Assumptions!CP$72-$C$17)/12),IF(Assumptions!CP$72&lt;=$D$17+RetailDowntime,0,1)*$E$17*$B$17/12*INDEX(Cum_RetailRent,1,Assumptions!CP$77)*RenewalRentFactor)))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IF(Assumptions!CQ$74=0,0,IF(Assumptions!CQ$72&lt;$C$17,0,IF(Assumptions!CQ$72&lt;=$D$17,$E$17*$B$17/12*(1+$F$17)^INT((Assumptions!CQ$72-$C$17)/12),IF(Assumptions!CQ$72&lt;=$D$17+RetailDowntime,0,1)*$E$17*$B$17/12*INDEX(Cum_RetailRent,1,Assumptions!CQ$77)*RenewalRentFactor)))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IF(Assumptions!CR$74=0,0,IF(Assumptions!CR$72&lt;$C$17,0,IF(Assumptions!CR$72&lt;=$D$17,$E$17*$B$17/12*(1+$F$17)^INT((Assumptions!CR$72-$C$17)/12),IF(Assumptions!CR$72&lt;=$D$17+RetailDowntime,0,1)*$E$17*$B$17/12*INDEX(Cum_RetailRent,1,Assumptions!CR$77)*RenewalRentFactor)))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IF(Assumptions!CS$74=0,0,IF(Assumptions!CS$72&lt;$C$17,0,IF(Assumptions!CS$72&lt;=$D$17,$E$17*$B$17/12*(1+$F$17)^INT((Assumptions!CS$72-$C$17)/12),IF(Assumptions!CS$72&lt;=$D$17+RetailDowntime,0,1)*$E$17*$B$17/12*INDEX(Cum_RetailRent,1,Assumptions!CS$77)*RenewalRentFactor)))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IF(Assumptions!CT$74=0,0,IF(Assumptions!CT$72&lt;$C$17,0,IF(Assumptions!CT$72&lt;=$D$17,$E$17*$B$17/12*(1+$F$17)^INT((Assumptions!CT$72-$C$17)/12),IF(Assumptions!CT$72&lt;=$D$17+RetailDowntime,0,1)*$E$17*$B$17/12*INDEX(Cum_RetailRent,1,Assumptions!CT$77)*RenewalRentFactor)))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IF(Assumptions!CU$74=0,0,IF(Assumptions!CU$72&lt;$C$17,0,IF(Assumptions!CU$72&lt;=$D$17,$E$17*$B$17/12*(1+$F$17)^INT((Assumptions!CU$72-$C$17)/12),IF(Assumptions!CU$72&lt;=$D$17+RetailDowntime,0,1)*$E$17*$B$17/12*INDEX(Cum_RetailRent,1,Assumptions!CU$77)*RenewalRentFactor)))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IF(Assumptions!CV$74=0,0,IF(Assumptions!CV$72&lt;$C$17,0,IF(Assumptions!CV$72&lt;=$D$17,$E$17*$B$17/12*(1+$F$17)^INT((Assumptions!CV$72-$C$17)/12),IF(Assumptions!CV$72&lt;=$D$17+RetailDowntime,0,1)*$E$17*$B$17/12*INDEX(Cum_RetailRent,1,Assumptions!CV$77)*RenewalRentFactor)))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IF(Assumptions!CW$74=0,0,IF(Assumptions!CW$72&lt;$C$17,0,IF(Assumptions!CW$72&lt;=$D$17,$E$17*$B$17/12*(1+$F$17)^INT((Assumptions!CW$72-$C$17)/12),IF(Assumptions!CW$72&lt;=$D$17+RetailDowntime,0,1)*$E$17*$B$17/12*INDEX(Cum_RetailRent,1,Assumptions!CW$77)*RenewalRentFactor)))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IF(Assumptions!CX$74=0,0,IF(Assumptions!CX$72&lt;$C$17,0,IF(Assumptions!CX$72&lt;=$D$17,$E$17*$B$17/12*(1+$F$17)^INT((Assumptions!CX$72-$C$17)/12),IF(Assumptions!CX$72&lt;=$D$17+RetailDowntime,0,1)*$E$17*$B$17/12*INDEX(Cum_RetailRent,1,Assumptions!CX$77)*RenewalRentFactor)))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IF(Assumptions!CY$74=0,0,IF(Assumptions!CY$72&lt;$C$17,0,IF(Assumptions!CY$72&lt;=$D$17,$E$17*$B$17/12*(1+$F$17)^INT((Assumptions!CY$72-$C$17)/12),IF(Assumptions!CY$72&lt;=$D$17+RetailDowntime,0,1)*$E$17*$B$17/12*INDEX(Cum_RetailRent,1,Assumptions!CY$77)*RenewalRentFactor)))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IF(Assumptions!CZ$74=0,0,IF(Assumptions!CZ$72&lt;$C$17,0,IF(Assumptions!CZ$72&lt;=$D$17,$E$17*$B$17/12*(1+$F$17)^INT((Assumptions!CZ$72-$C$17)/12),IF(Assumptions!CZ$72&lt;=$D$17+RetailDowntime,0,1)*$E$17*$B$17/12*INDEX(Cum_RetailRent,1,Assumptions!CZ$77)*RenewalRentFactor)))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IF(Assumptions!DA$74=0,0,IF(Assumptions!DA$72&lt;$C$17,0,IF(Assumptions!DA$72&lt;=$D$17,$E$17*$B$17/12*(1+$F$17)^INT((Assumptions!DA$72-$C$17)/12),IF(Assumptions!DA$72&lt;=$D$17+RetailDowntime,0,1)*$E$17*$B$17/12*INDEX(Cum_RetailRent,1,Assumptions!DA$77)*RenewalRentFactor)))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IF(Assumptions!DB$74=0,0,IF(Assumptions!DB$72&lt;$C$17,0,IF(Assumptions!DB$72&lt;=$D$17,$E$17*$B$17/12*(1+$F$17)^INT((Assumptions!DB$72-$C$17)/12),IF(Assumptions!DB$72&lt;=$D$17+RetailDowntime,0,1)*$E$17*$B$17/12*INDEX(Cum_RetailRent,1,Assumptions!DB$77)*RenewalRentFactor)))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IF(Assumptions!DC$74=0,0,IF(Assumptions!DC$72&lt;$C$17,0,IF(Assumptions!DC$72&lt;=$D$17,$E$17*$B$17/12*(1+$F$17)^INT((Assumptions!DC$72-$C$17)/12),IF(Assumptions!DC$72&lt;=$D$17+RetailDowntime,0,1)*$E$17*$B$17/12*INDEX(Cum_RetailRent,1,Assumptions!DC$77)*RenewalRentFactor)))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IF(Assumptions!DD$74=0,0,IF(Assumptions!DD$72&lt;$C$17,0,IF(Assumptions!DD$72&lt;=$D$17,$E$17*$B$17/12*(1+$F$17)^INT((Assumptions!DD$72-$C$17)/12),IF(Assumptions!DD$72&lt;=$D$17+RetailDowntime,0,1)*$E$17*$B$17/12*INDEX(Cum_RetailRent,1,Assumptions!DD$77)*RenewalRentFactor)))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IF(Assumptions!DE$74=0,0,IF(Assumptions!DE$72&lt;$C$17,0,IF(Assumptions!DE$72&lt;=$D$17,$E$17*$B$17/12*(1+$F$17)^INT((Assumptions!DE$72-$C$17)/12),IF(Assumptions!DE$72&lt;=$D$17+RetailDowntime,0,1)*$E$17*$B$17/12*INDEX(Cum_RetailRent,1,Assumptions!DE$77)*RenewalRentFactor)))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IF(Assumptions!DF$74=0,0,IF(Assumptions!DF$72&lt;$C$17,0,IF(Assumptions!DF$72&lt;=$D$17,$E$17*$B$17/12*(1+$F$17)^INT((Assumptions!DF$72-$C$17)/12),IF(Assumptions!DF$72&lt;=$D$17+RetailDowntime,0,1)*$E$17*$B$17/12*INDEX(Cum_RetailRent,1,Assumptions!DF$77)*RenewalRentFactor)))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IF(Assumptions!DG$74=0,0,IF(Assumptions!DG$72&lt;$C$17,0,IF(Assumptions!DG$72&lt;=$D$17,$E$17*$B$17/12*(1+$F$17)^INT((Assumptions!DG$72-$C$17)/12),IF(Assumptions!DG$72&lt;=$D$17+RetailDowntime,0,1)*$E$17*$B$17/12*INDEX(Cum_RetailRent,1,Assumptions!DG$77)*RenewalRentFactor)))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IF(Assumptions!DH$74=0,0,IF(Assumptions!DH$72&lt;$C$17,0,IF(Assumptions!DH$72&lt;=$D$17,$E$17*$B$17/12*(1+$F$17)^INT((Assumptions!DH$72-$C$17)/12),IF(Assumptions!DH$72&lt;=$D$17+RetailDowntime,0,1)*$E$17*$B$17/12*INDEX(Cum_RetailRent,1,Assumptions!DH$77)*RenewalRentFactor)))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IF(Assumptions!DI$74=0,0,IF(Assumptions!DI$72&lt;$C$17,0,IF(Assumptions!DI$72&lt;=$D$17,$E$17*$B$17/12*(1+$F$17)^INT((Assumptions!DI$72-$C$17)/12),IF(Assumptions!DI$72&lt;=$D$17+RetailDowntime,0,1)*$E$17*$B$17/12*INDEX(Cum_RetailRent,1,Assumptions!DI$77)*RenewalRentFactor)))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IF(Assumptions!DJ$74=0,0,IF(Assumptions!DJ$72&lt;$C$17,0,IF(Assumptions!DJ$72&lt;=$D$17,$E$17*$B$17/12*(1+$F$17)^INT((Assumptions!DJ$72-$C$17)/12),IF(Assumptions!DJ$72&lt;=$D$17+RetailDowntime,0,1)*$E$17*$B$17/12*INDEX(Cum_RetailRent,1,Assumptions!DJ$77)*RenewalRentFactor)))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IF(Assumptions!DK$74=0,0,IF(Assumptions!DK$72&lt;$C$17,0,IF(Assumptions!DK$72&lt;=$D$17,$E$17*$B$17/12*(1+$F$17)^INT((Assumptions!DK$72-$C$17)/12),IF(Assumptions!DK$72&lt;=$D$17+RetailDowntime,0,1)*$E$17*$B$17/12*INDEX(Cum_RetailRent,1,Assumptions!DK$77)*RenewalRentFactor)))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IF(Assumptions!DL$74=0,0,IF(Assumptions!DL$72&lt;$C$17,0,IF(Assumptions!DL$72&lt;=$D$17,$E$17*$B$17/12*(1+$F$17)^INT((Assumptions!DL$72-$C$17)/12),IF(Assumptions!DL$72&lt;=$D$17+RetailDowntime,0,1)*$E$17*$B$17/12*INDEX(Cum_RetailRent,1,Assumptions!DL$77)*RenewalRentFactor)))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IF(Assumptions!DM$74=0,0,IF(Assumptions!DM$72&lt;$C$17,0,IF(Assumptions!DM$72&lt;=$D$17,$E$17*$B$17/12*(1+$F$17)^INT((Assumptions!DM$72-$C$17)/12),IF(Assumptions!DM$72&lt;=$D$17+RetailDowntime,0,1)*$E$17*$B$17/12*INDEX(Cum_RetailRent,1,Assumptions!DM$77)*RenewalRentFactor)))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IF(Assumptions!DN$74=0,0,IF(Assumptions!DN$72&lt;$C$17,0,IF(Assumptions!DN$72&lt;=$D$17,$E$17*$B$17/12*(1+$F$17)^INT((Assumptions!DN$72-$C$17)/12),IF(Assumptions!DN$72&lt;=$D$17+RetailDowntime,0,1)*$E$17*$B$17/12*INDEX(Cum_RetailRent,1,Assumptions!DN$77)*RenewalRentFactor)))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IF(Assumptions!DO$74=0,0,IF(Assumptions!DO$72&lt;$C$17,0,IF(Assumptions!DO$72&lt;=$D$17,$E$17*$B$17/12*(1+$F$17)^INT((Assumptions!DO$72-$C$17)/12),IF(Assumptions!DO$72&lt;=$D$17+RetailDowntime,0,1)*$E$17*$B$17/12*INDEX(Cum_RetailRent,1,Assumptions!DO$77)*RenewalRentFactor)))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IF(Assumptions!DP$74=0,0,IF(Assumptions!DP$72&lt;$C$17,0,IF(Assumptions!DP$72&lt;=$D$17,$E$17*$B$17/12*(1+$F$17)^INT((Assumptions!DP$72-$C$17)/12),IF(Assumptions!DP$72&lt;=$D$17+RetailDowntime,0,1)*$E$17*$B$17/12*INDEX(Cum_RetailRent,1,Assumptions!DP$77)*RenewalRentFactor)))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IF(Assumptions!DQ$74=0,0,IF(Assumptions!DQ$72&lt;$C$17,0,IF(Assumptions!DQ$72&lt;=$D$17,$E$17*$B$17/12*(1+$F$17)^INT((Assumptions!DQ$72-$C$17)/12),IF(Assumptions!DQ$72&lt;=$D$17+RetailDowntime,0,1)*$E$17*$B$17/12*INDEX(Cum_RetailRent,1,Assumptions!DQ$77)*RenewalRentFactor)))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IF(Assumptions!DR$74=0,0,IF(Assumptions!DR$72&lt;$C$17,0,IF(Assumptions!DR$72&lt;=$D$17,$E$17*$B$17/12*(1+$F$17)^INT((Assumptions!DR$72-$C$17)/12),IF(Assumptions!DR$72&lt;=$D$17+RetailDowntime,0,1)*$E$17*$B$17/12*INDEX(Cum_RetailRent,1,Assumptions!DR$77)*RenewalRentFactor)))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IF(Assumptions!DS$74=0,0,IF(Assumptions!DS$72&lt;$C$17,0,IF(Assumptions!DS$72&lt;=$D$17,$E$17*$B$17/12*(1+$F$17)^INT((Assumptions!DS$72-$C$17)/12),IF(Assumptions!DS$72&lt;=$D$17+RetailDowntime,0,1)*$E$17*$B$17/12*INDEX(Cum_RetailRent,1,Assumptions!DS$77)*RenewalRentFactor)))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IF(Assumptions!DT$74=0,0,IF(Assumptions!DT$72&lt;$C$17,0,IF(Assumptions!DT$72&lt;=$D$17,$E$17*$B$17/12*(1+$F$17)^INT((Assumptions!DT$72-$C$17)/12),IF(Assumptions!DT$72&lt;=$D$17+RetailDowntime,0,1)*$E$17*$B$17/12*INDEX(Cum_RetailRent,1,Assumptions!DT$77)*RenewalRentFactor)))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IF(Assumptions!E$74=0,0,IF(Assumptions!E$72&lt;$C$18,0,IF(Assumptions!E$72&lt;=$D$18,$E$18*$B$18/12*(1+$F$18)^INT((Assumptions!E$72-$C$18)/12),IF(Assumptions!E$72&lt;=$D$18+RetailDowntime,0,1)*$E$18*$B$18/12*INDEX(Cum_RetailRent,1,Assumptions!E$77)*RenewalRentFactor)))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IF(Assumptions!F$74=0,0,IF(Assumptions!F$72&lt;$C$18,0,IF(Assumptions!F$72&lt;=$D$18,$E$18*$B$18/12*(1+$F$18)^INT((Assumptions!F$72-$C$18)/12),IF(Assumptions!F$72&lt;=$D$18+RetailDowntime,0,1)*$E$18*$B$18/12*INDEX(Cum_RetailRent,1,Assumptions!F$77)*RenewalRentFactor)))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IF(Assumptions!G$74=0,0,IF(Assumptions!G$72&lt;$C$18,0,IF(Assumptions!G$72&lt;=$D$18,$E$18*$B$18/12*(1+$F$18)^INT((Assumptions!G$72-$C$18)/12),IF(Assumptions!G$72&lt;=$D$18+RetailDowntime,0,1)*$E$18*$B$18/12*INDEX(Cum_RetailRent,1,Assumptions!G$77)*RenewalRentFactor)))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IF(Assumptions!H$74=0,0,IF(Assumptions!H$72&lt;$C$18,0,IF(Assumptions!H$72&lt;=$D$18,$E$18*$B$18/12*(1+$F$18)^INT((Assumptions!H$72-$C$18)/12),IF(Assumptions!H$72&lt;=$D$18+RetailDowntime,0,1)*$E$18*$B$18/12*INDEX(Cum_RetailRent,1,Assumptions!H$77)*RenewalRentFactor)))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IF(Assumptions!I$74=0,0,IF(Assumptions!I$72&lt;$C$18,0,IF(Assumptions!I$72&lt;=$D$18,$E$18*$B$18/12*(1+$F$18)^INT((Assumptions!I$72-$C$18)/12),IF(Assumptions!I$72&lt;=$D$18+RetailDowntime,0,1)*$E$18*$B$18/12*INDEX(Cum_RetailRent,1,Assumptions!I$77)*RenewalRentFactor)))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IF(Assumptions!J$74=0,0,IF(Assumptions!J$72&lt;$C$18,0,IF(Assumptions!J$72&lt;=$D$18,$E$18*$B$18/12*(1+$F$18)^INT((Assumptions!J$72-$C$18)/12),IF(Assumptions!J$72&lt;=$D$18+RetailDowntime,0,1)*$E$18*$B$18/12*INDEX(Cum_RetailRent,1,Assumptions!J$77)*RenewalRentFactor)))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IF(Assumptions!K$74=0,0,IF(Assumptions!K$72&lt;$C$18,0,IF(Assumptions!K$72&lt;=$D$18,$E$18*$B$18/12*(1+$F$18)^INT((Assumptions!K$72-$C$18)/12),IF(Assumptions!K$72&lt;=$D$18+RetailDowntime,0,1)*$E$18*$B$18/12*INDEX(Cum_RetailRent,1,Assumptions!K$77)*RenewalRentFactor)))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IF(Assumptions!L$74=0,0,IF(Assumptions!L$72&lt;$C$18,0,IF(Assumptions!L$72&lt;=$D$18,$E$18*$B$18/12*(1+$F$18)^INT((Assumptions!L$72-$C$18)/12),IF(Assumptions!L$72&lt;=$D$18+RetailDowntime,0,1)*$E$18*$B$18/12*INDEX(Cum_RetailRent,1,Assumptions!L$77)*RenewalRentFactor)))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IF(Assumptions!M$74=0,0,IF(Assumptions!M$72&lt;$C$18,0,IF(Assumptions!M$72&lt;=$D$18,$E$18*$B$18/12*(1+$F$18)^INT((Assumptions!M$72-$C$18)/12),IF(Assumptions!M$72&lt;=$D$18+RetailDowntime,0,1)*$E$18*$B$18/12*INDEX(Cum_RetailRent,1,Assumptions!M$77)*RenewalRentFactor)))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IF(Assumptions!N$74=0,0,IF(Assumptions!N$72&lt;$C$18,0,IF(Assumptions!N$72&lt;=$D$18,$E$18*$B$18/12*(1+$F$18)^INT((Assumptions!N$72-$C$18)/12),IF(Assumptions!N$72&lt;=$D$18+RetailDowntime,0,1)*$E$18*$B$18/12*INDEX(Cum_RetailRent,1,Assumptions!N$77)*RenewalRentFactor)))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IF(Assumptions!O$74=0,0,IF(Assumptions!O$72&lt;$C$18,0,IF(Assumptions!O$72&lt;=$D$18,$E$18*$B$18/12*(1+$F$18)^INT((Assumptions!O$72-$C$18)/12),IF(Assumptions!O$72&lt;=$D$18+RetailDowntime,0,1)*$E$18*$B$18/12*INDEX(Cum_RetailRent,1,Assumptions!O$77)*RenewalRentFactor)))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IF(Assumptions!P$74=0,0,IF(Assumptions!P$72&lt;$C$18,0,IF(Assumptions!P$72&lt;=$D$18,$E$18*$B$18/12*(1+$F$18)^INT((Assumptions!P$72-$C$18)/12),IF(Assumptions!P$72&lt;=$D$18+RetailDowntime,0,1)*$E$18*$B$18/12*INDEX(Cum_RetailRent,1,Assumptions!P$77)*RenewalRentFactor)))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IF(Assumptions!Q$74=0,0,IF(Assumptions!Q$72&lt;$C$18,0,IF(Assumptions!Q$72&lt;=$D$18,$E$18*$B$18/12*(1+$F$18)^INT((Assumptions!Q$72-$C$18)/12),IF(Assumptions!Q$72&lt;=$D$18+RetailDowntime,0,1)*$E$18*$B$18/12*INDEX(Cum_RetailRent,1,Assumptions!Q$77)*RenewalRentFactor)))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IF(Assumptions!R$74=0,0,IF(Assumptions!R$72&lt;$C$18,0,IF(Assumptions!R$72&lt;=$D$18,$E$18*$B$18/12*(1+$F$18)^INT((Assumptions!R$72-$C$18)/12),IF(Assumptions!R$72&lt;=$D$18+RetailDowntime,0,1)*$E$18*$B$18/12*INDEX(Cum_RetailRent,1,Assumptions!R$77)*RenewalRentFactor)))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IF(Assumptions!S$74=0,0,IF(Assumptions!S$72&lt;$C$18,0,IF(Assumptions!S$72&lt;=$D$18,$E$18*$B$18/12*(1+$F$18)^INT((Assumptions!S$72-$C$18)/12),IF(Assumptions!S$72&lt;=$D$18+RetailDowntime,0,1)*$E$18*$B$18/12*INDEX(Cum_RetailRent,1,Assumptions!S$77)*RenewalRentFactor)))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IF(Assumptions!T$74=0,0,IF(Assumptions!T$72&lt;$C$18,0,IF(Assumptions!T$72&lt;=$D$18,$E$18*$B$18/12*(1+$F$18)^INT((Assumptions!T$72-$C$18)/12),IF(Assumptions!T$72&lt;=$D$18+RetailDowntime,0,1)*$E$18*$B$18/12*INDEX(Cum_RetailRent,1,Assumptions!T$77)*RenewalRentFactor)))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IF(Assumptions!U$74=0,0,IF(Assumptions!U$72&lt;$C$18,0,IF(Assumptions!U$72&lt;=$D$18,$E$18*$B$18/12*(1+$F$18)^INT((Assumptions!U$72-$C$18)/12),IF(Assumptions!U$72&lt;=$D$18+RetailDowntime,0,1)*$E$18*$B$18/12*INDEX(Cum_RetailRent,1,Assumptions!U$77)*RenewalRentFactor)))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IF(Assumptions!V$74=0,0,IF(Assumptions!V$72&lt;$C$18,0,IF(Assumptions!V$72&lt;=$D$18,$E$18*$B$18/12*(1+$F$18)^INT((Assumptions!V$72-$C$18)/12),IF(Assumptions!V$72&lt;=$D$18+RetailDowntime,0,1)*$E$18*$B$18/12*INDEX(Cum_RetailRent,1,Assumptions!V$77)*RenewalRentFactor)))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IF(Assumptions!W$74=0,0,IF(Assumptions!W$72&lt;$C$18,0,IF(Assumptions!W$72&lt;=$D$18,$E$18*$B$18/12*(1+$F$18)^INT((Assumptions!W$72-$C$18)/12),IF(Assumptions!W$72&lt;=$D$18+RetailDowntime,0,1)*$E$18*$B$18/12*INDEX(Cum_RetailRent,1,Assumptions!W$77)*RenewalRentFactor)))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IF(Assumptions!X$74=0,0,IF(Assumptions!X$72&lt;$C$18,0,IF(Assumptions!X$72&lt;=$D$18,$E$18*$B$18/12*(1+$F$18)^INT((Assumptions!X$72-$C$18)/12),IF(Assumptions!X$72&lt;=$D$18+RetailDowntime,0,1)*$E$18*$B$18/12*INDEX(Cum_RetailRent,1,Assumptions!X$77)*RenewalRentFactor)))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IF(Assumptions!Y$74=0,0,IF(Assumptions!Y$72&lt;$C$18,0,IF(Assumptions!Y$72&lt;=$D$18,$E$18*$B$18/12*(1+$F$18)^INT((Assumptions!Y$72-$C$18)/12),IF(Assumptions!Y$72&lt;=$D$18+RetailDowntime,0,1)*$E$18*$B$18/12*INDEX(Cum_RetailRent,1,Assumptions!Y$77)*RenewalRentFactor)))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IF(Assumptions!Z$74=0,0,IF(Assumptions!Z$72&lt;$C$18,0,IF(Assumptions!Z$72&lt;=$D$18,$E$18*$B$18/12*(1+$F$18)^INT((Assumptions!Z$72-$C$18)/12),IF(Assumptions!Z$72&lt;=$D$18+RetailDowntime,0,1)*$E$18*$B$18/12*INDEX(Cum_RetailRent,1,Assumptions!Z$77)*RenewalRentFactor)))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IF(Assumptions!AA$74=0,0,IF(Assumptions!AA$72&lt;$C$18,0,IF(Assumptions!AA$72&lt;=$D$18,$E$18*$B$18/12*(1+$F$18)^INT((Assumptions!AA$72-$C$18)/12),IF(Assumptions!AA$72&lt;=$D$18+RetailDowntime,0,1)*$E$18*$B$18/12*INDEX(Cum_RetailRent,1,Assumptions!AA$77)*RenewalRentFactor)))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IF(Assumptions!AB$74=0,0,IF(Assumptions!AB$72&lt;$C$18,0,IF(Assumptions!AB$72&lt;=$D$18,$E$18*$B$18/12*(1+$F$18)^INT((Assumptions!AB$72-$C$18)/12),IF(Assumptions!AB$72&lt;=$D$18+RetailDowntime,0,1)*$E$18*$B$18/12*INDEX(Cum_RetailRent,1,Assumptions!AB$77)*RenewalRentFactor)))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IF(Assumptions!AC$74=0,0,IF(Assumptions!AC$72&lt;$C$18,0,IF(Assumptions!AC$72&lt;=$D$18,$E$18*$B$18/12*(1+$F$18)^INT((Assumptions!AC$72-$C$18)/12),IF(Assumptions!AC$72&lt;=$D$18+RetailDowntime,0,1)*$E$18*$B$18/12*INDEX(Cum_RetailRent,1,Assumptions!AC$77)*RenewalRentFactor)))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IF(Assumptions!AD$74=0,0,IF(Assumptions!AD$72&lt;$C$18,0,IF(Assumptions!AD$72&lt;=$D$18,$E$18*$B$18/12*(1+$F$18)^INT((Assumptions!AD$72-$C$18)/12),IF(Assumptions!AD$72&lt;=$D$18+RetailDowntime,0,1)*$E$18*$B$18/12*INDEX(Cum_RetailRent,1,Assumptions!AD$77)*RenewalRentFactor)))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IF(Assumptions!AE$74=0,0,IF(Assumptions!AE$72&lt;$C$18,0,IF(Assumptions!AE$72&lt;=$D$18,$E$18*$B$18/12*(1+$F$18)^INT((Assumptions!AE$72-$C$18)/12),IF(Assumptions!AE$72&lt;=$D$18+RetailDowntime,0,1)*$E$18*$B$18/12*INDEX(Cum_RetailRent,1,Assumptions!AE$77)*RenewalRentFactor)))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IF(Assumptions!AF$74=0,0,IF(Assumptions!AF$72&lt;$C$18,0,IF(Assumptions!AF$72&lt;=$D$18,$E$18*$B$18/12*(1+$F$18)^INT((Assumptions!AF$72-$C$18)/12),IF(Assumptions!AF$72&lt;=$D$18+RetailDowntime,0,1)*$E$18*$B$18/12*INDEX(Cum_RetailRent,1,Assumptions!AF$77)*RenewalRentFactor)))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IF(Assumptions!AG$74=0,0,IF(Assumptions!AG$72&lt;$C$18,0,IF(Assumptions!AG$72&lt;=$D$18,$E$18*$B$18/12*(1+$F$18)^INT((Assumptions!AG$72-$C$18)/12),IF(Assumptions!AG$72&lt;=$D$18+RetailDowntime,0,1)*$E$18*$B$18/12*INDEX(Cum_RetailRent,1,Assumptions!AG$77)*RenewalRentFactor)))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IF(Assumptions!AH$74=0,0,IF(Assumptions!AH$72&lt;$C$18,0,IF(Assumptions!AH$72&lt;=$D$18,$E$18*$B$18/12*(1+$F$18)^INT((Assumptions!AH$72-$C$18)/12),IF(Assumptions!AH$72&lt;=$D$18+RetailDowntime,0,1)*$E$18*$B$18/12*INDEX(Cum_RetailRent,1,Assumptions!AH$77)*RenewalRentFactor)))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IF(Assumptions!AI$74=0,0,IF(Assumptions!AI$72&lt;$C$18,0,IF(Assumptions!AI$72&lt;=$D$18,$E$18*$B$18/12*(1+$F$18)^INT((Assumptions!AI$72-$C$18)/12),IF(Assumptions!AI$72&lt;=$D$18+RetailDowntime,0,1)*$E$18*$B$18/12*INDEX(Cum_RetailRent,1,Assumptions!AI$77)*RenewalRentFactor)))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IF(Assumptions!AJ$74=0,0,IF(Assumptions!AJ$72&lt;$C$18,0,IF(Assumptions!AJ$72&lt;=$D$18,$E$18*$B$18/12*(1+$F$18)^INT((Assumptions!AJ$72-$C$18)/12),IF(Assumptions!AJ$72&lt;=$D$18+RetailDowntime,0,1)*$E$18*$B$18/12*INDEX(Cum_RetailRent,1,Assumptions!AJ$77)*RenewalRentFactor)))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IF(Assumptions!AK$74=0,0,IF(Assumptions!AK$72&lt;$C$18,0,IF(Assumptions!AK$72&lt;=$D$18,$E$18*$B$18/12*(1+$F$18)^INT((Assumptions!AK$72-$C$18)/12),IF(Assumptions!AK$72&lt;=$D$18+RetailDowntime,0,1)*$E$18*$B$18/12*INDEX(Cum_RetailRent,1,Assumptions!AK$77)*RenewalRentFactor)))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IF(Assumptions!AL$74=0,0,IF(Assumptions!AL$72&lt;$C$18,0,IF(Assumptions!AL$72&lt;=$D$18,$E$18*$B$18/12*(1+$F$18)^INT((Assumptions!AL$72-$C$18)/12),IF(Assumptions!AL$72&lt;=$D$18+RetailDowntime,0,1)*$E$18*$B$18/12*INDEX(Cum_RetailRent,1,Assumptions!AL$77)*RenewalRentFactor)))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IF(Assumptions!AM$74=0,0,IF(Assumptions!AM$72&lt;$C$18,0,IF(Assumptions!AM$72&lt;=$D$18,$E$18*$B$18/12*(1+$F$18)^INT((Assumptions!AM$72-$C$18)/12),IF(Assumptions!AM$72&lt;=$D$18+RetailDowntime,0,1)*$E$18*$B$18/12*INDEX(Cum_RetailRent,1,Assumptions!AM$77)*RenewalRentFactor)))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IF(Assumptions!AN$74=0,0,IF(Assumptions!AN$72&lt;$C$18,0,IF(Assumptions!AN$72&lt;=$D$18,$E$18*$B$18/12*(1+$F$18)^INT((Assumptions!AN$72-$C$18)/12),IF(Assumptions!AN$72&lt;=$D$18+RetailDowntime,0,1)*$E$18*$B$18/12*INDEX(Cum_RetailRent,1,Assumptions!AN$77)*RenewalRentFactor)))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IF(Assumptions!AO$74=0,0,IF(Assumptions!AO$72&lt;$C$18,0,IF(Assumptions!AO$72&lt;=$D$18,$E$18*$B$18/12*(1+$F$18)^INT((Assumptions!AO$72-$C$18)/12),IF(Assumptions!AO$72&lt;=$D$18+RetailDowntime,0,1)*$E$18*$B$18/12*INDEX(Cum_RetailRent,1,Assumptions!AO$77)*RenewalRentFactor)))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IF(Assumptions!AP$74=0,0,IF(Assumptions!AP$72&lt;$C$18,0,IF(Assumptions!AP$72&lt;=$D$18,$E$18*$B$18/12*(1+$F$18)^INT((Assumptions!AP$72-$C$18)/12),IF(Assumptions!AP$72&lt;=$D$18+RetailDowntime,0,1)*$E$18*$B$18/12*INDEX(Cum_RetailRent,1,Assumptions!AP$77)*RenewalRentFactor)))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IF(Assumptions!AQ$74=0,0,IF(Assumptions!AQ$72&lt;$C$18,0,IF(Assumptions!AQ$72&lt;=$D$18,$E$18*$B$18/12*(1+$F$18)^INT((Assumptions!AQ$72-$C$18)/12),IF(Assumptions!AQ$72&lt;=$D$18+RetailDowntime,0,1)*$E$18*$B$18/12*INDEX(Cum_RetailRent,1,Assumptions!AQ$77)*RenewalRentFactor)))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IF(Assumptions!AR$74=0,0,IF(Assumptions!AR$72&lt;$C$18,0,IF(Assumptions!AR$72&lt;=$D$18,$E$18*$B$18/12*(1+$F$18)^INT((Assumptions!AR$72-$C$18)/12),IF(Assumptions!AR$72&lt;=$D$18+RetailDowntime,0,1)*$E$18*$B$18/12*INDEX(Cum_RetailRent,1,Assumptions!AR$77)*RenewalRentFactor)))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IF(Assumptions!AS$74=0,0,IF(Assumptions!AS$72&lt;$C$18,0,IF(Assumptions!AS$72&lt;=$D$18,$E$18*$B$18/12*(1+$F$18)^INT((Assumptions!AS$72-$C$18)/12),IF(Assumptions!AS$72&lt;=$D$18+RetailDowntime,0,1)*$E$18*$B$18/12*INDEX(Cum_RetailRent,1,Assumptions!AS$77)*RenewalRentFactor)))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IF(Assumptions!AT$74=0,0,IF(Assumptions!AT$72&lt;$C$18,0,IF(Assumptions!AT$72&lt;=$D$18,$E$18*$B$18/12*(1+$F$18)^INT((Assumptions!AT$72-$C$18)/12),IF(Assumptions!AT$72&lt;=$D$18+RetailDowntime,0,1)*$E$18*$B$18/12*INDEX(Cum_RetailRent,1,Assumptions!AT$77)*RenewalRentFactor)))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IF(Assumptions!AU$74=0,0,IF(Assumptions!AU$72&lt;$C$18,0,IF(Assumptions!AU$72&lt;=$D$18,$E$18*$B$18/12*(1+$F$18)^INT((Assumptions!AU$72-$C$18)/12),IF(Assumptions!AU$72&lt;=$D$18+RetailDowntime,0,1)*$E$18*$B$18/12*INDEX(Cum_RetailRent,1,Assumptions!AU$77)*RenewalRentFactor)))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IF(Assumptions!AV$74=0,0,IF(Assumptions!AV$72&lt;$C$18,0,IF(Assumptions!AV$72&lt;=$D$18,$E$18*$B$18/12*(1+$F$18)^INT((Assumptions!AV$72-$C$18)/12),IF(Assumptions!AV$72&lt;=$D$18+RetailDowntime,0,1)*$E$18*$B$18/12*INDEX(Cum_RetailRent,1,Assumptions!AV$77)*RenewalRentFactor)))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IF(Assumptions!AW$74=0,0,IF(Assumptions!AW$72&lt;$C$18,0,IF(Assumptions!AW$72&lt;=$D$18,$E$18*$B$18/12*(1+$F$18)^INT((Assumptions!AW$72-$C$18)/12),IF(Assumptions!AW$72&lt;=$D$18+RetailDowntime,0,1)*$E$18*$B$18/12*INDEX(Cum_RetailRent,1,Assumptions!AW$77)*RenewalRentFactor)))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IF(Assumptions!AX$74=0,0,IF(Assumptions!AX$72&lt;$C$18,0,IF(Assumptions!AX$72&lt;=$D$18,$E$18*$B$18/12*(1+$F$18)^INT((Assumptions!AX$72-$C$18)/12),IF(Assumptions!AX$72&lt;=$D$18+RetailDowntime,0,1)*$E$18*$B$18/12*INDEX(Cum_RetailRent,1,Assumptions!AX$77)*RenewalRentFactor)))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IF(Assumptions!AY$74=0,0,IF(Assumptions!AY$72&lt;$C$18,0,IF(Assumptions!AY$72&lt;=$D$18,$E$18*$B$18/12*(1+$F$18)^INT((Assumptions!AY$72-$C$18)/12),IF(Assumptions!AY$72&lt;=$D$18+RetailDowntime,0,1)*$E$18*$B$18/12*INDEX(Cum_RetailRent,1,Assumptions!AY$77)*RenewalRentFactor)))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IF(Assumptions!AZ$74=0,0,IF(Assumptions!AZ$72&lt;$C$18,0,IF(Assumptions!AZ$72&lt;=$D$18,$E$18*$B$18/12*(1+$F$18)^INT((Assumptions!AZ$72-$C$18)/12),IF(Assumptions!AZ$72&lt;=$D$18+RetailDowntime,0,1)*$E$18*$B$18/12*INDEX(Cum_RetailRent,1,Assumptions!AZ$77)*RenewalRentFactor)))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IF(Assumptions!BA$74=0,0,IF(Assumptions!BA$72&lt;$C$18,0,IF(Assumptions!BA$72&lt;=$D$18,$E$18*$B$18/12*(1+$F$18)^INT((Assumptions!BA$72-$C$18)/12),IF(Assumptions!BA$72&lt;=$D$18+RetailDowntime,0,1)*$E$18*$B$18/12*INDEX(Cum_RetailRent,1,Assumptions!BA$77)*RenewalRentFactor)))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IF(Assumptions!BB$74=0,0,IF(Assumptions!BB$72&lt;$C$18,0,IF(Assumptions!BB$72&lt;=$D$18,$E$18*$B$18/12*(1+$F$18)^INT((Assumptions!BB$72-$C$18)/12),IF(Assumptions!BB$72&lt;=$D$18+RetailDowntime,0,1)*$E$18*$B$18/12*INDEX(Cum_RetailRent,1,Assumptions!BB$77)*RenewalRentFactor)))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IF(Assumptions!BC$74=0,0,IF(Assumptions!BC$72&lt;$C$18,0,IF(Assumptions!BC$72&lt;=$D$18,$E$18*$B$18/12*(1+$F$18)^INT((Assumptions!BC$72-$C$18)/12),IF(Assumptions!BC$72&lt;=$D$18+RetailDowntime,0,1)*$E$18*$B$18/12*INDEX(Cum_RetailRent,1,Assumptions!BC$77)*RenewalRentFactor)))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IF(Assumptions!BD$74=0,0,IF(Assumptions!BD$72&lt;$C$18,0,IF(Assumptions!BD$72&lt;=$D$18,$E$18*$B$18/12*(1+$F$18)^INT((Assumptions!BD$72-$C$18)/12),IF(Assumptions!BD$72&lt;=$D$18+RetailDowntime,0,1)*$E$18*$B$18/12*INDEX(Cum_RetailRent,1,Assumptions!BD$77)*RenewalRentFactor)))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IF(Assumptions!BE$74=0,0,IF(Assumptions!BE$72&lt;$C$18,0,IF(Assumptions!BE$72&lt;=$D$18,$E$18*$B$18/12*(1+$F$18)^INT((Assumptions!BE$72-$C$18)/12),IF(Assumptions!BE$72&lt;=$D$18+RetailDowntime,0,1)*$E$18*$B$18/12*INDEX(Cum_RetailRent,1,Assumptions!BE$77)*RenewalRentFactor)))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IF(Assumptions!BF$74=0,0,IF(Assumptions!BF$72&lt;$C$18,0,IF(Assumptions!BF$72&lt;=$D$18,$E$18*$B$18/12*(1+$F$18)^INT((Assumptions!BF$72-$C$18)/12),IF(Assumptions!BF$72&lt;=$D$18+RetailDowntime,0,1)*$E$18*$B$18/12*INDEX(Cum_RetailRent,1,Assumptions!BF$77)*RenewalRentFactor)))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IF(Assumptions!BG$74=0,0,IF(Assumptions!BG$72&lt;$C$18,0,IF(Assumptions!BG$72&lt;=$D$18,$E$18*$B$18/12*(1+$F$18)^INT((Assumptions!BG$72-$C$18)/12),IF(Assumptions!BG$72&lt;=$D$18+RetailDowntime,0,1)*$E$18*$B$18/12*INDEX(Cum_RetailRent,1,Assumptions!BG$77)*RenewalRentFactor)))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IF(Assumptions!BH$74=0,0,IF(Assumptions!BH$72&lt;$C$18,0,IF(Assumptions!BH$72&lt;=$D$18,$E$18*$B$18/12*(1+$F$18)^INT((Assumptions!BH$72-$C$18)/12),IF(Assumptions!BH$72&lt;=$D$18+RetailDowntime,0,1)*$E$18*$B$18/12*INDEX(Cum_RetailRent,1,Assumptions!BH$77)*RenewalRentFactor)))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IF(Assumptions!BI$74=0,0,IF(Assumptions!BI$72&lt;$C$18,0,IF(Assumptions!BI$72&lt;=$D$18,$E$18*$B$18/12*(1+$F$18)^INT((Assumptions!BI$72-$C$18)/12),IF(Assumptions!BI$72&lt;=$D$18+RetailDowntime,0,1)*$E$18*$B$18/12*INDEX(Cum_RetailRent,1,Assumptions!BI$77)*RenewalRentFactor)))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IF(Assumptions!BJ$74=0,0,IF(Assumptions!BJ$72&lt;$C$18,0,IF(Assumptions!BJ$72&lt;=$D$18,$E$18*$B$18/12*(1+$F$18)^INT((Assumptions!BJ$72-$C$18)/12),IF(Assumptions!BJ$72&lt;=$D$18+RetailDowntime,0,1)*$E$18*$B$18/12*INDEX(Cum_RetailRent,1,Assumptions!BJ$77)*RenewalRentFactor)))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IF(Assumptions!BK$74=0,0,IF(Assumptions!BK$72&lt;$C$18,0,IF(Assumptions!BK$72&lt;=$D$18,$E$18*$B$18/12*(1+$F$18)^INT((Assumptions!BK$72-$C$18)/12),IF(Assumptions!BK$72&lt;=$D$18+RetailDowntime,0,1)*$E$18*$B$18/12*INDEX(Cum_RetailRent,1,Assumptions!BK$77)*RenewalRentFactor)))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IF(Assumptions!BL$74=0,0,IF(Assumptions!BL$72&lt;$C$18,0,IF(Assumptions!BL$72&lt;=$D$18,$E$18*$B$18/12*(1+$F$18)^INT((Assumptions!BL$72-$C$18)/12),IF(Assumptions!BL$72&lt;=$D$18+RetailDowntime,0,1)*$E$18*$B$18/12*INDEX(Cum_RetailRent,1,Assumptions!BL$77)*RenewalRentFactor)))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IF(Assumptions!BM$74=0,0,IF(Assumptions!BM$72&lt;$C$18,0,IF(Assumptions!BM$72&lt;=$D$18,$E$18*$B$18/12*(1+$F$18)^INT((Assumptions!BM$72-$C$18)/12),IF(Assumptions!BM$72&lt;=$D$18+RetailDowntime,0,1)*$E$18*$B$18/12*INDEX(Cum_RetailRent,1,Assumptions!BM$77)*RenewalRentFactor)))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IF(Assumptions!BN$74=0,0,IF(Assumptions!BN$72&lt;$C$18,0,IF(Assumptions!BN$72&lt;=$D$18,$E$18*$B$18/12*(1+$F$18)^INT((Assumptions!BN$72-$C$18)/12),IF(Assumptions!BN$72&lt;=$D$18+RetailDowntime,0,1)*$E$18*$B$18/12*INDEX(Cum_RetailRent,1,Assumptions!BN$77)*RenewalRentFactor)))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IF(Assumptions!BO$74=0,0,IF(Assumptions!BO$72&lt;$C$18,0,IF(Assumptions!BO$72&lt;=$D$18,$E$18*$B$18/12*(1+$F$18)^INT((Assumptions!BO$72-$C$18)/12),IF(Assumptions!BO$72&lt;=$D$18+RetailDowntime,0,1)*$E$18*$B$18/12*INDEX(Cum_RetailRent,1,Assumptions!BO$77)*RenewalRentFactor)))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IF(Assumptions!BP$74=0,0,IF(Assumptions!BP$72&lt;$C$18,0,IF(Assumptions!BP$72&lt;=$D$18,$E$18*$B$18/12*(1+$F$18)^INT((Assumptions!BP$72-$C$18)/12),IF(Assumptions!BP$72&lt;=$D$18+RetailDowntime,0,1)*$E$18*$B$18/12*INDEX(Cum_RetailRent,1,Assumptions!BP$77)*RenewalRentFactor)))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IF(Assumptions!BQ$74=0,0,IF(Assumptions!BQ$72&lt;$C$18,0,IF(Assumptions!BQ$72&lt;=$D$18,$E$18*$B$18/12*(1+$F$18)^INT((Assumptions!BQ$72-$C$18)/12),IF(Assumptions!BQ$72&lt;=$D$18+RetailDowntime,0,1)*$E$18*$B$18/12*INDEX(Cum_RetailRent,1,Assumptions!BQ$77)*RenewalRentFactor)))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IF(Assumptions!BR$74=0,0,IF(Assumptions!BR$72&lt;$C$18,0,IF(Assumptions!BR$72&lt;=$D$18,$E$18*$B$18/12*(1+$F$18)^INT((Assumptions!BR$72-$C$18)/12),IF(Assumptions!BR$72&lt;=$D$18+RetailDowntime,0,1)*$E$18*$B$18/12*INDEX(Cum_RetailRent,1,Assumptions!BR$77)*RenewalRentFactor)))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IF(Assumptions!BS$74=0,0,IF(Assumptions!BS$72&lt;$C$18,0,IF(Assumptions!BS$72&lt;=$D$18,$E$18*$B$18/12*(1+$F$18)^INT((Assumptions!BS$72-$C$18)/12),IF(Assumptions!BS$72&lt;=$D$18+RetailDowntime,0,1)*$E$18*$B$18/12*INDEX(Cum_RetailRent,1,Assumptions!BS$77)*RenewalRentFactor)))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IF(Assumptions!BT$74=0,0,IF(Assumptions!BT$72&lt;$C$18,0,IF(Assumptions!BT$72&lt;=$D$18,$E$18*$B$18/12*(1+$F$18)^INT((Assumptions!BT$72-$C$18)/12),IF(Assumptions!BT$72&lt;=$D$18+RetailDowntime,0,1)*$E$18*$B$18/12*INDEX(Cum_RetailRent,1,Assumptions!BT$77)*RenewalRentFactor)))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IF(Assumptions!BU$74=0,0,IF(Assumptions!BU$72&lt;$C$18,0,IF(Assumptions!BU$72&lt;=$D$18,$E$18*$B$18/12*(1+$F$18)^INT((Assumptions!BU$72-$C$18)/12),IF(Assumptions!BU$72&lt;=$D$18+RetailDowntime,0,1)*$E$18*$B$18/12*INDEX(Cum_RetailRent,1,Assumptions!BU$77)*RenewalRentFactor)))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IF(Assumptions!BV$74=0,0,IF(Assumptions!BV$72&lt;$C$18,0,IF(Assumptions!BV$72&lt;=$D$18,$E$18*$B$18/12*(1+$F$18)^INT((Assumptions!BV$72-$C$18)/12),IF(Assumptions!BV$72&lt;=$D$18+RetailDowntime,0,1)*$E$18*$B$18/12*INDEX(Cum_RetailRent,1,Assumptions!BV$77)*RenewalRentFactor)))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IF(Assumptions!BW$74=0,0,IF(Assumptions!BW$72&lt;$C$18,0,IF(Assumptions!BW$72&lt;=$D$18,$E$18*$B$18/12*(1+$F$18)^INT((Assumptions!BW$72-$C$18)/12),IF(Assumptions!BW$72&lt;=$D$18+RetailDowntime,0,1)*$E$18*$B$18/12*INDEX(Cum_RetailRent,1,Assumptions!BW$77)*RenewalRentFactor)))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IF(Assumptions!BX$74=0,0,IF(Assumptions!BX$72&lt;$C$18,0,IF(Assumptions!BX$72&lt;=$D$18,$E$18*$B$18/12*(1+$F$18)^INT((Assumptions!BX$72-$C$18)/12),IF(Assumptions!BX$72&lt;=$D$18+RetailDowntime,0,1)*$E$18*$B$18/12*INDEX(Cum_RetailRent,1,Assumptions!BX$77)*RenewalRentFactor)))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IF(Assumptions!BY$74=0,0,IF(Assumptions!BY$72&lt;$C$18,0,IF(Assumptions!BY$72&lt;=$D$18,$E$18*$B$18/12*(1+$F$18)^INT((Assumptions!BY$72-$C$18)/12),IF(Assumptions!BY$72&lt;=$D$18+RetailDowntime,0,1)*$E$18*$B$18/12*INDEX(Cum_RetailRent,1,Assumptions!BY$77)*RenewalRentFactor)))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IF(Assumptions!BZ$74=0,0,IF(Assumptions!BZ$72&lt;$C$18,0,IF(Assumptions!BZ$72&lt;=$D$18,$E$18*$B$18/12*(1+$F$18)^INT((Assumptions!BZ$72-$C$18)/12),IF(Assumptions!BZ$72&lt;=$D$18+RetailDowntime,0,1)*$E$18*$B$18/12*INDEX(Cum_RetailRent,1,Assumptions!BZ$77)*RenewalRentFactor)))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IF(Assumptions!CA$74=0,0,IF(Assumptions!CA$72&lt;$C$18,0,IF(Assumptions!CA$72&lt;=$D$18,$E$18*$B$18/12*(1+$F$18)^INT((Assumptions!CA$72-$C$18)/12),IF(Assumptions!CA$72&lt;=$D$18+RetailDowntime,0,1)*$E$18*$B$18/12*INDEX(Cum_RetailRent,1,Assumptions!CA$77)*RenewalRentFactor)))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IF(Assumptions!CB$74=0,0,IF(Assumptions!CB$72&lt;$C$18,0,IF(Assumptions!CB$72&lt;=$D$18,$E$18*$B$18/12*(1+$F$18)^INT((Assumptions!CB$72-$C$18)/12),IF(Assumptions!CB$72&lt;=$D$18+RetailDowntime,0,1)*$E$18*$B$18/12*INDEX(Cum_RetailRent,1,Assumptions!CB$77)*RenewalRentFactor)))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IF(Assumptions!CC$74=0,0,IF(Assumptions!CC$72&lt;$C$18,0,IF(Assumptions!CC$72&lt;=$D$18,$E$18*$B$18/12*(1+$F$18)^INT((Assumptions!CC$72-$C$18)/12),IF(Assumptions!CC$72&lt;=$D$18+RetailDowntime,0,1)*$E$18*$B$18/12*INDEX(Cum_RetailRent,1,Assumptions!CC$77)*RenewalRentFactor)))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IF(Assumptions!CD$74=0,0,IF(Assumptions!CD$72&lt;$C$18,0,IF(Assumptions!CD$72&lt;=$D$18,$E$18*$B$18/12*(1+$F$18)^INT((Assumptions!CD$72-$C$18)/12),IF(Assumptions!CD$72&lt;=$D$18+RetailDowntime,0,1)*$E$18*$B$18/12*INDEX(Cum_RetailRent,1,Assumptions!CD$77)*RenewalRentFactor)))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IF(Assumptions!CE$74=0,0,IF(Assumptions!CE$72&lt;$C$18,0,IF(Assumptions!CE$72&lt;=$D$18,$E$18*$B$18/12*(1+$F$18)^INT((Assumptions!CE$72-$C$18)/12),IF(Assumptions!CE$72&lt;=$D$18+RetailDowntime,0,1)*$E$18*$B$18/12*INDEX(Cum_RetailRent,1,Assumptions!CE$77)*RenewalRentFactor)))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IF(Assumptions!CF$74=0,0,IF(Assumptions!CF$72&lt;$C$18,0,IF(Assumptions!CF$72&lt;=$D$18,$E$18*$B$18/12*(1+$F$18)^INT((Assumptions!CF$72-$C$18)/12),IF(Assumptions!CF$72&lt;=$D$18+RetailDowntime,0,1)*$E$18*$B$18/12*INDEX(Cum_RetailRent,1,Assumptions!CF$77)*RenewalRentFactor)))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IF(Assumptions!CG$74=0,0,IF(Assumptions!CG$72&lt;$C$18,0,IF(Assumptions!CG$72&lt;=$D$18,$E$18*$B$18/12*(1+$F$18)^INT((Assumptions!CG$72-$C$18)/12),IF(Assumptions!CG$72&lt;=$D$18+RetailDowntime,0,1)*$E$18*$B$18/12*INDEX(Cum_RetailRent,1,Assumptions!CG$77)*RenewalRentFactor)))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IF(Assumptions!CH$74=0,0,IF(Assumptions!CH$72&lt;$C$18,0,IF(Assumptions!CH$72&lt;=$D$18,$E$18*$B$18/12*(1+$F$18)^INT((Assumptions!CH$72-$C$18)/12),IF(Assumptions!CH$72&lt;=$D$18+RetailDowntime,0,1)*$E$18*$B$18/12*INDEX(Cum_RetailRent,1,Assumptions!CH$77)*RenewalRentFactor)))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IF(Assumptions!CI$74=0,0,IF(Assumptions!CI$72&lt;$C$18,0,IF(Assumptions!CI$72&lt;=$D$18,$E$18*$B$18/12*(1+$F$18)^INT((Assumptions!CI$72-$C$18)/12),IF(Assumptions!CI$72&lt;=$D$18+RetailDowntime,0,1)*$E$18*$B$18/12*INDEX(Cum_RetailRent,1,Assumptions!CI$77)*RenewalRentFactor)))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IF(Assumptions!CJ$74=0,0,IF(Assumptions!CJ$72&lt;$C$18,0,IF(Assumptions!CJ$72&lt;=$D$18,$E$18*$B$18/12*(1+$F$18)^INT((Assumptions!CJ$72-$C$18)/12),IF(Assumptions!CJ$72&lt;=$D$18+RetailDowntime,0,1)*$E$18*$B$18/12*INDEX(Cum_RetailRent,1,Assumptions!CJ$77)*RenewalRentFactor)))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IF(Assumptions!CK$74=0,0,IF(Assumptions!CK$72&lt;$C$18,0,IF(Assumptions!CK$72&lt;=$D$18,$E$18*$B$18/12*(1+$F$18)^INT((Assumptions!CK$72-$C$18)/12),IF(Assumptions!CK$72&lt;=$D$18+RetailDowntime,0,1)*$E$18*$B$18/12*INDEX(Cum_RetailRent,1,Assumptions!CK$77)*RenewalRentFactor)))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IF(Assumptions!CL$74=0,0,IF(Assumptions!CL$72&lt;$C$18,0,IF(Assumptions!CL$72&lt;=$D$18,$E$18*$B$18/12*(1+$F$18)^INT((Assumptions!CL$72-$C$18)/12),IF(Assumptions!CL$72&lt;=$D$18+RetailDowntime,0,1)*$E$18*$B$18/12*INDEX(Cum_RetailRent,1,Assumptions!CL$77)*RenewalRentFactor)))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IF(Assumptions!CM$74=0,0,IF(Assumptions!CM$72&lt;$C$18,0,IF(Assumptions!CM$72&lt;=$D$18,$E$18*$B$18/12*(1+$F$18)^INT((Assumptions!CM$72-$C$18)/12),IF(Assumptions!CM$72&lt;=$D$18+RetailDowntime,0,1)*$E$18*$B$18/12*INDEX(Cum_RetailRent,1,Assumptions!CM$77)*RenewalRentFactor)))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IF(Assumptions!CN$74=0,0,IF(Assumptions!CN$72&lt;$C$18,0,IF(Assumptions!CN$72&lt;=$D$18,$E$18*$B$18/12*(1+$F$18)^INT((Assumptions!CN$72-$C$18)/12),IF(Assumptions!CN$72&lt;=$D$18+RetailDowntime,0,1)*$E$18*$B$18/12*INDEX(Cum_RetailRent,1,Assumptions!CN$77)*RenewalRentFactor)))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IF(Assumptions!CO$74=0,0,IF(Assumptions!CO$72&lt;$C$18,0,IF(Assumptions!CO$72&lt;=$D$18,$E$18*$B$18/12*(1+$F$18)^INT((Assumptions!CO$72-$C$18)/12),IF(Assumptions!CO$72&lt;=$D$18+RetailDowntime,0,1)*$E$18*$B$18/12*INDEX(Cum_RetailRent,1,Assumptions!CO$77)*RenewalRentFactor)))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IF(Assumptions!CP$74=0,0,IF(Assumptions!CP$72&lt;$C$18,0,IF(Assumptions!CP$72&lt;=$D$18,$E$18*$B$18/12*(1+$F$18)^INT((Assumptions!CP$72-$C$18)/12),IF(Assumptions!CP$72&lt;=$D$18+RetailDowntime,0,1)*$E$18*$B$18/12*INDEX(Cum_RetailRent,1,Assumptions!CP$77)*RenewalRentFactor)))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IF(Assumptions!CQ$74=0,0,IF(Assumptions!CQ$72&lt;$C$18,0,IF(Assumptions!CQ$72&lt;=$D$18,$E$18*$B$18/12*(1+$F$18)^INT((Assumptions!CQ$72-$C$18)/12),IF(Assumptions!CQ$72&lt;=$D$18+RetailDowntime,0,1)*$E$18*$B$18/12*INDEX(Cum_RetailRent,1,Assumptions!CQ$77)*RenewalRentFactor)))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IF(Assumptions!CR$74=0,0,IF(Assumptions!CR$72&lt;$C$18,0,IF(Assumptions!CR$72&lt;=$D$18,$E$18*$B$18/12*(1+$F$18)^INT((Assumptions!CR$72-$C$18)/12),IF(Assumptions!CR$72&lt;=$D$18+RetailDowntime,0,1)*$E$18*$B$18/12*INDEX(Cum_RetailRent,1,Assumptions!CR$77)*RenewalRentFactor)))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IF(Assumptions!CS$74=0,0,IF(Assumptions!CS$72&lt;$C$18,0,IF(Assumptions!CS$72&lt;=$D$18,$E$18*$B$18/12*(1+$F$18)^INT((Assumptions!CS$72-$C$18)/12),IF(Assumptions!CS$72&lt;=$D$18+RetailDowntime,0,1)*$E$18*$B$18/12*INDEX(Cum_RetailRent,1,Assumptions!CS$77)*RenewalRentFactor)))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IF(Assumptions!CT$74=0,0,IF(Assumptions!CT$72&lt;$C$18,0,IF(Assumptions!CT$72&lt;=$D$18,$E$18*$B$18/12*(1+$F$18)^INT((Assumptions!CT$72-$C$18)/12),IF(Assumptions!CT$72&lt;=$D$18+RetailDowntime,0,1)*$E$18*$B$18/12*INDEX(Cum_RetailRent,1,Assumptions!CT$77)*RenewalRentFactor)))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IF(Assumptions!CU$74=0,0,IF(Assumptions!CU$72&lt;$C$18,0,IF(Assumptions!CU$72&lt;=$D$18,$E$18*$B$18/12*(1+$F$18)^INT((Assumptions!CU$72-$C$18)/12),IF(Assumptions!CU$72&lt;=$D$18+RetailDowntime,0,1)*$E$18*$B$18/12*INDEX(Cum_RetailRent,1,Assumptions!CU$77)*RenewalRentFactor)))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IF(Assumptions!CV$74=0,0,IF(Assumptions!CV$72&lt;$C$18,0,IF(Assumptions!CV$72&lt;=$D$18,$E$18*$B$18/12*(1+$F$18)^INT((Assumptions!CV$72-$C$18)/12),IF(Assumptions!CV$72&lt;=$D$18+RetailDowntime,0,1)*$E$18*$B$18/12*INDEX(Cum_RetailRent,1,Assumptions!CV$77)*RenewalRentFactor)))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IF(Assumptions!CW$74=0,0,IF(Assumptions!CW$72&lt;$C$18,0,IF(Assumptions!CW$72&lt;=$D$18,$E$18*$B$18/12*(1+$F$18)^INT((Assumptions!CW$72-$C$18)/12),IF(Assumptions!CW$72&lt;=$D$18+RetailDowntime,0,1)*$E$18*$B$18/12*INDEX(Cum_RetailRent,1,Assumptions!CW$77)*RenewalRentFactor)))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IF(Assumptions!CX$74=0,0,IF(Assumptions!CX$72&lt;$C$18,0,IF(Assumptions!CX$72&lt;=$D$18,$E$18*$B$18/12*(1+$F$18)^INT((Assumptions!CX$72-$C$18)/12),IF(Assumptions!CX$72&lt;=$D$18+RetailDowntime,0,1)*$E$18*$B$18/12*INDEX(Cum_RetailRent,1,Assumptions!CX$77)*RenewalRentFactor)))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IF(Assumptions!CY$74=0,0,IF(Assumptions!CY$72&lt;$C$18,0,IF(Assumptions!CY$72&lt;=$D$18,$E$18*$B$18/12*(1+$F$18)^INT((Assumptions!CY$72-$C$18)/12),IF(Assumptions!CY$72&lt;=$D$18+RetailDowntime,0,1)*$E$18*$B$18/12*INDEX(Cum_RetailRent,1,Assumptions!CY$77)*RenewalRentFactor)))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IF(Assumptions!CZ$74=0,0,IF(Assumptions!CZ$72&lt;$C$18,0,IF(Assumptions!CZ$72&lt;=$D$18,$E$18*$B$18/12*(1+$F$18)^INT((Assumptions!CZ$72-$C$18)/12),IF(Assumptions!CZ$72&lt;=$D$18+RetailDowntime,0,1)*$E$18*$B$18/12*INDEX(Cum_RetailRent,1,Assumptions!CZ$77)*RenewalRentFactor)))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IF(Assumptions!DA$74=0,0,IF(Assumptions!DA$72&lt;$C$18,0,IF(Assumptions!DA$72&lt;=$D$18,$E$18*$B$18/12*(1+$F$18)^INT((Assumptions!DA$72-$C$18)/12),IF(Assumptions!DA$72&lt;=$D$18+RetailDowntime,0,1)*$E$18*$B$18/12*INDEX(Cum_RetailRent,1,Assumptions!DA$77)*RenewalRentFactor)))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IF(Assumptions!DB$74=0,0,IF(Assumptions!DB$72&lt;$C$18,0,IF(Assumptions!DB$72&lt;=$D$18,$E$18*$B$18/12*(1+$F$18)^INT((Assumptions!DB$72-$C$18)/12),IF(Assumptions!DB$72&lt;=$D$18+RetailDowntime,0,1)*$E$18*$B$18/12*INDEX(Cum_RetailRent,1,Assumptions!DB$77)*RenewalRentFactor)))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IF(Assumptions!DC$74=0,0,IF(Assumptions!DC$72&lt;$C$18,0,IF(Assumptions!DC$72&lt;=$D$18,$E$18*$B$18/12*(1+$F$18)^INT((Assumptions!DC$72-$C$18)/12),IF(Assumptions!DC$72&lt;=$D$18+RetailDowntime,0,1)*$E$18*$B$18/12*INDEX(Cum_RetailRent,1,Assumptions!DC$77)*RenewalRentFactor)))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IF(Assumptions!DD$74=0,0,IF(Assumptions!DD$72&lt;$C$18,0,IF(Assumptions!DD$72&lt;=$D$18,$E$18*$B$18/12*(1+$F$18)^INT((Assumptions!DD$72-$C$18)/12),IF(Assumptions!DD$72&lt;=$D$18+RetailDowntime,0,1)*$E$18*$B$18/12*INDEX(Cum_RetailRent,1,Assumptions!DD$77)*RenewalRentFactor)))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IF(Assumptions!DE$74=0,0,IF(Assumptions!DE$72&lt;$C$18,0,IF(Assumptions!DE$72&lt;=$D$18,$E$18*$B$18/12*(1+$F$18)^INT((Assumptions!DE$72-$C$18)/12),IF(Assumptions!DE$72&lt;=$D$18+RetailDowntime,0,1)*$E$18*$B$18/12*INDEX(Cum_RetailRent,1,Assumptions!DE$77)*RenewalRentFactor)))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IF(Assumptions!DF$74=0,0,IF(Assumptions!DF$72&lt;$C$18,0,IF(Assumptions!DF$72&lt;=$D$18,$E$18*$B$18/12*(1+$F$18)^INT((Assumptions!DF$72-$C$18)/12),IF(Assumptions!DF$72&lt;=$D$18+RetailDowntime,0,1)*$E$18*$B$18/12*INDEX(Cum_RetailRent,1,Assumptions!DF$77)*RenewalRentFactor)))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IF(Assumptions!DG$74=0,0,IF(Assumptions!DG$72&lt;$C$18,0,IF(Assumptions!DG$72&lt;=$D$18,$E$18*$B$18/12*(1+$F$18)^INT((Assumptions!DG$72-$C$18)/12),IF(Assumptions!DG$72&lt;=$D$18+RetailDowntime,0,1)*$E$18*$B$18/12*INDEX(Cum_RetailRent,1,Assumptions!DG$77)*RenewalRentFactor)))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IF(Assumptions!DH$74=0,0,IF(Assumptions!DH$72&lt;$C$18,0,IF(Assumptions!DH$72&lt;=$D$18,$E$18*$B$18/12*(1+$F$18)^INT((Assumptions!DH$72-$C$18)/12),IF(Assumptions!DH$72&lt;=$D$18+RetailDowntime,0,1)*$E$18*$B$18/12*INDEX(Cum_RetailRent,1,Assumptions!DH$77)*RenewalRentFactor)))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IF(Assumptions!DI$74=0,0,IF(Assumptions!DI$72&lt;$C$18,0,IF(Assumptions!DI$72&lt;=$D$18,$E$18*$B$18/12*(1+$F$18)^INT((Assumptions!DI$72-$C$18)/12),IF(Assumptions!DI$72&lt;=$D$18+RetailDowntime,0,1)*$E$18*$B$18/12*INDEX(Cum_RetailRent,1,Assumptions!DI$77)*RenewalRentFactor)))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IF(Assumptions!DJ$74=0,0,IF(Assumptions!DJ$72&lt;$C$18,0,IF(Assumptions!DJ$72&lt;=$D$18,$E$18*$B$18/12*(1+$F$18)^INT((Assumptions!DJ$72-$C$18)/12),IF(Assumptions!DJ$72&lt;=$D$18+RetailDowntime,0,1)*$E$18*$B$18/12*INDEX(Cum_RetailRent,1,Assumptions!DJ$77)*RenewalRentFactor)))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IF(Assumptions!DK$74=0,0,IF(Assumptions!DK$72&lt;$C$18,0,IF(Assumptions!DK$72&lt;=$D$18,$E$18*$B$18/12*(1+$F$18)^INT((Assumptions!DK$72-$C$18)/12),IF(Assumptions!DK$72&lt;=$D$18+RetailDowntime,0,1)*$E$18*$B$18/12*INDEX(Cum_RetailRent,1,Assumptions!DK$77)*RenewalRentFactor)))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IF(Assumptions!DL$74=0,0,IF(Assumptions!DL$72&lt;$C$18,0,IF(Assumptions!DL$72&lt;=$D$18,$E$18*$B$18/12*(1+$F$18)^INT((Assumptions!DL$72-$C$18)/12),IF(Assumptions!DL$72&lt;=$D$18+RetailDowntime,0,1)*$E$18*$B$18/12*INDEX(Cum_RetailRent,1,Assumptions!DL$77)*RenewalRentFactor)))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IF(Assumptions!DM$74=0,0,IF(Assumptions!DM$72&lt;$C$18,0,IF(Assumptions!DM$72&lt;=$D$18,$E$18*$B$18/12*(1+$F$18)^INT((Assumptions!DM$72-$C$18)/12),IF(Assumptions!DM$72&lt;=$D$18+RetailDowntime,0,1)*$E$18*$B$18/12*INDEX(Cum_RetailRent,1,Assumptions!DM$77)*RenewalRentFactor)))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IF(Assumptions!DN$74=0,0,IF(Assumptions!DN$72&lt;$C$18,0,IF(Assumptions!DN$72&lt;=$D$18,$E$18*$B$18/12*(1+$F$18)^INT((Assumptions!DN$72-$C$18)/12),IF(Assumptions!DN$72&lt;=$D$18+RetailDowntime,0,1)*$E$18*$B$18/12*INDEX(Cum_RetailRent,1,Assumptions!DN$77)*RenewalRentFactor)))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IF(Assumptions!DO$74=0,0,IF(Assumptions!DO$72&lt;$C$18,0,IF(Assumptions!DO$72&lt;=$D$18,$E$18*$B$18/12*(1+$F$18)^INT((Assumptions!DO$72-$C$18)/12),IF(Assumptions!DO$72&lt;=$D$18+RetailDowntime,0,1)*$E$18*$B$18/12*INDEX(Cum_RetailRent,1,Assumptions!DO$77)*RenewalRentFactor)))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IF(Assumptions!DP$74=0,0,IF(Assumptions!DP$72&lt;$C$18,0,IF(Assumptions!DP$72&lt;=$D$18,$E$18*$B$18/12*(1+$F$18)^INT((Assumptions!DP$72-$C$18)/12),IF(Assumptions!DP$72&lt;=$D$18+RetailDowntime,0,1)*$E$18*$B$18/12*INDEX(Cum_RetailRent,1,Assumptions!DP$77)*RenewalRentFactor)))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IF(Assumptions!DQ$74=0,0,IF(Assumptions!DQ$72&lt;$C$18,0,IF(Assumptions!DQ$72&lt;=$D$18,$E$18*$B$18/12*(1+$F$18)^INT((Assumptions!DQ$72-$C$18)/12),IF(Assumptions!DQ$72&lt;=$D$18+RetailDowntime,0,1)*$E$18*$B$18/12*INDEX(Cum_RetailRent,1,Assumptions!DQ$77)*RenewalRentFactor)))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IF(Assumptions!DR$74=0,0,IF(Assumptions!DR$72&lt;$C$18,0,IF(Assumptions!DR$72&lt;=$D$18,$E$18*$B$18/12*(1+$F$18)^INT((Assumptions!DR$72-$C$18)/12),IF(Assumptions!DR$72&lt;=$D$18+RetailDowntime,0,1)*$E$18*$B$18/12*INDEX(Cum_RetailRent,1,Assumptions!DR$77)*RenewalRentFactor)))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IF(Assumptions!DS$74=0,0,IF(Assumptions!DS$72&lt;$C$18,0,IF(Assumptions!DS$72&lt;=$D$18,$E$18*$B$18/12*(1+$F$18)^INT((Assumptions!DS$72-$C$18)/12),IF(Assumptions!DS$72&lt;=$D$18+RetailDowntime,0,1)*$E$18*$B$18/12*INDEX(Cum_RetailRent,1,Assumptions!DS$77)*RenewalRentFactor)))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IF(Assumptions!DT$74=0,0,IF(Assumptions!DT$72&lt;$C$18,0,IF(Assumptions!DT$72&lt;=$D$18,$E$18*$B$18/12*(1+$F$18)^INT((Assumptions!DT$72-$C$18)/12),IF(Assumptions!DT$72&lt;=$D$18+RetailDowntime,0,1)*$E$18*$B$18/12*INDEX(Cum_RetailRent,1,Assumptions!DT$77)*RenewalRentFactor)))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IF(Assumptions!E$74=0,0,IF(Assumptions!E$72&lt;$C$19,0,IF(Assumptions!E$72&lt;=$D$19,$E$19*$B$19/12*(1+$F$19)^INT((Assumptions!E$72-$C$19)/12),IF(Assumptions!E$72&lt;=$D$19+RetailDowntime,0,1)*$E$19*$B$19/12*INDEX(Cum_RetailRent,1,Assumptions!E$77)*RenewalRentFactor)))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IF(Assumptions!F$74=0,0,IF(Assumptions!F$72&lt;$C$19,0,IF(Assumptions!F$72&lt;=$D$19,$E$19*$B$19/12*(1+$F$19)^INT((Assumptions!F$72-$C$19)/12),IF(Assumptions!F$72&lt;=$D$19+RetailDowntime,0,1)*$E$19*$B$19/12*INDEX(Cum_RetailRent,1,Assumptions!F$77)*RenewalRentFactor)))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IF(Assumptions!G$74=0,0,IF(Assumptions!G$72&lt;$C$19,0,IF(Assumptions!G$72&lt;=$D$19,$E$19*$B$19/12*(1+$F$19)^INT((Assumptions!G$72-$C$19)/12),IF(Assumptions!G$72&lt;=$D$19+RetailDowntime,0,1)*$E$19*$B$19/12*INDEX(Cum_RetailRent,1,Assumptions!G$77)*RenewalRentFactor)))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IF(Assumptions!H$74=0,0,IF(Assumptions!H$72&lt;$C$19,0,IF(Assumptions!H$72&lt;=$D$19,$E$19*$B$19/12*(1+$F$19)^INT((Assumptions!H$72-$C$19)/12),IF(Assumptions!H$72&lt;=$D$19+RetailDowntime,0,1)*$E$19*$B$19/12*INDEX(Cum_RetailRent,1,Assumptions!H$77)*RenewalRentFactor)))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IF(Assumptions!I$74=0,0,IF(Assumptions!I$72&lt;$C$19,0,IF(Assumptions!I$72&lt;=$D$19,$E$19*$B$19/12*(1+$F$19)^INT((Assumptions!I$72-$C$19)/12),IF(Assumptions!I$72&lt;=$D$19+RetailDowntime,0,1)*$E$19*$B$19/12*INDEX(Cum_RetailRent,1,Assumptions!I$77)*RenewalRentFactor)))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IF(Assumptions!J$74=0,0,IF(Assumptions!J$72&lt;$C$19,0,IF(Assumptions!J$72&lt;=$D$19,$E$19*$B$19/12*(1+$F$19)^INT((Assumptions!J$72-$C$19)/12),IF(Assumptions!J$72&lt;=$D$19+RetailDowntime,0,1)*$E$19*$B$19/12*INDEX(Cum_RetailRent,1,Assumptions!J$77)*RenewalRentFactor)))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IF(Assumptions!K$74=0,0,IF(Assumptions!K$72&lt;$C$19,0,IF(Assumptions!K$72&lt;=$D$19,$E$19*$B$19/12*(1+$F$19)^INT((Assumptions!K$72-$C$19)/12),IF(Assumptions!K$72&lt;=$D$19+RetailDowntime,0,1)*$E$19*$B$19/12*INDEX(Cum_RetailRent,1,Assumptions!K$77)*RenewalRentFactor)))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IF(Assumptions!L$74=0,0,IF(Assumptions!L$72&lt;$C$19,0,IF(Assumptions!L$72&lt;=$D$19,$E$19*$B$19/12*(1+$F$19)^INT((Assumptions!L$72-$C$19)/12),IF(Assumptions!L$72&lt;=$D$19+RetailDowntime,0,1)*$E$19*$B$19/12*INDEX(Cum_RetailRent,1,Assumptions!L$77)*RenewalRentFactor)))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IF(Assumptions!M$74=0,0,IF(Assumptions!M$72&lt;$C$19,0,IF(Assumptions!M$72&lt;=$D$19,$E$19*$B$19/12*(1+$F$19)^INT((Assumptions!M$72-$C$19)/12),IF(Assumptions!M$72&lt;=$D$19+RetailDowntime,0,1)*$E$19*$B$19/12*INDEX(Cum_RetailRent,1,Assumptions!M$77)*RenewalRentFactor)))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IF(Assumptions!N$74=0,0,IF(Assumptions!N$72&lt;$C$19,0,IF(Assumptions!N$72&lt;=$D$19,$E$19*$B$19/12*(1+$F$19)^INT((Assumptions!N$72-$C$19)/12),IF(Assumptions!N$72&lt;=$D$19+RetailDowntime,0,1)*$E$19*$B$19/12*INDEX(Cum_RetailRent,1,Assumptions!N$77)*RenewalRentFactor)))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IF(Assumptions!O$74=0,0,IF(Assumptions!O$72&lt;$C$19,0,IF(Assumptions!O$72&lt;=$D$19,$E$19*$B$19/12*(1+$F$19)^INT((Assumptions!O$72-$C$19)/12),IF(Assumptions!O$72&lt;=$D$19+RetailDowntime,0,1)*$E$19*$B$19/12*INDEX(Cum_RetailRent,1,Assumptions!O$77)*RenewalRentFactor)))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IF(Assumptions!P$74=0,0,IF(Assumptions!P$72&lt;$C$19,0,IF(Assumptions!P$72&lt;=$D$19,$E$19*$B$19/12*(1+$F$19)^INT((Assumptions!P$72-$C$19)/12),IF(Assumptions!P$72&lt;=$D$19+RetailDowntime,0,1)*$E$19*$B$19/12*INDEX(Cum_RetailRent,1,Assumptions!P$77)*RenewalRentFactor)))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IF(Assumptions!Q$74=0,0,IF(Assumptions!Q$72&lt;$C$19,0,IF(Assumptions!Q$72&lt;=$D$19,$E$19*$B$19/12*(1+$F$19)^INT((Assumptions!Q$72-$C$19)/12),IF(Assumptions!Q$72&lt;=$D$19+RetailDowntime,0,1)*$E$19*$B$19/12*INDEX(Cum_RetailRent,1,Assumptions!Q$77)*RenewalRentFactor)))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IF(Assumptions!R$74=0,0,IF(Assumptions!R$72&lt;$C$19,0,IF(Assumptions!R$72&lt;=$D$19,$E$19*$B$19/12*(1+$F$19)^INT((Assumptions!R$72-$C$19)/12),IF(Assumptions!R$72&lt;=$D$19+RetailDowntime,0,1)*$E$19*$B$19/12*INDEX(Cum_RetailRent,1,Assumptions!R$77)*RenewalRentFactor)))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IF(Assumptions!S$74=0,0,IF(Assumptions!S$72&lt;$C$19,0,IF(Assumptions!S$72&lt;=$D$19,$E$19*$B$19/12*(1+$F$19)^INT((Assumptions!S$72-$C$19)/12),IF(Assumptions!S$72&lt;=$D$19+RetailDowntime,0,1)*$E$19*$B$19/12*INDEX(Cum_RetailRent,1,Assumptions!S$77)*RenewalRentFactor)))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IF(Assumptions!T$74=0,0,IF(Assumptions!T$72&lt;$C$19,0,IF(Assumptions!T$72&lt;=$D$19,$E$19*$B$19/12*(1+$F$19)^INT((Assumptions!T$72-$C$19)/12),IF(Assumptions!T$72&lt;=$D$19+RetailDowntime,0,1)*$E$19*$B$19/12*INDEX(Cum_RetailRent,1,Assumptions!T$77)*RenewalRentFactor)))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IF(Assumptions!U$74=0,0,IF(Assumptions!U$72&lt;$C$19,0,IF(Assumptions!U$72&lt;=$D$19,$E$19*$B$19/12*(1+$F$19)^INT((Assumptions!U$72-$C$19)/12),IF(Assumptions!U$72&lt;=$D$19+RetailDowntime,0,1)*$E$19*$B$19/12*INDEX(Cum_RetailRent,1,Assumptions!U$77)*RenewalRentFactor)))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IF(Assumptions!V$74=0,0,IF(Assumptions!V$72&lt;$C$19,0,IF(Assumptions!V$72&lt;=$D$19,$E$19*$B$19/12*(1+$F$19)^INT((Assumptions!V$72-$C$19)/12),IF(Assumptions!V$72&lt;=$D$19+RetailDowntime,0,1)*$E$19*$B$19/12*INDEX(Cum_RetailRent,1,Assumptions!V$77)*RenewalRentFactor)))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IF(Assumptions!W$74=0,0,IF(Assumptions!W$72&lt;$C$19,0,IF(Assumptions!W$72&lt;=$D$19,$E$19*$B$19/12*(1+$F$19)^INT((Assumptions!W$72-$C$19)/12),IF(Assumptions!W$72&lt;=$D$19+RetailDowntime,0,1)*$E$19*$B$19/12*INDEX(Cum_RetailRent,1,Assumptions!W$77)*RenewalRentFactor)))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IF(Assumptions!X$74=0,0,IF(Assumptions!X$72&lt;$C$19,0,IF(Assumptions!X$72&lt;=$D$19,$E$19*$B$19/12*(1+$F$19)^INT((Assumptions!X$72-$C$19)/12),IF(Assumptions!X$72&lt;=$D$19+RetailDowntime,0,1)*$E$19*$B$19/12*INDEX(Cum_RetailRent,1,Assumptions!X$77)*RenewalRentFactor)))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IF(Assumptions!Y$74=0,0,IF(Assumptions!Y$72&lt;$C$19,0,IF(Assumptions!Y$72&lt;=$D$19,$E$19*$B$19/12*(1+$F$19)^INT((Assumptions!Y$72-$C$19)/12),IF(Assumptions!Y$72&lt;=$D$19+RetailDowntime,0,1)*$E$19*$B$19/12*INDEX(Cum_RetailRent,1,Assumptions!Y$77)*RenewalRentFactor)))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IF(Assumptions!Z$74=0,0,IF(Assumptions!Z$72&lt;$C$19,0,IF(Assumptions!Z$72&lt;=$D$19,$E$19*$B$19/12*(1+$F$19)^INT((Assumptions!Z$72-$C$19)/12),IF(Assumptions!Z$72&lt;=$D$19+RetailDowntime,0,1)*$E$19*$B$19/12*INDEX(Cum_RetailRent,1,Assumptions!Z$77)*RenewalRentFactor)))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IF(Assumptions!AA$74=0,0,IF(Assumptions!AA$72&lt;$C$19,0,IF(Assumptions!AA$72&lt;=$D$19,$E$19*$B$19/12*(1+$F$19)^INT((Assumptions!AA$72-$C$19)/12),IF(Assumptions!AA$72&lt;=$D$19+RetailDowntime,0,1)*$E$19*$B$19/12*INDEX(Cum_RetailRent,1,Assumptions!AA$77)*RenewalRentFactor)))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IF(Assumptions!AB$74=0,0,IF(Assumptions!AB$72&lt;$C$19,0,IF(Assumptions!AB$72&lt;=$D$19,$E$19*$B$19/12*(1+$F$19)^INT((Assumptions!AB$72-$C$19)/12),IF(Assumptions!AB$72&lt;=$D$19+RetailDowntime,0,1)*$E$19*$B$19/12*INDEX(Cum_RetailRent,1,Assumptions!AB$77)*RenewalRentFactor)))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IF(Assumptions!AC$74=0,0,IF(Assumptions!AC$72&lt;$C$19,0,IF(Assumptions!AC$72&lt;=$D$19,$E$19*$B$19/12*(1+$F$19)^INT((Assumptions!AC$72-$C$19)/12),IF(Assumptions!AC$72&lt;=$D$19+RetailDowntime,0,1)*$E$19*$B$19/12*INDEX(Cum_RetailRent,1,Assumptions!AC$77)*RenewalRentFactor)))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IF(Assumptions!AD$74=0,0,IF(Assumptions!AD$72&lt;$C$19,0,IF(Assumptions!AD$72&lt;=$D$19,$E$19*$B$19/12*(1+$F$19)^INT((Assumptions!AD$72-$C$19)/12),IF(Assumptions!AD$72&lt;=$D$19+RetailDowntime,0,1)*$E$19*$B$19/12*INDEX(Cum_RetailRent,1,Assumptions!AD$77)*RenewalRentFactor)))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IF(Assumptions!AE$74=0,0,IF(Assumptions!AE$72&lt;$C$19,0,IF(Assumptions!AE$72&lt;=$D$19,$E$19*$B$19/12*(1+$F$19)^INT((Assumptions!AE$72-$C$19)/12),IF(Assumptions!AE$72&lt;=$D$19+RetailDowntime,0,1)*$E$19*$B$19/12*INDEX(Cum_RetailRent,1,Assumptions!AE$77)*RenewalRentFactor)))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IF(Assumptions!AF$74=0,0,IF(Assumptions!AF$72&lt;$C$19,0,IF(Assumptions!AF$72&lt;=$D$19,$E$19*$B$19/12*(1+$F$19)^INT((Assumptions!AF$72-$C$19)/12),IF(Assumptions!AF$72&lt;=$D$19+RetailDowntime,0,1)*$E$19*$B$19/12*INDEX(Cum_RetailRent,1,Assumptions!AF$77)*RenewalRentFactor)))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IF(Assumptions!AG$74=0,0,IF(Assumptions!AG$72&lt;$C$19,0,IF(Assumptions!AG$72&lt;=$D$19,$E$19*$B$19/12*(1+$F$19)^INT((Assumptions!AG$72-$C$19)/12),IF(Assumptions!AG$72&lt;=$D$19+RetailDowntime,0,1)*$E$19*$B$19/12*INDEX(Cum_RetailRent,1,Assumptions!AG$77)*RenewalRentFactor)))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IF(Assumptions!AH$74=0,0,IF(Assumptions!AH$72&lt;$C$19,0,IF(Assumptions!AH$72&lt;=$D$19,$E$19*$B$19/12*(1+$F$19)^INT((Assumptions!AH$72-$C$19)/12),IF(Assumptions!AH$72&lt;=$D$19+RetailDowntime,0,1)*$E$19*$B$19/12*INDEX(Cum_RetailRent,1,Assumptions!AH$77)*RenewalRentFactor)))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IF(Assumptions!AI$74=0,0,IF(Assumptions!AI$72&lt;$C$19,0,IF(Assumptions!AI$72&lt;=$D$19,$E$19*$B$19/12*(1+$F$19)^INT((Assumptions!AI$72-$C$19)/12),IF(Assumptions!AI$72&lt;=$D$19+RetailDowntime,0,1)*$E$19*$B$19/12*INDEX(Cum_RetailRent,1,Assumptions!AI$77)*RenewalRentFactor)))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IF(Assumptions!AJ$74=0,0,IF(Assumptions!AJ$72&lt;$C$19,0,IF(Assumptions!AJ$72&lt;=$D$19,$E$19*$B$19/12*(1+$F$19)^INT((Assumptions!AJ$72-$C$19)/12),IF(Assumptions!AJ$72&lt;=$D$19+RetailDowntime,0,1)*$E$19*$B$19/12*INDEX(Cum_RetailRent,1,Assumptions!AJ$77)*RenewalRentFactor)))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IF(Assumptions!AK$74=0,0,IF(Assumptions!AK$72&lt;$C$19,0,IF(Assumptions!AK$72&lt;=$D$19,$E$19*$B$19/12*(1+$F$19)^INT((Assumptions!AK$72-$C$19)/12),IF(Assumptions!AK$72&lt;=$D$19+RetailDowntime,0,1)*$E$19*$B$19/12*INDEX(Cum_RetailRent,1,Assumptions!AK$77)*RenewalRentFactor)))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IF(Assumptions!AL$74=0,0,IF(Assumptions!AL$72&lt;$C$19,0,IF(Assumptions!AL$72&lt;=$D$19,$E$19*$B$19/12*(1+$F$19)^INT((Assumptions!AL$72-$C$19)/12),IF(Assumptions!AL$72&lt;=$D$19+RetailDowntime,0,1)*$E$19*$B$19/12*INDEX(Cum_RetailRent,1,Assumptions!AL$77)*RenewalRentFactor)))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IF(Assumptions!AM$74=0,0,IF(Assumptions!AM$72&lt;$C$19,0,IF(Assumptions!AM$72&lt;=$D$19,$E$19*$B$19/12*(1+$F$19)^INT((Assumptions!AM$72-$C$19)/12),IF(Assumptions!AM$72&lt;=$D$19+RetailDowntime,0,1)*$E$19*$B$19/12*INDEX(Cum_RetailRent,1,Assumptions!AM$77)*RenewalRentFactor)))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IF(Assumptions!AN$74=0,0,IF(Assumptions!AN$72&lt;$C$19,0,IF(Assumptions!AN$72&lt;=$D$19,$E$19*$B$19/12*(1+$F$19)^INT((Assumptions!AN$72-$C$19)/12),IF(Assumptions!AN$72&lt;=$D$19+RetailDowntime,0,1)*$E$19*$B$19/12*INDEX(Cum_RetailRent,1,Assumptions!AN$77)*RenewalRentFactor)))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IF(Assumptions!AO$74=0,0,IF(Assumptions!AO$72&lt;$C$19,0,IF(Assumptions!AO$72&lt;=$D$19,$E$19*$B$19/12*(1+$F$19)^INT((Assumptions!AO$72-$C$19)/12),IF(Assumptions!AO$72&lt;=$D$19+RetailDowntime,0,1)*$E$19*$B$19/12*INDEX(Cum_RetailRent,1,Assumptions!AO$77)*RenewalRentFactor)))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IF(Assumptions!AP$74=0,0,IF(Assumptions!AP$72&lt;$C$19,0,IF(Assumptions!AP$72&lt;=$D$19,$E$19*$B$19/12*(1+$F$19)^INT((Assumptions!AP$72-$C$19)/12),IF(Assumptions!AP$72&lt;=$D$19+RetailDowntime,0,1)*$E$19*$B$19/12*INDEX(Cum_RetailRent,1,Assumptions!AP$77)*RenewalRentFactor)))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IF(Assumptions!AQ$74=0,0,IF(Assumptions!AQ$72&lt;$C$19,0,IF(Assumptions!AQ$72&lt;=$D$19,$E$19*$B$19/12*(1+$F$19)^INT((Assumptions!AQ$72-$C$19)/12),IF(Assumptions!AQ$72&lt;=$D$19+RetailDowntime,0,1)*$E$19*$B$19/12*INDEX(Cum_RetailRent,1,Assumptions!AQ$77)*RenewalRentFactor)))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IF(Assumptions!AR$74=0,0,IF(Assumptions!AR$72&lt;$C$19,0,IF(Assumptions!AR$72&lt;=$D$19,$E$19*$B$19/12*(1+$F$19)^INT((Assumptions!AR$72-$C$19)/12),IF(Assumptions!AR$72&lt;=$D$19+RetailDowntime,0,1)*$E$19*$B$19/12*INDEX(Cum_RetailRent,1,Assumptions!AR$77)*RenewalRentFactor)))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IF(Assumptions!AS$74=0,0,IF(Assumptions!AS$72&lt;$C$19,0,IF(Assumptions!AS$72&lt;=$D$19,$E$19*$B$19/12*(1+$F$19)^INT((Assumptions!AS$72-$C$19)/12),IF(Assumptions!AS$72&lt;=$D$19+RetailDowntime,0,1)*$E$19*$B$19/12*INDEX(Cum_RetailRent,1,Assumptions!AS$77)*RenewalRentFactor)))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IF(Assumptions!AT$74=0,0,IF(Assumptions!AT$72&lt;$C$19,0,IF(Assumptions!AT$72&lt;=$D$19,$E$19*$B$19/12*(1+$F$19)^INT((Assumptions!AT$72-$C$19)/12),IF(Assumptions!AT$72&lt;=$D$19+RetailDowntime,0,1)*$E$19*$B$19/12*INDEX(Cum_RetailRent,1,Assumptions!AT$77)*RenewalRentFactor)))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IF(Assumptions!AU$74=0,0,IF(Assumptions!AU$72&lt;$C$19,0,IF(Assumptions!AU$72&lt;=$D$19,$E$19*$B$19/12*(1+$F$19)^INT((Assumptions!AU$72-$C$19)/12),IF(Assumptions!AU$72&lt;=$D$19+RetailDowntime,0,1)*$E$19*$B$19/12*INDEX(Cum_RetailRent,1,Assumptions!AU$77)*RenewalRentFactor)))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IF(Assumptions!AV$74=0,0,IF(Assumptions!AV$72&lt;$C$19,0,IF(Assumptions!AV$72&lt;=$D$19,$E$19*$B$19/12*(1+$F$19)^INT((Assumptions!AV$72-$C$19)/12),IF(Assumptions!AV$72&lt;=$D$19+RetailDowntime,0,1)*$E$19*$B$19/12*INDEX(Cum_RetailRent,1,Assumptions!AV$77)*RenewalRentFactor)))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IF(Assumptions!AW$74=0,0,IF(Assumptions!AW$72&lt;$C$19,0,IF(Assumptions!AW$72&lt;=$D$19,$E$19*$B$19/12*(1+$F$19)^INT((Assumptions!AW$72-$C$19)/12),IF(Assumptions!AW$72&lt;=$D$19+RetailDowntime,0,1)*$E$19*$B$19/12*INDEX(Cum_RetailRent,1,Assumptions!AW$77)*RenewalRentFactor)))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IF(Assumptions!AX$74=0,0,IF(Assumptions!AX$72&lt;$C$19,0,IF(Assumptions!AX$72&lt;=$D$19,$E$19*$B$19/12*(1+$F$19)^INT((Assumptions!AX$72-$C$19)/12),IF(Assumptions!AX$72&lt;=$D$19+RetailDowntime,0,1)*$E$19*$B$19/12*INDEX(Cum_RetailRent,1,Assumptions!AX$77)*RenewalRentFactor)))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IF(Assumptions!AY$74=0,0,IF(Assumptions!AY$72&lt;$C$19,0,IF(Assumptions!AY$72&lt;=$D$19,$E$19*$B$19/12*(1+$F$19)^INT((Assumptions!AY$72-$C$19)/12),IF(Assumptions!AY$72&lt;=$D$19+RetailDowntime,0,1)*$E$19*$B$19/12*INDEX(Cum_RetailRent,1,Assumptions!AY$77)*RenewalRentFactor)))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IF(Assumptions!AZ$74=0,0,IF(Assumptions!AZ$72&lt;$C$19,0,IF(Assumptions!AZ$72&lt;=$D$19,$E$19*$B$19/12*(1+$F$19)^INT((Assumptions!AZ$72-$C$19)/12),IF(Assumptions!AZ$72&lt;=$D$19+RetailDowntime,0,1)*$E$19*$B$19/12*INDEX(Cum_RetailRent,1,Assumptions!AZ$77)*RenewalRentFactor)))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IF(Assumptions!BA$74=0,0,IF(Assumptions!BA$72&lt;$C$19,0,IF(Assumptions!BA$72&lt;=$D$19,$E$19*$B$19/12*(1+$F$19)^INT((Assumptions!BA$72-$C$19)/12),IF(Assumptions!BA$72&lt;=$D$19+RetailDowntime,0,1)*$E$19*$B$19/12*INDEX(Cum_RetailRent,1,Assumptions!BA$77)*RenewalRentFactor)))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IF(Assumptions!BB$74=0,0,IF(Assumptions!BB$72&lt;$C$19,0,IF(Assumptions!BB$72&lt;=$D$19,$E$19*$B$19/12*(1+$F$19)^INT((Assumptions!BB$72-$C$19)/12),IF(Assumptions!BB$72&lt;=$D$19+RetailDowntime,0,1)*$E$19*$B$19/12*INDEX(Cum_RetailRent,1,Assumptions!BB$77)*RenewalRentFactor)))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IF(Assumptions!BC$74=0,0,IF(Assumptions!BC$72&lt;$C$19,0,IF(Assumptions!BC$72&lt;=$D$19,$E$19*$B$19/12*(1+$F$19)^INT((Assumptions!BC$72-$C$19)/12),IF(Assumptions!BC$72&lt;=$D$19+RetailDowntime,0,1)*$E$19*$B$19/12*INDEX(Cum_RetailRent,1,Assumptions!BC$77)*RenewalRentFactor)))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IF(Assumptions!BD$74=0,0,IF(Assumptions!BD$72&lt;$C$19,0,IF(Assumptions!BD$72&lt;=$D$19,$E$19*$B$19/12*(1+$F$19)^INT((Assumptions!BD$72-$C$19)/12),IF(Assumptions!BD$72&lt;=$D$19+RetailDowntime,0,1)*$E$19*$B$19/12*INDEX(Cum_RetailRent,1,Assumptions!BD$77)*RenewalRentFactor)))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IF(Assumptions!BE$74=0,0,IF(Assumptions!BE$72&lt;$C$19,0,IF(Assumptions!BE$72&lt;=$D$19,$E$19*$B$19/12*(1+$F$19)^INT((Assumptions!BE$72-$C$19)/12),IF(Assumptions!BE$72&lt;=$D$19+RetailDowntime,0,1)*$E$19*$B$19/12*INDEX(Cum_RetailRent,1,Assumptions!BE$77)*RenewalRentFactor)))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IF(Assumptions!BF$74=0,0,IF(Assumptions!BF$72&lt;$C$19,0,IF(Assumptions!BF$72&lt;=$D$19,$E$19*$B$19/12*(1+$F$19)^INT((Assumptions!BF$72-$C$19)/12),IF(Assumptions!BF$72&lt;=$D$19+RetailDowntime,0,1)*$E$19*$B$19/12*INDEX(Cum_RetailRent,1,Assumptions!BF$77)*RenewalRentFactor)))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IF(Assumptions!BG$74=0,0,IF(Assumptions!BG$72&lt;$C$19,0,IF(Assumptions!BG$72&lt;=$D$19,$E$19*$B$19/12*(1+$F$19)^INT((Assumptions!BG$72-$C$19)/12),IF(Assumptions!BG$72&lt;=$D$19+RetailDowntime,0,1)*$E$19*$B$19/12*INDEX(Cum_RetailRent,1,Assumptions!BG$77)*RenewalRentFactor)))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IF(Assumptions!BH$74=0,0,IF(Assumptions!BH$72&lt;$C$19,0,IF(Assumptions!BH$72&lt;=$D$19,$E$19*$B$19/12*(1+$F$19)^INT((Assumptions!BH$72-$C$19)/12),IF(Assumptions!BH$72&lt;=$D$19+RetailDowntime,0,1)*$E$19*$B$19/12*INDEX(Cum_RetailRent,1,Assumptions!BH$77)*RenewalRentFactor)))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IF(Assumptions!BI$74=0,0,IF(Assumptions!BI$72&lt;$C$19,0,IF(Assumptions!BI$72&lt;=$D$19,$E$19*$B$19/12*(1+$F$19)^INT((Assumptions!BI$72-$C$19)/12),IF(Assumptions!BI$72&lt;=$D$19+RetailDowntime,0,1)*$E$19*$B$19/12*INDEX(Cum_RetailRent,1,Assumptions!BI$77)*RenewalRentFactor)))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IF(Assumptions!BJ$74=0,0,IF(Assumptions!BJ$72&lt;$C$19,0,IF(Assumptions!BJ$72&lt;=$D$19,$E$19*$B$19/12*(1+$F$19)^INT((Assumptions!BJ$72-$C$19)/12),IF(Assumptions!BJ$72&lt;=$D$19+RetailDowntime,0,1)*$E$19*$B$19/12*INDEX(Cum_RetailRent,1,Assumptions!BJ$77)*RenewalRentFactor)))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IF(Assumptions!BK$74=0,0,IF(Assumptions!BK$72&lt;$C$19,0,IF(Assumptions!BK$72&lt;=$D$19,$E$19*$B$19/12*(1+$F$19)^INT((Assumptions!BK$72-$C$19)/12),IF(Assumptions!BK$72&lt;=$D$19+RetailDowntime,0,1)*$E$19*$B$19/12*INDEX(Cum_RetailRent,1,Assumptions!BK$77)*RenewalRentFactor)))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IF(Assumptions!BL$74=0,0,IF(Assumptions!BL$72&lt;$C$19,0,IF(Assumptions!BL$72&lt;=$D$19,$E$19*$B$19/12*(1+$F$19)^INT((Assumptions!BL$72-$C$19)/12),IF(Assumptions!BL$72&lt;=$D$19+RetailDowntime,0,1)*$E$19*$B$19/12*INDEX(Cum_RetailRent,1,Assumptions!BL$77)*RenewalRentFactor)))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IF(Assumptions!BM$74=0,0,IF(Assumptions!BM$72&lt;$C$19,0,IF(Assumptions!BM$72&lt;=$D$19,$E$19*$B$19/12*(1+$F$19)^INT((Assumptions!BM$72-$C$19)/12),IF(Assumptions!BM$72&lt;=$D$19+RetailDowntime,0,1)*$E$19*$B$19/12*INDEX(Cum_RetailRent,1,Assumptions!BM$77)*RenewalRentFactor)))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IF(Assumptions!BN$74=0,0,IF(Assumptions!BN$72&lt;$C$19,0,IF(Assumptions!BN$72&lt;=$D$19,$E$19*$B$19/12*(1+$F$19)^INT((Assumptions!BN$72-$C$19)/12),IF(Assumptions!BN$72&lt;=$D$19+RetailDowntime,0,1)*$E$19*$B$19/12*INDEX(Cum_RetailRent,1,Assumptions!BN$77)*RenewalRentFactor)))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IF(Assumptions!BO$74=0,0,IF(Assumptions!BO$72&lt;$C$19,0,IF(Assumptions!BO$72&lt;=$D$19,$E$19*$B$19/12*(1+$F$19)^INT((Assumptions!BO$72-$C$19)/12),IF(Assumptions!BO$72&lt;=$D$19+RetailDowntime,0,1)*$E$19*$B$19/12*INDEX(Cum_RetailRent,1,Assumptions!BO$77)*RenewalRentFactor)))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IF(Assumptions!BP$74=0,0,IF(Assumptions!BP$72&lt;$C$19,0,IF(Assumptions!BP$72&lt;=$D$19,$E$19*$B$19/12*(1+$F$19)^INT((Assumptions!BP$72-$C$19)/12),IF(Assumptions!BP$72&lt;=$D$19+RetailDowntime,0,1)*$E$19*$B$19/12*INDEX(Cum_RetailRent,1,Assumptions!BP$77)*RenewalRentFactor)))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IF(Assumptions!BQ$74=0,0,IF(Assumptions!BQ$72&lt;$C$19,0,IF(Assumptions!BQ$72&lt;=$D$19,$E$19*$B$19/12*(1+$F$19)^INT((Assumptions!BQ$72-$C$19)/12),IF(Assumptions!BQ$72&lt;=$D$19+RetailDowntime,0,1)*$E$19*$B$19/12*INDEX(Cum_RetailRent,1,Assumptions!BQ$77)*RenewalRentFactor)))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IF(Assumptions!BR$74=0,0,IF(Assumptions!BR$72&lt;$C$19,0,IF(Assumptions!BR$72&lt;=$D$19,$E$19*$B$19/12*(1+$F$19)^INT((Assumptions!BR$72-$C$19)/12),IF(Assumptions!BR$72&lt;=$D$19+RetailDowntime,0,1)*$E$19*$B$19/12*INDEX(Cum_RetailRent,1,Assumptions!BR$77)*RenewalRentFactor)))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IF(Assumptions!BS$74=0,0,IF(Assumptions!BS$72&lt;$C$19,0,IF(Assumptions!BS$72&lt;=$D$19,$E$19*$B$19/12*(1+$F$19)^INT((Assumptions!BS$72-$C$19)/12),IF(Assumptions!BS$72&lt;=$D$19+RetailDowntime,0,1)*$E$19*$B$19/12*INDEX(Cum_RetailRent,1,Assumptions!BS$77)*RenewalRentFactor)))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IF(Assumptions!BT$74=0,0,IF(Assumptions!BT$72&lt;$C$19,0,IF(Assumptions!BT$72&lt;=$D$19,$E$19*$B$19/12*(1+$F$19)^INT((Assumptions!BT$72-$C$19)/12),IF(Assumptions!BT$72&lt;=$D$19+RetailDowntime,0,1)*$E$19*$B$19/12*INDEX(Cum_RetailRent,1,Assumptions!BT$77)*RenewalRentFactor)))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IF(Assumptions!BU$74=0,0,IF(Assumptions!BU$72&lt;$C$19,0,IF(Assumptions!BU$72&lt;=$D$19,$E$19*$B$19/12*(1+$F$19)^INT((Assumptions!BU$72-$C$19)/12),IF(Assumptions!BU$72&lt;=$D$19+RetailDowntime,0,1)*$E$19*$B$19/12*INDEX(Cum_RetailRent,1,Assumptions!BU$77)*RenewalRentFactor)))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IF(Assumptions!BV$74=0,0,IF(Assumptions!BV$72&lt;$C$19,0,IF(Assumptions!BV$72&lt;=$D$19,$E$19*$B$19/12*(1+$F$19)^INT((Assumptions!BV$72-$C$19)/12),IF(Assumptions!BV$72&lt;=$D$19+RetailDowntime,0,1)*$E$19*$B$19/12*INDEX(Cum_RetailRent,1,Assumptions!BV$77)*RenewalRentFactor)))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IF(Assumptions!BW$74=0,0,IF(Assumptions!BW$72&lt;$C$19,0,IF(Assumptions!BW$72&lt;=$D$19,$E$19*$B$19/12*(1+$F$19)^INT((Assumptions!BW$72-$C$19)/12),IF(Assumptions!BW$72&lt;=$D$19+RetailDowntime,0,1)*$E$19*$B$19/12*INDEX(Cum_RetailRent,1,Assumptions!BW$77)*RenewalRentFactor)))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IF(Assumptions!BX$74=0,0,IF(Assumptions!BX$72&lt;$C$19,0,IF(Assumptions!BX$72&lt;=$D$19,$E$19*$B$19/12*(1+$F$19)^INT((Assumptions!BX$72-$C$19)/12),IF(Assumptions!BX$72&lt;=$D$19+RetailDowntime,0,1)*$E$19*$B$19/12*INDEX(Cum_RetailRent,1,Assumptions!BX$77)*RenewalRentFactor)))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IF(Assumptions!BY$74=0,0,IF(Assumptions!BY$72&lt;$C$19,0,IF(Assumptions!BY$72&lt;=$D$19,$E$19*$B$19/12*(1+$F$19)^INT((Assumptions!BY$72-$C$19)/12),IF(Assumptions!BY$72&lt;=$D$19+RetailDowntime,0,1)*$E$19*$B$19/12*INDEX(Cum_RetailRent,1,Assumptions!BY$77)*RenewalRentFactor)))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IF(Assumptions!BZ$74=0,0,IF(Assumptions!BZ$72&lt;$C$19,0,IF(Assumptions!BZ$72&lt;=$D$19,$E$19*$B$19/12*(1+$F$19)^INT((Assumptions!BZ$72-$C$19)/12),IF(Assumptions!BZ$72&lt;=$D$19+RetailDowntime,0,1)*$E$19*$B$19/12*INDEX(Cum_RetailRent,1,Assumptions!BZ$77)*RenewalRentFactor)))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IF(Assumptions!CA$74=0,0,IF(Assumptions!CA$72&lt;$C$19,0,IF(Assumptions!CA$72&lt;=$D$19,$E$19*$B$19/12*(1+$F$19)^INT((Assumptions!CA$72-$C$19)/12),IF(Assumptions!CA$72&lt;=$D$19+RetailDowntime,0,1)*$E$19*$B$19/12*INDEX(Cum_RetailRent,1,Assumptions!CA$77)*RenewalRentFactor)))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IF(Assumptions!CB$74=0,0,IF(Assumptions!CB$72&lt;$C$19,0,IF(Assumptions!CB$72&lt;=$D$19,$E$19*$B$19/12*(1+$F$19)^INT((Assumptions!CB$72-$C$19)/12),IF(Assumptions!CB$72&lt;=$D$19+RetailDowntime,0,1)*$E$19*$B$19/12*INDEX(Cum_RetailRent,1,Assumptions!CB$77)*RenewalRentFactor)))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IF(Assumptions!CC$74=0,0,IF(Assumptions!CC$72&lt;$C$19,0,IF(Assumptions!CC$72&lt;=$D$19,$E$19*$B$19/12*(1+$F$19)^INT((Assumptions!CC$72-$C$19)/12),IF(Assumptions!CC$72&lt;=$D$19+RetailDowntime,0,1)*$E$19*$B$19/12*INDEX(Cum_RetailRent,1,Assumptions!CC$77)*RenewalRentFactor)))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IF(Assumptions!CD$74=0,0,IF(Assumptions!CD$72&lt;$C$19,0,IF(Assumptions!CD$72&lt;=$D$19,$E$19*$B$19/12*(1+$F$19)^INT((Assumptions!CD$72-$C$19)/12),IF(Assumptions!CD$72&lt;=$D$19+RetailDowntime,0,1)*$E$19*$B$19/12*INDEX(Cum_RetailRent,1,Assumptions!CD$77)*RenewalRentFactor)))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IF(Assumptions!CE$74=0,0,IF(Assumptions!CE$72&lt;$C$19,0,IF(Assumptions!CE$72&lt;=$D$19,$E$19*$B$19/12*(1+$F$19)^INT((Assumptions!CE$72-$C$19)/12),IF(Assumptions!CE$72&lt;=$D$19+RetailDowntime,0,1)*$E$19*$B$19/12*INDEX(Cum_RetailRent,1,Assumptions!CE$77)*RenewalRentFactor)))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IF(Assumptions!CF$74=0,0,IF(Assumptions!CF$72&lt;$C$19,0,IF(Assumptions!CF$72&lt;=$D$19,$E$19*$B$19/12*(1+$F$19)^INT((Assumptions!CF$72-$C$19)/12),IF(Assumptions!CF$72&lt;=$D$19+RetailDowntime,0,1)*$E$19*$B$19/12*INDEX(Cum_RetailRent,1,Assumptions!CF$77)*RenewalRentFactor)))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IF(Assumptions!CG$74=0,0,IF(Assumptions!CG$72&lt;$C$19,0,IF(Assumptions!CG$72&lt;=$D$19,$E$19*$B$19/12*(1+$F$19)^INT((Assumptions!CG$72-$C$19)/12),IF(Assumptions!CG$72&lt;=$D$19+RetailDowntime,0,1)*$E$19*$B$19/12*INDEX(Cum_RetailRent,1,Assumptions!CG$77)*RenewalRentFactor)))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IF(Assumptions!CH$74=0,0,IF(Assumptions!CH$72&lt;$C$19,0,IF(Assumptions!CH$72&lt;=$D$19,$E$19*$B$19/12*(1+$F$19)^INT((Assumptions!CH$72-$C$19)/12),IF(Assumptions!CH$72&lt;=$D$19+RetailDowntime,0,1)*$E$19*$B$19/12*INDEX(Cum_RetailRent,1,Assumptions!CH$77)*RenewalRentFactor)))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IF(Assumptions!CI$74=0,0,IF(Assumptions!CI$72&lt;$C$19,0,IF(Assumptions!CI$72&lt;=$D$19,$E$19*$B$19/12*(1+$F$19)^INT((Assumptions!CI$72-$C$19)/12),IF(Assumptions!CI$72&lt;=$D$19+RetailDowntime,0,1)*$E$19*$B$19/12*INDEX(Cum_RetailRent,1,Assumptions!CI$77)*RenewalRentFactor)))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IF(Assumptions!CJ$74=0,0,IF(Assumptions!CJ$72&lt;$C$19,0,IF(Assumptions!CJ$72&lt;=$D$19,$E$19*$B$19/12*(1+$F$19)^INT((Assumptions!CJ$72-$C$19)/12),IF(Assumptions!CJ$72&lt;=$D$19+RetailDowntime,0,1)*$E$19*$B$19/12*INDEX(Cum_RetailRent,1,Assumptions!CJ$77)*RenewalRentFactor)))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IF(Assumptions!CK$74=0,0,IF(Assumptions!CK$72&lt;$C$19,0,IF(Assumptions!CK$72&lt;=$D$19,$E$19*$B$19/12*(1+$F$19)^INT((Assumptions!CK$72-$C$19)/12),IF(Assumptions!CK$72&lt;=$D$19+RetailDowntime,0,1)*$E$19*$B$19/12*INDEX(Cum_RetailRent,1,Assumptions!CK$77)*RenewalRentFactor)))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IF(Assumptions!CL$74=0,0,IF(Assumptions!CL$72&lt;$C$19,0,IF(Assumptions!CL$72&lt;=$D$19,$E$19*$B$19/12*(1+$F$19)^INT((Assumptions!CL$72-$C$19)/12),IF(Assumptions!CL$72&lt;=$D$19+RetailDowntime,0,1)*$E$19*$B$19/12*INDEX(Cum_RetailRent,1,Assumptions!CL$77)*RenewalRentFactor)))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IF(Assumptions!CM$74=0,0,IF(Assumptions!CM$72&lt;$C$19,0,IF(Assumptions!CM$72&lt;=$D$19,$E$19*$B$19/12*(1+$F$19)^INT((Assumptions!CM$72-$C$19)/12),IF(Assumptions!CM$72&lt;=$D$19+RetailDowntime,0,1)*$E$19*$B$19/12*INDEX(Cum_RetailRent,1,Assumptions!CM$77)*RenewalRentFactor)))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IF(Assumptions!CN$74=0,0,IF(Assumptions!CN$72&lt;$C$19,0,IF(Assumptions!CN$72&lt;=$D$19,$E$19*$B$19/12*(1+$F$19)^INT((Assumptions!CN$72-$C$19)/12),IF(Assumptions!CN$72&lt;=$D$19+RetailDowntime,0,1)*$E$19*$B$19/12*INDEX(Cum_RetailRent,1,Assumptions!CN$77)*RenewalRentFactor)))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IF(Assumptions!CO$74=0,0,IF(Assumptions!CO$72&lt;$C$19,0,IF(Assumptions!CO$72&lt;=$D$19,$E$19*$B$19/12*(1+$F$19)^INT((Assumptions!CO$72-$C$19)/12),IF(Assumptions!CO$72&lt;=$D$19+RetailDowntime,0,1)*$E$19*$B$19/12*INDEX(Cum_RetailRent,1,Assumptions!CO$77)*RenewalRentFactor)))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IF(Assumptions!CP$74=0,0,IF(Assumptions!CP$72&lt;$C$19,0,IF(Assumptions!CP$72&lt;=$D$19,$E$19*$B$19/12*(1+$F$19)^INT((Assumptions!CP$72-$C$19)/12),IF(Assumptions!CP$72&lt;=$D$19+RetailDowntime,0,1)*$E$19*$B$19/12*INDEX(Cum_RetailRent,1,Assumptions!CP$77)*RenewalRentFactor)))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IF(Assumptions!CQ$74=0,0,IF(Assumptions!CQ$72&lt;$C$19,0,IF(Assumptions!CQ$72&lt;=$D$19,$E$19*$B$19/12*(1+$F$19)^INT((Assumptions!CQ$72-$C$19)/12),IF(Assumptions!CQ$72&lt;=$D$19+RetailDowntime,0,1)*$E$19*$B$19/12*INDEX(Cum_RetailRent,1,Assumptions!CQ$77)*RenewalRentFactor)))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IF(Assumptions!CR$74=0,0,IF(Assumptions!CR$72&lt;$C$19,0,IF(Assumptions!CR$72&lt;=$D$19,$E$19*$B$19/12*(1+$F$19)^INT((Assumptions!CR$72-$C$19)/12),IF(Assumptions!CR$72&lt;=$D$19+RetailDowntime,0,1)*$E$19*$B$19/12*INDEX(Cum_RetailRent,1,Assumptions!CR$77)*RenewalRentFactor)))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IF(Assumptions!CS$74=0,0,IF(Assumptions!CS$72&lt;$C$19,0,IF(Assumptions!CS$72&lt;=$D$19,$E$19*$B$19/12*(1+$F$19)^INT((Assumptions!CS$72-$C$19)/12),IF(Assumptions!CS$72&lt;=$D$19+RetailDowntime,0,1)*$E$19*$B$19/12*INDEX(Cum_RetailRent,1,Assumptions!CS$77)*RenewalRentFactor)))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IF(Assumptions!CT$74=0,0,IF(Assumptions!CT$72&lt;$C$19,0,IF(Assumptions!CT$72&lt;=$D$19,$E$19*$B$19/12*(1+$F$19)^INT((Assumptions!CT$72-$C$19)/12),IF(Assumptions!CT$72&lt;=$D$19+RetailDowntime,0,1)*$E$19*$B$19/12*INDEX(Cum_RetailRent,1,Assumptions!CT$77)*RenewalRentFactor)))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IF(Assumptions!CU$74=0,0,IF(Assumptions!CU$72&lt;$C$19,0,IF(Assumptions!CU$72&lt;=$D$19,$E$19*$B$19/12*(1+$F$19)^INT((Assumptions!CU$72-$C$19)/12),IF(Assumptions!CU$72&lt;=$D$19+RetailDowntime,0,1)*$E$19*$B$19/12*INDEX(Cum_RetailRent,1,Assumptions!CU$77)*RenewalRentFactor)))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IF(Assumptions!CV$74=0,0,IF(Assumptions!CV$72&lt;$C$19,0,IF(Assumptions!CV$72&lt;=$D$19,$E$19*$B$19/12*(1+$F$19)^INT((Assumptions!CV$72-$C$19)/12),IF(Assumptions!CV$72&lt;=$D$19+RetailDowntime,0,1)*$E$19*$B$19/12*INDEX(Cum_RetailRent,1,Assumptions!CV$77)*RenewalRentFactor)))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IF(Assumptions!CW$74=0,0,IF(Assumptions!CW$72&lt;$C$19,0,IF(Assumptions!CW$72&lt;=$D$19,$E$19*$B$19/12*(1+$F$19)^INT((Assumptions!CW$72-$C$19)/12),IF(Assumptions!CW$72&lt;=$D$19+RetailDowntime,0,1)*$E$19*$B$19/12*INDEX(Cum_RetailRent,1,Assumptions!CW$77)*RenewalRentFactor)))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IF(Assumptions!CX$74=0,0,IF(Assumptions!CX$72&lt;$C$19,0,IF(Assumptions!CX$72&lt;=$D$19,$E$19*$B$19/12*(1+$F$19)^INT((Assumptions!CX$72-$C$19)/12),IF(Assumptions!CX$72&lt;=$D$19+RetailDowntime,0,1)*$E$19*$B$19/12*INDEX(Cum_RetailRent,1,Assumptions!CX$77)*RenewalRentFactor)))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IF(Assumptions!CY$74=0,0,IF(Assumptions!CY$72&lt;$C$19,0,IF(Assumptions!CY$72&lt;=$D$19,$E$19*$B$19/12*(1+$F$19)^INT((Assumptions!CY$72-$C$19)/12),IF(Assumptions!CY$72&lt;=$D$19+RetailDowntime,0,1)*$E$19*$B$19/12*INDEX(Cum_RetailRent,1,Assumptions!CY$77)*RenewalRentFactor)))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IF(Assumptions!CZ$74=0,0,IF(Assumptions!CZ$72&lt;$C$19,0,IF(Assumptions!CZ$72&lt;=$D$19,$E$19*$B$19/12*(1+$F$19)^INT((Assumptions!CZ$72-$C$19)/12),IF(Assumptions!CZ$72&lt;=$D$19+RetailDowntime,0,1)*$E$19*$B$19/12*INDEX(Cum_RetailRent,1,Assumptions!CZ$77)*RenewalRentFactor)))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IF(Assumptions!DA$74=0,0,IF(Assumptions!DA$72&lt;$C$19,0,IF(Assumptions!DA$72&lt;=$D$19,$E$19*$B$19/12*(1+$F$19)^INT((Assumptions!DA$72-$C$19)/12),IF(Assumptions!DA$72&lt;=$D$19+RetailDowntime,0,1)*$E$19*$B$19/12*INDEX(Cum_RetailRent,1,Assumptions!DA$77)*RenewalRentFactor)))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IF(Assumptions!DB$74=0,0,IF(Assumptions!DB$72&lt;$C$19,0,IF(Assumptions!DB$72&lt;=$D$19,$E$19*$B$19/12*(1+$F$19)^INT((Assumptions!DB$72-$C$19)/12),IF(Assumptions!DB$72&lt;=$D$19+RetailDowntime,0,1)*$E$19*$B$19/12*INDEX(Cum_RetailRent,1,Assumptions!DB$77)*RenewalRentFactor)))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IF(Assumptions!DC$74=0,0,IF(Assumptions!DC$72&lt;$C$19,0,IF(Assumptions!DC$72&lt;=$D$19,$E$19*$B$19/12*(1+$F$19)^INT((Assumptions!DC$72-$C$19)/12),IF(Assumptions!DC$72&lt;=$D$19+RetailDowntime,0,1)*$E$19*$B$19/12*INDEX(Cum_RetailRent,1,Assumptions!DC$77)*RenewalRentFactor)))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IF(Assumptions!DD$74=0,0,IF(Assumptions!DD$72&lt;$C$19,0,IF(Assumptions!DD$72&lt;=$D$19,$E$19*$B$19/12*(1+$F$19)^INT((Assumptions!DD$72-$C$19)/12),IF(Assumptions!DD$72&lt;=$D$19+RetailDowntime,0,1)*$E$19*$B$19/12*INDEX(Cum_RetailRent,1,Assumptions!DD$77)*RenewalRentFactor)))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IF(Assumptions!DE$74=0,0,IF(Assumptions!DE$72&lt;$C$19,0,IF(Assumptions!DE$72&lt;=$D$19,$E$19*$B$19/12*(1+$F$19)^INT((Assumptions!DE$72-$C$19)/12),IF(Assumptions!DE$72&lt;=$D$19+RetailDowntime,0,1)*$E$19*$B$19/12*INDEX(Cum_RetailRent,1,Assumptions!DE$77)*RenewalRentFactor)))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IF(Assumptions!DF$74=0,0,IF(Assumptions!DF$72&lt;$C$19,0,IF(Assumptions!DF$72&lt;=$D$19,$E$19*$B$19/12*(1+$F$19)^INT((Assumptions!DF$72-$C$19)/12),IF(Assumptions!DF$72&lt;=$D$19+RetailDowntime,0,1)*$E$19*$B$19/12*INDEX(Cum_RetailRent,1,Assumptions!DF$77)*RenewalRentFactor)))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IF(Assumptions!DG$74=0,0,IF(Assumptions!DG$72&lt;$C$19,0,IF(Assumptions!DG$72&lt;=$D$19,$E$19*$B$19/12*(1+$F$19)^INT((Assumptions!DG$72-$C$19)/12),IF(Assumptions!DG$72&lt;=$D$19+RetailDowntime,0,1)*$E$19*$B$19/12*INDEX(Cum_RetailRent,1,Assumptions!DG$77)*RenewalRentFactor)))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IF(Assumptions!DH$74=0,0,IF(Assumptions!DH$72&lt;$C$19,0,IF(Assumptions!DH$72&lt;=$D$19,$E$19*$B$19/12*(1+$F$19)^INT((Assumptions!DH$72-$C$19)/12),IF(Assumptions!DH$72&lt;=$D$19+RetailDowntime,0,1)*$E$19*$B$19/12*INDEX(Cum_RetailRent,1,Assumptions!DH$77)*RenewalRentFactor)))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IF(Assumptions!DI$74=0,0,IF(Assumptions!DI$72&lt;$C$19,0,IF(Assumptions!DI$72&lt;=$D$19,$E$19*$B$19/12*(1+$F$19)^INT((Assumptions!DI$72-$C$19)/12),IF(Assumptions!DI$72&lt;=$D$19+RetailDowntime,0,1)*$E$19*$B$19/12*INDEX(Cum_RetailRent,1,Assumptions!DI$77)*RenewalRentFactor)))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IF(Assumptions!DJ$74=0,0,IF(Assumptions!DJ$72&lt;$C$19,0,IF(Assumptions!DJ$72&lt;=$D$19,$E$19*$B$19/12*(1+$F$19)^INT((Assumptions!DJ$72-$C$19)/12),IF(Assumptions!DJ$72&lt;=$D$19+RetailDowntime,0,1)*$E$19*$B$19/12*INDEX(Cum_RetailRent,1,Assumptions!DJ$77)*RenewalRentFactor)))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IF(Assumptions!DK$74=0,0,IF(Assumptions!DK$72&lt;$C$19,0,IF(Assumptions!DK$72&lt;=$D$19,$E$19*$B$19/12*(1+$F$19)^INT((Assumptions!DK$72-$C$19)/12),IF(Assumptions!DK$72&lt;=$D$19+RetailDowntime,0,1)*$E$19*$B$19/12*INDEX(Cum_RetailRent,1,Assumptions!DK$77)*RenewalRentFactor)))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IF(Assumptions!DL$74=0,0,IF(Assumptions!DL$72&lt;$C$19,0,IF(Assumptions!DL$72&lt;=$D$19,$E$19*$B$19/12*(1+$F$19)^INT((Assumptions!DL$72-$C$19)/12),IF(Assumptions!DL$72&lt;=$D$19+RetailDowntime,0,1)*$E$19*$B$19/12*INDEX(Cum_RetailRent,1,Assumptions!DL$77)*RenewalRentFactor)))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IF(Assumptions!DM$74=0,0,IF(Assumptions!DM$72&lt;$C$19,0,IF(Assumptions!DM$72&lt;=$D$19,$E$19*$B$19/12*(1+$F$19)^INT((Assumptions!DM$72-$C$19)/12),IF(Assumptions!DM$72&lt;=$D$19+RetailDowntime,0,1)*$E$19*$B$19/12*INDEX(Cum_RetailRent,1,Assumptions!DM$77)*RenewalRentFactor)))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IF(Assumptions!DN$74=0,0,IF(Assumptions!DN$72&lt;$C$19,0,IF(Assumptions!DN$72&lt;=$D$19,$E$19*$B$19/12*(1+$F$19)^INT((Assumptions!DN$72-$C$19)/12),IF(Assumptions!DN$72&lt;=$D$19+RetailDowntime,0,1)*$E$19*$B$19/12*INDEX(Cum_RetailRent,1,Assumptions!DN$77)*RenewalRentFactor)))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IF(Assumptions!DO$74=0,0,IF(Assumptions!DO$72&lt;$C$19,0,IF(Assumptions!DO$72&lt;=$D$19,$E$19*$B$19/12*(1+$F$19)^INT((Assumptions!DO$72-$C$19)/12),IF(Assumptions!DO$72&lt;=$D$19+RetailDowntime,0,1)*$E$19*$B$19/12*INDEX(Cum_RetailRent,1,Assumptions!DO$77)*RenewalRentFactor)))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IF(Assumptions!DP$74=0,0,IF(Assumptions!DP$72&lt;$C$19,0,IF(Assumptions!DP$72&lt;=$D$19,$E$19*$B$19/12*(1+$F$19)^INT((Assumptions!DP$72-$C$19)/12),IF(Assumptions!DP$72&lt;=$D$19+RetailDowntime,0,1)*$E$19*$B$19/12*INDEX(Cum_RetailRent,1,Assumptions!DP$77)*RenewalRentFactor)))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IF(Assumptions!DQ$74=0,0,IF(Assumptions!DQ$72&lt;$C$19,0,IF(Assumptions!DQ$72&lt;=$D$19,$E$19*$B$19/12*(1+$F$19)^INT((Assumptions!DQ$72-$C$19)/12),IF(Assumptions!DQ$72&lt;=$D$19+RetailDowntime,0,1)*$E$19*$B$19/12*INDEX(Cum_RetailRent,1,Assumptions!DQ$77)*RenewalRentFactor)))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IF(Assumptions!DR$74=0,0,IF(Assumptions!DR$72&lt;$C$19,0,IF(Assumptions!DR$72&lt;=$D$19,$E$19*$B$19/12*(1+$F$19)^INT((Assumptions!DR$72-$C$19)/12),IF(Assumptions!DR$72&lt;=$D$19+RetailDowntime,0,1)*$E$19*$B$19/12*INDEX(Cum_RetailRent,1,Assumptions!DR$77)*RenewalRentFactor)))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IF(Assumptions!DS$74=0,0,IF(Assumptions!DS$72&lt;$C$19,0,IF(Assumptions!DS$72&lt;=$D$19,$E$19*$B$19/12*(1+$F$19)^INT((Assumptions!DS$72-$C$19)/12),IF(Assumptions!DS$72&lt;=$D$19+RetailDowntime,0,1)*$E$19*$B$19/12*INDEX(Cum_RetailRent,1,Assumptions!DS$77)*RenewalRentFactor)))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IF(Assumptions!DT$74=0,0,IF(Assumptions!DT$72&lt;$C$19,0,IF(Assumptions!DT$72&lt;=$D$19,$E$19*$B$19/12*(1+$F$19)^INT((Assumptions!DT$72-$C$19)/12),IF(Assumptions!DT$72&lt;=$D$19+RetailDowntime,0,1)*$E$19*$B$19/12*INDEX(Cum_RetailRent,1,Assumptions!DT$77)*RenewalRentFactor)))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IF(Assumptions!E$74=0,0,IF(Assumptions!E$72&lt;$C$20,0,IF(Assumptions!E$72&lt;=$D$20,$E$20*$B$20/12*(1+$F$20)^INT((Assumptions!E$72-$C$20)/12),IF(Assumptions!E$72&lt;=$D$20+RetailDowntime,0,1)*$E$20*$B$20/12*INDEX(Cum_RetailRent,1,Assumptions!E$77)*RenewalRentFactor)))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IF(Assumptions!F$74=0,0,IF(Assumptions!F$72&lt;$C$20,0,IF(Assumptions!F$72&lt;=$D$20,$E$20*$B$20/12*(1+$F$20)^INT((Assumptions!F$72-$C$20)/12),IF(Assumptions!F$72&lt;=$D$20+RetailDowntime,0,1)*$E$20*$B$20/12*INDEX(Cum_RetailRent,1,Assumptions!F$77)*RenewalRentFactor)))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IF(Assumptions!G$74=0,0,IF(Assumptions!G$72&lt;$C$20,0,IF(Assumptions!G$72&lt;=$D$20,$E$20*$B$20/12*(1+$F$20)^INT((Assumptions!G$72-$C$20)/12),IF(Assumptions!G$72&lt;=$D$20+RetailDowntime,0,1)*$E$20*$B$20/12*INDEX(Cum_RetailRent,1,Assumptions!G$77)*RenewalRentFactor)))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IF(Assumptions!H$74=0,0,IF(Assumptions!H$72&lt;$C$20,0,IF(Assumptions!H$72&lt;=$D$20,$E$20*$B$20/12*(1+$F$20)^INT((Assumptions!H$72-$C$20)/12),IF(Assumptions!H$72&lt;=$D$20+RetailDowntime,0,1)*$E$20*$B$20/12*INDEX(Cum_RetailRent,1,Assumptions!H$77)*RenewalRentFactor)))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IF(Assumptions!I$74=0,0,IF(Assumptions!I$72&lt;$C$20,0,IF(Assumptions!I$72&lt;=$D$20,$E$20*$B$20/12*(1+$F$20)^INT((Assumptions!I$72-$C$20)/12),IF(Assumptions!I$72&lt;=$D$20+RetailDowntime,0,1)*$E$20*$B$20/12*INDEX(Cum_RetailRent,1,Assumptions!I$77)*RenewalRentFactor)))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IF(Assumptions!J$74=0,0,IF(Assumptions!J$72&lt;$C$20,0,IF(Assumptions!J$72&lt;=$D$20,$E$20*$B$20/12*(1+$F$20)^INT((Assumptions!J$72-$C$20)/12),IF(Assumptions!J$72&lt;=$D$20+RetailDowntime,0,1)*$E$20*$B$20/12*INDEX(Cum_RetailRent,1,Assumptions!J$77)*RenewalRentFactor)))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IF(Assumptions!K$74=0,0,IF(Assumptions!K$72&lt;$C$20,0,IF(Assumptions!K$72&lt;=$D$20,$E$20*$B$20/12*(1+$F$20)^INT((Assumptions!K$72-$C$20)/12),IF(Assumptions!K$72&lt;=$D$20+RetailDowntime,0,1)*$E$20*$B$20/12*INDEX(Cum_RetailRent,1,Assumptions!K$77)*RenewalRentFactor)))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IF(Assumptions!L$74=0,0,IF(Assumptions!L$72&lt;$C$20,0,IF(Assumptions!L$72&lt;=$D$20,$E$20*$B$20/12*(1+$F$20)^INT((Assumptions!L$72-$C$20)/12),IF(Assumptions!L$72&lt;=$D$20+RetailDowntime,0,1)*$E$20*$B$20/12*INDEX(Cum_RetailRent,1,Assumptions!L$77)*RenewalRentFactor)))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IF(Assumptions!M$74=0,0,IF(Assumptions!M$72&lt;$C$20,0,IF(Assumptions!M$72&lt;=$D$20,$E$20*$B$20/12*(1+$F$20)^INT((Assumptions!M$72-$C$20)/12),IF(Assumptions!M$72&lt;=$D$20+RetailDowntime,0,1)*$E$20*$B$20/12*INDEX(Cum_RetailRent,1,Assumptions!M$77)*RenewalRentFactor)))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IF(Assumptions!N$74=0,0,IF(Assumptions!N$72&lt;$C$20,0,IF(Assumptions!N$72&lt;=$D$20,$E$20*$B$20/12*(1+$F$20)^INT((Assumptions!N$72-$C$20)/12),IF(Assumptions!N$72&lt;=$D$20+RetailDowntime,0,1)*$E$20*$B$20/12*INDEX(Cum_RetailRent,1,Assumptions!N$77)*RenewalRentFactor)))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IF(Assumptions!O$74=0,0,IF(Assumptions!O$72&lt;$C$20,0,IF(Assumptions!O$72&lt;=$D$20,$E$20*$B$20/12*(1+$F$20)^INT((Assumptions!O$72-$C$20)/12),IF(Assumptions!O$72&lt;=$D$20+RetailDowntime,0,1)*$E$20*$B$20/12*INDEX(Cum_RetailRent,1,Assumptions!O$77)*RenewalRentFactor)))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IF(Assumptions!P$74=0,0,IF(Assumptions!P$72&lt;$C$20,0,IF(Assumptions!P$72&lt;=$D$20,$E$20*$B$20/12*(1+$F$20)^INT((Assumptions!P$72-$C$20)/12),IF(Assumptions!P$72&lt;=$D$20+RetailDowntime,0,1)*$E$20*$B$20/12*INDEX(Cum_RetailRent,1,Assumptions!P$77)*RenewalRentFactor)))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IF(Assumptions!Q$74=0,0,IF(Assumptions!Q$72&lt;$C$20,0,IF(Assumptions!Q$72&lt;=$D$20,$E$20*$B$20/12*(1+$F$20)^INT((Assumptions!Q$72-$C$20)/12),IF(Assumptions!Q$72&lt;=$D$20+RetailDowntime,0,1)*$E$20*$B$20/12*INDEX(Cum_RetailRent,1,Assumptions!Q$77)*RenewalRentFactor)))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IF(Assumptions!R$74=0,0,IF(Assumptions!R$72&lt;$C$20,0,IF(Assumptions!R$72&lt;=$D$20,$E$20*$B$20/12*(1+$F$20)^INT((Assumptions!R$72-$C$20)/12),IF(Assumptions!R$72&lt;=$D$20+RetailDowntime,0,1)*$E$20*$B$20/12*INDEX(Cum_RetailRent,1,Assumptions!R$77)*RenewalRentFactor)))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IF(Assumptions!S$74=0,0,IF(Assumptions!S$72&lt;$C$20,0,IF(Assumptions!S$72&lt;=$D$20,$E$20*$B$20/12*(1+$F$20)^INT((Assumptions!S$72-$C$20)/12),IF(Assumptions!S$72&lt;=$D$20+RetailDowntime,0,1)*$E$20*$B$20/12*INDEX(Cum_RetailRent,1,Assumptions!S$77)*RenewalRentFactor)))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IF(Assumptions!T$74=0,0,IF(Assumptions!T$72&lt;$C$20,0,IF(Assumptions!T$72&lt;=$D$20,$E$20*$B$20/12*(1+$F$20)^INT((Assumptions!T$72-$C$20)/12),IF(Assumptions!T$72&lt;=$D$20+RetailDowntime,0,1)*$E$20*$B$20/12*INDEX(Cum_RetailRent,1,Assumptions!T$77)*RenewalRentFactor)))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IF(Assumptions!U$74=0,0,IF(Assumptions!U$72&lt;$C$20,0,IF(Assumptions!U$72&lt;=$D$20,$E$20*$B$20/12*(1+$F$20)^INT((Assumptions!U$72-$C$20)/12),IF(Assumptions!U$72&lt;=$D$20+RetailDowntime,0,1)*$E$20*$B$20/12*INDEX(Cum_RetailRent,1,Assumptions!U$77)*RenewalRentFactor)))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IF(Assumptions!V$74=0,0,IF(Assumptions!V$72&lt;$C$20,0,IF(Assumptions!V$72&lt;=$D$20,$E$20*$B$20/12*(1+$F$20)^INT((Assumptions!V$72-$C$20)/12),IF(Assumptions!V$72&lt;=$D$20+RetailDowntime,0,1)*$E$20*$B$20/12*INDEX(Cum_RetailRent,1,Assumptions!V$77)*RenewalRentFactor)))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IF(Assumptions!W$74=0,0,IF(Assumptions!W$72&lt;$C$20,0,IF(Assumptions!W$72&lt;=$D$20,$E$20*$B$20/12*(1+$F$20)^INT((Assumptions!W$72-$C$20)/12),IF(Assumptions!W$72&lt;=$D$20+RetailDowntime,0,1)*$E$20*$B$20/12*INDEX(Cum_RetailRent,1,Assumptions!W$77)*RenewalRentFactor)))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IF(Assumptions!X$74=0,0,IF(Assumptions!X$72&lt;$C$20,0,IF(Assumptions!X$72&lt;=$D$20,$E$20*$B$20/12*(1+$F$20)^INT((Assumptions!X$72-$C$20)/12),IF(Assumptions!X$72&lt;=$D$20+RetailDowntime,0,1)*$E$20*$B$20/12*INDEX(Cum_RetailRent,1,Assumptions!X$77)*RenewalRentFactor)))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IF(Assumptions!Y$74=0,0,IF(Assumptions!Y$72&lt;$C$20,0,IF(Assumptions!Y$72&lt;=$D$20,$E$20*$B$20/12*(1+$F$20)^INT((Assumptions!Y$72-$C$20)/12),IF(Assumptions!Y$72&lt;=$D$20+RetailDowntime,0,1)*$E$20*$B$20/12*INDEX(Cum_RetailRent,1,Assumptions!Y$77)*RenewalRentFactor)))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IF(Assumptions!Z$74=0,0,IF(Assumptions!Z$72&lt;$C$20,0,IF(Assumptions!Z$72&lt;=$D$20,$E$20*$B$20/12*(1+$F$20)^INT((Assumptions!Z$72-$C$20)/12),IF(Assumptions!Z$72&lt;=$D$20+RetailDowntime,0,1)*$E$20*$B$20/12*INDEX(Cum_RetailRent,1,Assumptions!Z$77)*RenewalRentFactor)))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IF(Assumptions!AA$74=0,0,IF(Assumptions!AA$72&lt;$C$20,0,IF(Assumptions!AA$72&lt;=$D$20,$E$20*$B$20/12*(1+$F$20)^INT((Assumptions!AA$72-$C$20)/12),IF(Assumptions!AA$72&lt;=$D$20+RetailDowntime,0,1)*$E$20*$B$20/12*INDEX(Cum_RetailRent,1,Assumptions!AA$77)*RenewalRentFactor)))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IF(Assumptions!AB$74=0,0,IF(Assumptions!AB$72&lt;$C$20,0,IF(Assumptions!AB$72&lt;=$D$20,$E$20*$B$20/12*(1+$F$20)^INT((Assumptions!AB$72-$C$20)/12),IF(Assumptions!AB$72&lt;=$D$20+RetailDowntime,0,1)*$E$20*$B$20/12*INDEX(Cum_RetailRent,1,Assumptions!AB$77)*RenewalRentFactor)))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IF(Assumptions!AC$74=0,0,IF(Assumptions!AC$72&lt;$C$20,0,IF(Assumptions!AC$72&lt;=$D$20,$E$20*$B$20/12*(1+$F$20)^INT((Assumptions!AC$72-$C$20)/12),IF(Assumptions!AC$72&lt;=$D$20+RetailDowntime,0,1)*$E$20*$B$20/12*INDEX(Cum_RetailRent,1,Assumptions!AC$77)*RenewalRentFactor)))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IF(Assumptions!AD$74=0,0,IF(Assumptions!AD$72&lt;$C$20,0,IF(Assumptions!AD$72&lt;=$D$20,$E$20*$B$20/12*(1+$F$20)^INT((Assumptions!AD$72-$C$20)/12),IF(Assumptions!AD$72&lt;=$D$20+RetailDowntime,0,1)*$E$20*$B$20/12*INDEX(Cum_RetailRent,1,Assumptions!AD$77)*RenewalRentFactor)))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IF(Assumptions!AE$74=0,0,IF(Assumptions!AE$72&lt;$C$20,0,IF(Assumptions!AE$72&lt;=$D$20,$E$20*$B$20/12*(1+$F$20)^INT((Assumptions!AE$72-$C$20)/12),IF(Assumptions!AE$72&lt;=$D$20+RetailDowntime,0,1)*$E$20*$B$20/12*INDEX(Cum_RetailRent,1,Assumptions!AE$77)*RenewalRentFactor)))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IF(Assumptions!AF$74=0,0,IF(Assumptions!AF$72&lt;$C$20,0,IF(Assumptions!AF$72&lt;=$D$20,$E$20*$B$20/12*(1+$F$20)^INT((Assumptions!AF$72-$C$20)/12),IF(Assumptions!AF$72&lt;=$D$20+RetailDowntime,0,1)*$E$20*$B$20/12*INDEX(Cum_RetailRent,1,Assumptions!AF$77)*RenewalRentFactor)))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IF(Assumptions!AG$74=0,0,IF(Assumptions!AG$72&lt;$C$20,0,IF(Assumptions!AG$72&lt;=$D$20,$E$20*$B$20/12*(1+$F$20)^INT((Assumptions!AG$72-$C$20)/12),IF(Assumptions!AG$72&lt;=$D$20+RetailDowntime,0,1)*$E$20*$B$20/12*INDEX(Cum_RetailRent,1,Assumptions!AG$77)*RenewalRentFactor)))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IF(Assumptions!AH$74=0,0,IF(Assumptions!AH$72&lt;$C$20,0,IF(Assumptions!AH$72&lt;=$D$20,$E$20*$B$20/12*(1+$F$20)^INT((Assumptions!AH$72-$C$20)/12),IF(Assumptions!AH$72&lt;=$D$20+RetailDowntime,0,1)*$E$20*$B$20/12*INDEX(Cum_RetailRent,1,Assumptions!AH$77)*RenewalRentFactor)))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IF(Assumptions!AI$74=0,0,IF(Assumptions!AI$72&lt;$C$20,0,IF(Assumptions!AI$72&lt;=$D$20,$E$20*$B$20/12*(1+$F$20)^INT((Assumptions!AI$72-$C$20)/12),IF(Assumptions!AI$72&lt;=$D$20+RetailDowntime,0,1)*$E$20*$B$20/12*INDEX(Cum_RetailRent,1,Assumptions!AI$77)*RenewalRentFactor)))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IF(Assumptions!AJ$74=0,0,IF(Assumptions!AJ$72&lt;$C$20,0,IF(Assumptions!AJ$72&lt;=$D$20,$E$20*$B$20/12*(1+$F$20)^INT((Assumptions!AJ$72-$C$20)/12),IF(Assumptions!AJ$72&lt;=$D$20+RetailDowntime,0,1)*$E$20*$B$20/12*INDEX(Cum_RetailRent,1,Assumptions!AJ$77)*RenewalRentFactor)))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IF(Assumptions!AK$74=0,0,IF(Assumptions!AK$72&lt;$C$20,0,IF(Assumptions!AK$72&lt;=$D$20,$E$20*$B$20/12*(1+$F$20)^INT((Assumptions!AK$72-$C$20)/12),IF(Assumptions!AK$72&lt;=$D$20+RetailDowntime,0,1)*$E$20*$B$20/12*INDEX(Cum_RetailRent,1,Assumptions!AK$77)*RenewalRentFactor)))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IF(Assumptions!AL$74=0,0,IF(Assumptions!AL$72&lt;$C$20,0,IF(Assumptions!AL$72&lt;=$D$20,$E$20*$B$20/12*(1+$F$20)^INT((Assumptions!AL$72-$C$20)/12),IF(Assumptions!AL$72&lt;=$D$20+RetailDowntime,0,1)*$E$20*$B$20/12*INDEX(Cum_RetailRent,1,Assumptions!AL$77)*RenewalRentFactor)))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IF(Assumptions!AM$74=0,0,IF(Assumptions!AM$72&lt;$C$20,0,IF(Assumptions!AM$72&lt;=$D$20,$E$20*$B$20/12*(1+$F$20)^INT((Assumptions!AM$72-$C$20)/12),IF(Assumptions!AM$72&lt;=$D$20+RetailDowntime,0,1)*$E$20*$B$20/12*INDEX(Cum_RetailRent,1,Assumptions!AM$77)*RenewalRentFactor)))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IF(Assumptions!AN$74=0,0,IF(Assumptions!AN$72&lt;$C$20,0,IF(Assumptions!AN$72&lt;=$D$20,$E$20*$B$20/12*(1+$F$20)^INT((Assumptions!AN$72-$C$20)/12),IF(Assumptions!AN$72&lt;=$D$20+RetailDowntime,0,1)*$E$20*$B$20/12*INDEX(Cum_RetailRent,1,Assumptions!AN$77)*RenewalRentFactor)))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IF(Assumptions!AO$74=0,0,IF(Assumptions!AO$72&lt;$C$20,0,IF(Assumptions!AO$72&lt;=$D$20,$E$20*$B$20/12*(1+$F$20)^INT((Assumptions!AO$72-$C$20)/12),IF(Assumptions!AO$72&lt;=$D$20+RetailDowntime,0,1)*$E$20*$B$20/12*INDEX(Cum_RetailRent,1,Assumptions!AO$77)*RenewalRentFactor)))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IF(Assumptions!AP$74=0,0,IF(Assumptions!AP$72&lt;$C$20,0,IF(Assumptions!AP$72&lt;=$D$20,$E$20*$B$20/12*(1+$F$20)^INT((Assumptions!AP$72-$C$20)/12),IF(Assumptions!AP$72&lt;=$D$20+RetailDowntime,0,1)*$E$20*$B$20/12*INDEX(Cum_RetailRent,1,Assumptions!AP$77)*RenewalRentFactor)))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IF(Assumptions!AQ$74=0,0,IF(Assumptions!AQ$72&lt;$C$20,0,IF(Assumptions!AQ$72&lt;=$D$20,$E$20*$B$20/12*(1+$F$20)^INT((Assumptions!AQ$72-$C$20)/12),IF(Assumptions!AQ$72&lt;=$D$20+RetailDowntime,0,1)*$E$20*$B$20/12*INDEX(Cum_RetailRent,1,Assumptions!AQ$77)*RenewalRentFactor)))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IF(Assumptions!AR$74=0,0,IF(Assumptions!AR$72&lt;$C$20,0,IF(Assumptions!AR$72&lt;=$D$20,$E$20*$B$20/12*(1+$F$20)^INT((Assumptions!AR$72-$C$20)/12),IF(Assumptions!AR$72&lt;=$D$20+RetailDowntime,0,1)*$E$20*$B$20/12*INDEX(Cum_RetailRent,1,Assumptions!AR$77)*RenewalRentFactor)))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IF(Assumptions!AS$74=0,0,IF(Assumptions!AS$72&lt;$C$20,0,IF(Assumptions!AS$72&lt;=$D$20,$E$20*$B$20/12*(1+$F$20)^INT((Assumptions!AS$72-$C$20)/12),IF(Assumptions!AS$72&lt;=$D$20+RetailDowntime,0,1)*$E$20*$B$20/12*INDEX(Cum_RetailRent,1,Assumptions!AS$77)*RenewalRentFactor)))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IF(Assumptions!AT$74=0,0,IF(Assumptions!AT$72&lt;$C$20,0,IF(Assumptions!AT$72&lt;=$D$20,$E$20*$B$20/12*(1+$F$20)^INT((Assumptions!AT$72-$C$20)/12),IF(Assumptions!AT$72&lt;=$D$20+RetailDowntime,0,1)*$E$20*$B$20/12*INDEX(Cum_RetailRent,1,Assumptions!AT$77)*RenewalRentFactor)))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IF(Assumptions!AU$74=0,0,IF(Assumptions!AU$72&lt;$C$20,0,IF(Assumptions!AU$72&lt;=$D$20,$E$20*$B$20/12*(1+$F$20)^INT((Assumptions!AU$72-$C$20)/12),IF(Assumptions!AU$72&lt;=$D$20+RetailDowntime,0,1)*$E$20*$B$20/12*INDEX(Cum_RetailRent,1,Assumptions!AU$77)*RenewalRentFactor)))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IF(Assumptions!AV$74=0,0,IF(Assumptions!AV$72&lt;$C$20,0,IF(Assumptions!AV$72&lt;=$D$20,$E$20*$B$20/12*(1+$F$20)^INT((Assumptions!AV$72-$C$20)/12),IF(Assumptions!AV$72&lt;=$D$20+RetailDowntime,0,1)*$E$20*$B$20/12*INDEX(Cum_RetailRent,1,Assumptions!AV$77)*RenewalRentFactor)))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IF(Assumptions!AW$74=0,0,IF(Assumptions!AW$72&lt;$C$20,0,IF(Assumptions!AW$72&lt;=$D$20,$E$20*$B$20/12*(1+$F$20)^INT((Assumptions!AW$72-$C$20)/12),IF(Assumptions!AW$72&lt;=$D$20+RetailDowntime,0,1)*$E$20*$B$20/12*INDEX(Cum_RetailRent,1,Assumptions!AW$77)*RenewalRentFactor)))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IF(Assumptions!AX$74=0,0,IF(Assumptions!AX$72&lt;$C$20,0,IF(Assumptions!AX$72&lt;=$D$20,$E$20*$B$20/12*(1+$F$20)^INT((Assumptions!AX$72-$C$20)/12),IF(Assumptions!AX$72&lt;=$D$20+RetailDowntime,0,1)*$E$20*$B$20/12*INDEX(Cum_RetailRent,1,Assumptions!AX$77)*RenewalRentFactor)))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IF(Assumptions!AY$74=0,0,IF(Assumptions!AY$72&lt;$C$20,0,IF(Assumptions!AY$72&lt;=$D$20,$E$20*$B$20/12*(1+$F$20)^INT((Assumptions!AY$72-$C$20)/12),IF(Assumptions!AY$72&lt;=$D$20+RetailDowntime,0,1)*$E$20*$B$20/12*INDEX(Cum_RetailRent,1,Assumptions!AY$77)*RenewalRentFactor)))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IF(Assumptions!AZ$74=0,0,IF(Assumptions!AZ$72&lt;$C$20,0,IF(Assumptions!AZ$72&lt;=$D$20,$E$20*$B$20/12*(1+$F$20)^INT((Assumptions!AZ$72-$C$20)/12),IF(Assumptions!AZ$72&lt;=$D$20+RetailDowntime,0,1)*$E$20*$B$20/12*INDEX(Cum_RetailRent,1,Assumptions!AZ$77)*RenewalRentFactor)))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IF(Assumptions!BA$74=0,0,IF(Assumptions!BA$72&lt;$C$20,0,IF(Assumptions!BA$72&lt;=$D$20,$E$20*$B$20/12*(1+$F$20)^INT((Assumptions!BA$72-$C$20)/12),IF(Assumptions!BA$72&lt;=$D$20+RetailDowntime,0,1)*$E$20*$B$20/12*INDEX(Cum_RetailRent,1,Assumptions!BA$77)*RenewalRentFactor)))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IF(Assumptions!BB$74=0,0,IF(Assumptions!BB$72&lt;$C$20,0,IF(Assumptions!BB$72&lt;=$D$20,$E$20*$B$20/12*(1+$F$20)^INT((Assumptions!BB$72-$C$20)/12),IF(Assumptions!BB$72&lt;=$D$20+RetailDowntime,0,1)*$E$20*$B$20/12*INDEX(Cum_RetailRent,1,Assumptions!BB$77)*RenewalRentFactor)))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IF(Assumptions!BC$74=0,0,IF(Assumptions!BC$72&lt;$C$20,0,IF(Assumptions!BC$72&lt;=$D$20,$E$20*$B$20/12*(1+$F$20)^INT((Assumptions!BC$72-$C$20)/12),IF(Assumptions!BC$72&lt;=$D$20+RetailDowntime,0,1)*$E$20*$B$20/12*INDEX(Cum_RetailRent,1,Assumptions!BC$77)*RenewalRentFactor)))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IF(Assumptions!BD$74=0,0,IF(Assumptions!BD$72&lt;$C$20,0,IF(Assumptions!BD$72&lt;=$D$20,$E$20*$B$20/12*(1+$F$20)^INT((Assumptions!BD$72-$C$20)/12),IF(Assumptions!BD$72&lt;=$D$20+RetailDowntime,0,1)*$E$20*$B$20/12*INDEX(Cum_RetailRent,1,Assumptions!BD$77)*RenewalRentFactor)))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IF(Assumptions!BE$74=0,0,IF(Assumptions!BE$72&lt;$C$20,0,IF(Assumptions!BE$72&lt;=$D$20,$E$20*$B$20/12*(1+$F$20)^INT((Assumptions!BE$72-$C$20)/12),IF(Assumptions!BE$72&lt;=$D$20+RetailDowntime,0,1)*$E$20*$B$20/12*INDEX(Cum_RetailRent,1,Assumptions!BE$77)*RenewalRentFactor)))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IF(Assumptions!BF$74=0,0,IF(Assumptions!BF$72&lt;$C$20,0,IF(Assumptions!BF$72&lt;=$D$20,$E$20*$B$20/12*(1+$F$20)^INT((Assumptions!BF$72-$C$20)/12),IF(Assumptions!BF$72&lt;=$D$20+RetailDowntime,0,1)*$E$20*$B$20/12*INDEX(Cum_RetailRent,1,Assumptions!BF$77)*RenewalRentFactor)))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IF(Assumptions!BG$74=0,0,IF(Assumptions!BG$72&lt;$C$20,0,IF(Assumptions!BG$72&lt;=$D$20,$E$20*$B$20/12*(1+$F$20)^INT((Assumptions!BG$72-$C$20)/12),IF(Assumptions!BG$72&lt;=$D$20+RetailDowntime,0,1)*$E$20*$B$20/12*INDEX(Cum_RetailRent,1,Assumptions!BG$77)*RenewalRentFactor)))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IF(Assumptions!BH$74=0,0,IF(Assumptions!BH$72&lt;$C$20,0,IF(Assumptions!BH$72&lt;=$D$20,$E$20*$B$20/12*(1+$F$20)^INT((Assumptions!BH$72-$C$20)/12),IF(Assumptions!BH$72&lt;=$D$20+RetailDowntime,0,1)*$E$20*$B$20/12*INDEX(Cum_RetailRent,1,Assumptions!BH$77)*RenewalRentFactor)))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IF(Assumptions!BI$74=0,0,IF(Assumptions!BI$72&lt;$C$20,0,IF(Assumptions!BI$72&lt;=$D$20,$E$20*$B$20/12*(1+$F$20)^INT((Assumptions!BI$72-$C$20)/12),IF(Assumptions!BI$72&lt;=$D$20+RetailDowntime,0,1)*$E$20*$B$20/12*INDEX(Cum_RetailRent,1,Assumptions!BI$77)*RenewalRentFactor)))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IF(Assumptions!BJ$74=0,0,IF(Assumptions!BJ$72&lt;$C$20,0,IF(Assumptions!BJ$72&lt;=$D$20,$E$20*$B$20/12*(1+$F$20)^INT((Assumptions!BJ$72-$C$20)/12),IF(Assumptions!BJ$72&lt;=$D$20+RetailDowntime,0,1)*$E$20*$B$20/12*INDEX(Cum_RetailRent,1,Assumptions!BJ$77)*RenewalRentFactor)))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IF(Assumptions!BK$74=0,0,IF(Assumptions!BK$72&lt;$C$20,0,IF(Assumptions!BK$72&lt;=$D$20,$E$20*$B$20/12*(1+$F$20)^INT((Assumptions!BK$72-$C$20)/12),IF(Assumptions!BK$72&lt;=$D$20+RetailDowntime,0,1)*$E$20*$B$20/12*INDEX(Cum_RetailRent,1,Assumptions!BK$77)*RenewalRentFactor)))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IF(Assumptions!BL$74=0,0,IF(Assumptions!BL$72&lt;$C$20,0,IF(Assumptions!BL$72&lt;=$D$20,$E$20*$B$20/12*(1+$F$20)^INT((Assumptions!BL$72-$C$20)/12),IF(Assumptions!BL$72&lt;=$D$20+RetailDowntime,0,1)*$E$20*$B$20/12*INDEX(Cum_RetailRent,1,Assumptions!BL$77)*RenewalRentFactor)))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IF(Assumptions!BM$74=0,0,IF(Assumptions!BM$72&lt;$C$20,0,IF(Assumptions!BM$72&lt;=$D$20,$E$20*$B$20/12*(1+$F$20)^INT((Assumptions!BM$72-$C$20)/12),IF(Assumptions!BM$72&lt;=$D$20+RetailDowntime,0,1)*$E$20*$B$20/12*INDEX(Cum_RetailRent,1,Assumptions!BM$77)*RenewalRentFactor)))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IF(Assumptions!BN$74=0,0,IF(Assumptions!BN$72&lt;$C$20,0,IF(Assumptions!BN$72&lt;=$D$20,$E$20*$B$20/12*(1+$F$20)^INT((Assumptions!BN$72-$C$20)/12),IF(Assumptions!BN$72&lt;=$D$20+RetailDowntime,0,1)*$E$20*$B$20/12*INDEX(Cum_RetailRent,1,Assumptions!BN$77)*RenewalRentFactor)))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IF(Assumptions!BO$74=0,0,IF(Assumptions!BO$72&lt;$C$20,0,IF(Assumptions!BO$72&lt;=$D$20,$E$20*$B$20/12*(1+$F$20)^INT((Assumptions!BO$72-$C$20)/12),IF(Assumptions!BO$72&lt;=$D$20+RetailDowntime,0,1)*$E$20*$B$20/12*INDEX(Cum_RetailRent,1,Assumptions!BO$77)*RenewalRentFactor)))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IF(Assumptions!BP$74=0,0,IF(Assumptions!BP$72&lt;$C$20,0,IF(Assumptions!BP$72&lt;=$D$20,$E$20*$B$20/12*(1+$F$20)^INT((Assumptions!BP$72-$C$20)/12),IF(Assumptions!BP$72&lt;=$D$20+RetailDowntime,0,1)*$E$20*$B$20/12*INDEX(Cum_RetailRent,1,Assumptions!BP$77)*RenewalRentFactor)))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IF(Assumptions!BQ$74=0,0,IF(Assumptions!BQ$72&lt;$C$20,0,IF(Assumptions!BQ$72&lt;=$D$20,$E$20*$B$20/12*(1+$F$20)^INT((Assumptions!BQ$72-$C$20)/12),IF(Assumptions!BQ$72&lt;=$D$20+RetailDowntime,0,1)*$E$20*$B$20/12*INDEX(Cum_RetailRent,1,Assumptions!BQ$77)*RenewalRentFactor)))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IF(Assumptions!BR$74=0,0,IF(Assumptions!BR$72&lt;$C$20,0,IF(Assumptions!BR$72&lt;=$D$20,$E$20*$B$20/12*(1+$F$20)^INT((Assumptions!BR$72-$C$20)/12),IF(Assumptions!BR$72&lt;=$D$20+RetailDowntime,0,1)*$E$20*$B$20/12*INDEX(Cum_RetailRent,1,Assumptions!BR$77)*RenewalRentFactor)))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IF(Assumptions!BS$74=0,0,IF(Assumptions!BS$72&lt;$C$20,0,IF(Assumptions!BS$72&lt;=$D$20,$E$20*$B$20/12*(1+$F$20)^INT((Assumptions!BS$72-$C$20)/12),IF(Assumptions!BS$72&lt;=$D$20+RetailDowntime,0,1)*$E$20*$B$20/12*INDEX(Cum_RetailRent,1,Assumptions!BS$77)*RenewalRentFactor)))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IF(Assumptions!BT$74=0,0,IF(Assumptions!BT$72&lt;$C$20,0,IF(Assumptions!BT$72&lt;=$D$20,$E$20*$B$20/12*(1+$F$20)^INT((Assumptions!BT$72-$C$20)/12),IF(Assumptions!BT$72&lt;=$D$20+RetailDowntime,0,1)*$E$20*$B$20/12*INDEX(Cum_RetailRent,1,Assumptions!BT$77)*RenewalRentFactor)))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IF(Assumptions!BU$74=0,0,IF(Assumptions!BU$72&lt;$C$20,0,IF(Assumptions!BU$72&lt;=$D$20,$E$20*$B$20/12*(1+$F$20)^INT((Assumptions!BU$72-$C$20)/12),IF(Assumptions!BU$72&lt;=$D$20+RetailDowntime,0,1)*$E$20*$B$20/12*INDEX(Cum_RetailRent,1,Assumptions!BU$77)*RenewalRentFactor)))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IF(Assumptions!BV$74=0,0,IF(Assumptions!BV$72&lt;$C$20,0,IF(Assumptions!BV$72&lt;=$D$20,$E$20*$B$20/12*(1+$F$20)^INT((Assumptions!BV$72-$C$20)/12),IF(Assumptions!BV$72&lt;=$D$20+RetailDowntime,0,1)*$E$20*$B$20/12*INDEX(Cum_RetailRent,1,Assumptions!BV$77)*RenewalRentFactor)))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IF(Assumptions!BW$74=0,0,IF(Assumptions!BW$72&lt;$C$20,0,IF(Assumptions!BW$72&lt;=$D$20,$E$20*$B$20/12*(1+$F$20)^INT((Assumptions!BW$72-$C$20)/12),IF(Assumptions!BW$72&lt;=$D$20+RetailDowntime,0,1)*$E$20*$B$20/12*INDEX(Cum_RetailRent,1,Assumptions!BW$77)*RenewalRentFactor)))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IF(Assumptions!BX$74=0,0,IF(Assumptions!BX$72&lt;$C$20,0,IF(Assumptions!BX$72&lt;=$D$20,$E$20*$B$20/12*(1+$F$20)^INT((Assumptions!BX$72-$C$20)/12),IF(Assumptions!BX$72&lt;=$D$20+RetailDowntime,0,1)*$E$20*$B$20/12*INDEX(Cum_RetailRent,1,Assumptions!BX$77)*RenewalRentFactor)))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IF(Assumptions!BY$74=0,0,IF(Assumptions!BY$72&lt;$C$20,0,IF(Assumptions!BY$72&lt;=$D$20,$E$20*$B$20/12*(1+$F$20)^INT((Assumptions!BY$72-$C$20)/12),IF(Assumptions!BY$72&lt;=$D$20+RetailDowntime,0,1)*$E$20*$B$20/12*INDEX(Cum_RetailRent,1,Assumptions!BY$77)*RenewalRentFactor)))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IF(Assumptions!BZ$74=0,0,IF(Assumptions!BZ$72&lt;$C$20,0,IF(Assumptions!BZ$72&lt;=$D$20,$E$20*$B$20/12*(1+$F$20)^INT((Assumptions!BZ$72-$C$20)/12),IF(Assumptions!BZ$72&lt;=$D$20+RetailDowntime,0,1)*$E$20*$B$20/12*INDEX(Cum_RetailRent,1,Assumptions!BZ$77)*RenewalRentFactor)))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IF(Assumptions!CA$74=0,0,IF(Assumptions!CA$72&lt;$C$20,0,IF(Assumptions!CA$72&lt;=$D$20,$E$20*$B$20/12*(1+$F$20)^INT((Assumptions!CA$72-$C$20)/12),IF(Assumptions!CA$72&lt;=$D$20+RetailDowntime,0,1)*$E$20*$B$20/12*INDEX(Cum_RetailRent,1,Assumptions!CA$77)*RenewalRentFactor)))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IF(Assumptions!CB$74=0,0,IF(Assumptions!CB$72&lt;$C$20,0,IF(Assumptions!CB$72&lt;=$D$20,$E$20*$B$20/12*(1+$F$20)^INT((Assumptions!CB$72-$C$20)/12),IF(Assumptions!CB$72&lt;=$D$20+RetailDowntime,0,1)*$E$20*$B$20/12*INDEX(Cum_RetailRent,1,Assumptions!CB$77)*RenewalRentFactor)))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IF(Assumptions!CC$74=0,0,IF(Assumptions!CC$72&lt;$C$20,0,IF(Assumptions!CC$72&lt;=$D$20,$E$20*$B$20/12*(1+$F$20)^INT((Assumptions!CC$72-$C$20)/12),IF(Assumptions!CC$72&lt;=$D$20+RetailDowntime,0,1)*$E$20*$B$20/12*INDEX(Cum_RetailRent,1,Assumptions!CC$77)*RenewalRentFactor)))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IF(Assumptions!CD$74=0,0,IF(Assumptions!CD$72&lt;$C$20,0,IF(Assumptions!CD$72&lt;=$D$20,$E$20*$B$20/12*(1+$F$20)^INT((Assumptions!CD$72-$C$20)/12),IF(Assumptions!CD$72&lt;=$D$20+RetailDowntime,0,1)*$E$20*$B$20/12*INDEX(Cum_RetailRent,1,Assumptions!CD$77)*RenewalRentFactor)))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IF(Assumptions!CE$74=0,0,IF(Assumptions!CE$72&lt;$C$20,0,IF(Assumptions!CE$72&lt;=$D$20,$E$20*$B$20/12*(1+$F$20)^INT((Assumptions!CE$72-$C$20)/12),IF(Assumptions!CE$72&lt;=$D$20+RetailDowntime,0,1)*$E$20*$B$20/12*INDEX(Cum_RetailRent,1,Assumptions!CE$77)*RenewalRentFactor)))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IF(Assumptions!CF$74=0,0,IF(Assumptions!CF$72&lt;$C$20,0,IF(Assumptions!CF$72&lt;=$D$20,$E$20*$B$20/12*(1+$F$20)^INT((Assumptions!CF$72-$C$20)/12),IF(Assumptions!CF$72&lt;=$D$20+RetailDowntime,0,1)*$E$20*$B$20/12*INDEX(Cum_RetailRent,1,Assumptions!CF$77)*RenewalRentFactor)))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IF(Assumptions!CG$74=0,0,IF(Assumptions!CG$72&lt;$C$20,0,IF(Assumptions!CG$72&lt;=$D$20,$E$20*$B$20/12*(1+$F$20)^INT((Assumptions!CG$72-$C$20)/12),IF(Assumptions!CG$72&lt;=$D$20+RetailDowntime,0,1)*$E$20*$B$20/12*INDEX(Cum_RetailRent,1,Assumptions!CG$77)*RenewalRentFactor)))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IF(Assumptions!CH$74=0,0,IF(Assumptions!CH$72&lt;$C$20,0,IF(Assumptions!CH$72&lt;=$D$20,$E$20*$B$20/12*(1+$F$20)^INT((Assumptions!CH$72-$C$20)/12),IF(Assumptions!CH$72&lt;=$D$20+RetailDowntime,0,1)*$E$20*$B$20/12*INDEX(Cum_RetailRent,1,Assumptions!CH$77)*RenewalRentFactor)))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IF(Assumptions!CI$74=0,0,IF(Assumptions!CI$72&lt;$C$20,0,IF(Assumptions!CI$72&lt;=$D$20,$E$20*$B$20/12*(1+$F$20)^INT((Assumptions!CI$72-$C$20)/12),IF(Assumptions!CI$72&lt;=$D$20+RetailDowntime,0,1)*$E$20*$B$20/12*INDEX(Cum_RetailRent,1,Assumptions!CI$77)*RenewalRentFactor)))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IF(Assumptions!CJ$74=0,0,IF(Assumptions!CJ$72&lt;$C$20,0,IF(Assumptions!CJ$72&lt;=$D$20,$E$20*$B$20/12*(1+$F$20)^INT((Assumptions!CJ$72-$C$20)/12),IF(Assumptions!CJ$72&lt;=$D$20+RetailDowntime,0,1)*$E$20*$B$20/12*INDEX(Cum_RetailRent,1,Assumptions!CJ$77)*RenewalRentFactor)))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IF(Assumptions!CK$74=0,0,IF(Assumptions!CK$72&lt;$C$20,0,IF(Assumptions!CK$72&lt;=$D$20,$E$20*$B$20/12*(1+$F$20)^INT((Assumptions!CK$72-$C$20)/12),IF(Assumptions!CK$72&lt;=$D$20+RetailDowntime,0,1)*$E$20*$B$20/12*INDEX(Cum_RetailRent,1,Assumptions!CK$77)*RenewalRentFactor)))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IF(Assumptions!CL$74=0,0,IF(Assumptions!CL$72&lt;$C$20,0,IF(Assumptions!CL$72&lt;=$D$20,$E$20*$B$20/12*(1+$F$20)^INT((Assumptions!CL$72-$C$20)/12),IF(Assumptions!CL$72&lt;=$D$20+RetailDowntime,0,1)*$E$20*$B$20/12*INDEX(Cum_RetailRent,1,Assumptions!CL$77)*RenewalRentFactor)))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IF(Assumptions!CM$74=0,0,IF(Assumptions!CM$72&lt;$C$20,0,IF(Assumptions!CM$72&lt;=$D$20,$E$20*$B$20/12*(1+$F$20)^INT((Assumptions!CM$72-$C$20)/12),IF(Assumptions!CM$72&lt;=$D$20+RetailDowntime,0,1)*$E$20*$B$20/12*INDEX(Cum_RetailRent,1,Assumptions!CM$77)*RenewalRentFactor)))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IF(Assumptions!CN$74=0,0,IF(Assumptions!CN$72&lt;$C$20,0,IF(Assumptions!CN$72&lt;=$D$20,$E$20*$B$20/12*(1+$F$20)^INT((Assumptions!CN$72-$C$20)/12),IF(Assumptions!CN$72&lt;=$D$20+RetailDowntime,0,1)*$E$20*$B$20/12*INDEX(Cum_RetailRent,1,Assumptions!CN$77)*RenewalRentFactor)))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IF(Assumptions!CO$74=0,0,IF(Assumptions!CO$72&lt;$C$20,0,IF(Assumptions!CO$72&lt;=$D$20,$E$20*$B$20/12*(1+$F$20)^INT((Assumptions!CO$72-$C$20)/12),IF(Assumptions!CO$72&lt;=$D$20+RetailDowntime,0,1)*$E$20*$B$20/12*INDEX(Cum_RetailRent,1,Assumptions!CO$77)*RenewalRentFactor)))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IF(Assumptions!CP$74=0,0,IF(Assumptions!CP$72&lt;$C$20,0,IF(Assumptions!CP$72&lt;=$D$20,$E$20*$B$20/12*(1+$F$20)^INT((Assumptions!CP$72-$C$20)/12),IF(Assumptions!CP$72&lt;=$D$20+RetailDowntime,0,1)*$E$20*$B$20/12*INDEX(Cum_RetailRent,1,Assumptions!CP$77)*RenewalRentFactor)))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IF(Assumptions!CQ$74=0,0,IF(Assumptions!CQ$72&lt;$C$20,0,IF(Assumptions!CQ$72&lt;=$D$20,$E$20*$B$20/12*(1+$F$20)^INT((Assumptions!CQ$72-$C$20)/12),IF(Assumptions!CQ$72&lt;=$D$20+RetailDowntime,0,1)*$E$20*$B$20/12*INDEX(Cum_RetailRent,1,Assumptions!CQ$77)*RenewalRentFactor)))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IF(Assumptions!CR$74=0,0,IF(Assumptions!CR$72&lt;$C$20,0,IF(Assumptions!CR$72&lt;=$D$20,$E$20*$B$20/12*(1+$F$20)^INT((Assumptions!CR$72-$C$20)/12),IF(Assumptions!CR$72&lt;=$D$20+RetailDowntime,0,1)*$E$20*$B$20/12*INDEX(Cum_RetailRent,1,Assumptions!CR$77)*RenewalRentFactor)))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IF(Assumptions!CS$74=0,0,IF(Assumptions!CS$72&lt;$C$20,0,IF(Assumptions!CS$72&lt;=$D$20,$E$20*$B$20/12*(1+$F$20)^INT((Assumptions!CS$72-$C$20)/12),IF(Assumptions!CS$72&lt;=$D$20+RetailDowntime,0,1)*$E$20*$B$20/12*INDEX(Cum_RetailRent,1,Assumptions!CS$77)*RenewalRentFactor)))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IF(Assumptions!CT$74=0,0,IF(Assumptions!CT$72&lt;$C$20,0,IF(Assumptions!CT$72&lt;=$D$20,$E$20*$B$20/12*(1+$F$20)^INT((Assumptions!CT$72-$C$20)/12),IF(Assumptions!CT$72&lt;=$D$20+RetailDowntime,0,1)*$E$20*$B$20/12*INDEX(Cum_RetailRent,1,Assumptions!CT$77)*RenewalRentFactor)))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IF(Assumptions!CU$74=0,0,IF(Assumptions!CU$72&lt;$C$20,0,IF(Assumptions!CU$72&lt;=$D$20,$E$20*$B$20/12*(1+$F$20)^INT((Assumptions!CU$72-$C$20)/12),IF(Assumptions!CU$72&lt;=$D$20+RetailDowntime,0,1)*$E$20*$B$20/12*INDEX(Cum_RetailRent,1,Assumptions!CU$77)*RenewalRentFactor)))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IF(Assumptions!CV$74=0,0,IF(Assumptions!CV$72&lt;$C$20,0,IF(Assumptions!CV$72&lt;=$D$20,$E$20*$B$20/12*(1+$F$20)^INT((Assumptions!CV$72-$C$20)/12),IF(Assumptions!CV$72&lt;=$D$20+RetailDowntime,0,1)*$E$20*$B$20/12*INDEX(Cum_RetailRent,1,Assumptions!CV$77)*RenewalRentFactor)))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IF(Assumptions!CW$74=0,0,IF(Assumptions!CW$72&lt;$C$20,0,IF(Assumptions!CW$72&lt;=$D$20,$E$20*$B$20/12*(1+$F$20)^INT((Assumptions!CW$72-$C$20)/12),IF(Assumptions!CW$72&lt;=$D$20+RetailDowntime,0,1)*$E$20*$B$20/12*INDEX(Cum_RetailRent,1,Assumptions!CW$77)*RenewalRentFactor)))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IF(Assumptions!CX$74=0,0,IF(Assumptions!CX$72&lt;$C$20,0,IF(Assumptions!CX$72&lt;=$D$20,$E$20*$B$20/12*(1+$F$20)^INT((Assumptions!CX$72-$C$20)/12),IF(Assumptions!CX$72&lt;=$D$20+RetailDowntime,0,1)*$E$20*$B$20/12*INDEX(Cum_RetailRent,1,Assumptions!CX$77)*RenewalRentFactor)))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IF(Assumptions!CY$74=0,0,IF(Assumptions!CY$72&lt;$C$20,0,IF(Assumptions!CY$72&lt;=$D$20,$E$20*$B$20/12*(1+$F$20)^INT((Assumptions!CY$72-$C$20)/12),IF(Assumptions!CY$72&lt;=$D$20+RetailDowntime,0,1)*$E$20*$B$20/12*INDEX(Cum_RetailRent,1,Assumptions!CY$77)*RenewalRentFactor)))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IF(Assumptions!CZ$74=0,0,IF(Assumptions!CZ$72&lt;$C$20,0,IF(Assumptions!CZ$72&lt;=$D$20,$E$20*$B$20/12*(1+$F$20)^INT((Assumptions!CZ$72-$C$20)/12),IF(Assumptions!CZ$72&lt;=$D$20+RetailDowntime,0,1)*$E$20*$B$20/12*INDEX(Cum_RetailRent,1,Assumptions!CZ$77)*RenewalRentFactor)))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IF(Assumptions!DA$74=0,0,IF(Assumptions!DA$72&lt;$C$20,0,IF(Assumptions!DA$72&lt;=$D$20,$E$20*$B$20/12*(1+$F$20)^INT((Assumptions!DA$72-$C$20)/12),IF(Assumptions!DA$72&lt;=$D$20+RetailDowntime,0,1)*$E$20*$B$20/12*INDEX(Cum_RetailRent,1,Assumptions!DA$77)*RenewalRentFactor)))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IF(Assumptions!DB$74=0,0,IF(Assumptions!DB$72&lt;$C$20,0,IF(Assumptions!DB$72&lt;=$D$20,$E$20*$B$20/12*(1+$F$20)^INT((Assumptions!DB$72-$C$20)/12),IF(Assumptions!DB$72&lt;=$D$20+RetailDowntime,0,1)*$E$20*$B$20/12*INDEX(Cum_RetailRent,1,Assumptions!DB$77)*RenewalRentFactor)))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IF(Assumptions!DC$74=0,0,IF(Assumptions!DC$72&lt;$C$20,0,IF(Assumptions!DC$72&lt;=$D$20,$E$20*$B$20/12*(1+$F$20)^INT((Assumptions!DC$72-$C$20)/12),IF(Assumptions!DC$72&lt;=$D$20+RetailDowntime,0,1)*$E$20*$B$20/12*INDEX(Cum_RetailRent,1,Assumptions!DC$77)*RenewalRentFactor)))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IF(Assumptions!DD$74=0,0,IF(Assumptions!DD$72&lt;$C$20,0,IF(Assumptions!DD$72&lt;=$D$20,$E$20*$B$20/12*(1+$F$20)^INT((Assumptions!DD$72-$C$20)/12),IF(Assumptions!DD$72&lt;=$D$20+RetailDowntime,0,1)*$E$20*$B$20/12*INDEX(Cum_RetailRent,1,Assumptions!DD$77)*RenewalRentFactor)))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IF(Assumptions!DE$74=0,0,IF(Assumptions!DE$72&lt;$C$20,0,IF(Assumptions!DE$72&lt;=$D$20,$E$20*$B$20/12*(1+$F$20)^INT((Assumptions!DE$72-$C$20)/12),IF(Assumptions!DE$72&lt;=$D$20+RetailDowntime,0,1)*$E$20*$B$20/12*INDEX(Cum_RetailRent,1,Assumptions!DE$77)*RenewalRentFactor)))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IF(Assumptions!DF$74=0,0,IF(Assumptions!DF$72&lt;$C$20,0,IF(Assumptions!DF$72&lt;=$D$20,$E$20*$B$20/12*(1+$F$20)^INT((Assumptions!DF$72-$C$20)/12),IF(Assumptions!DF$72&lt;=$D$20+RetailDowntime,0,1)*$E$20*$B$20/12*INDEX(Cum_RetailRent,1,Assumptions!DF$77)*RenewalRentFactor)))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IF(Assumptions!DG$74=0,0,IF(Assumptions!DG$72&lt;$C$20,0,IF(Assumptions!DG$72&lt;=$D$20,$E$20*$B$20/12*(1+$F$20)^INT((Assumptions!DG$72-$C$20)/12),IF(Assumptions!DG$72&lt;=$D$20+RetailDowntime,0,1)*$E$20*$B$20/12*INDEX(Cum_RetailRent,1,Assumptions!DG$77)*RenewalRentFactor)))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IF(Assumptions!DH$74=0,0,IF(Assumptions!DH$72&lt;$C$20,0,IF(Assumptions!DH$72&lt;=$D$20,$E$20*$B$20/12*(1+$F$20)^INT((Assumptions!DH$72-$C$20)/12),IF(Assumptions!DH$72&lt;=$D$20+RetailDowntime,0,1)*$E$20*$B$20/12*INDEX(Cum_RetailRent,1,Assumptions!DH$77)*RenewalRentFactor)))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IF(Assumptions!DI$74=0,0,IF(Assumptions!DI$72&lt;$C$20,0,IF(Assumptions!DI$72&lt;=$D$20,$E$20*$B$20/12*(1+$F$20)^INT((Assumptions!DI$72-$C$20)/12),IF(Assumptions!DI$72&lt;=$D$20+RetailDowntime,0,1)*$E$20*$B$20/12*INDEX(Cum_RetailRent,1,Assumptions!DI$77)*RenewalRentFactor)))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IF(Assumptions!DJ$74=0,0,IF(Assumptions!DJ$72&lt;$C$20,0,IF(Assumptions!DJ$72&lt;=$D$20,$E$20*$B$20/12*(1+$F$20)^INT((Assumptions!DJ$72-$C$20)/12),IF(Assumptions!DJ$72&lt;=$D$20+RetailDowntime,0,1)*$E$20*$B$20/12*INDEX(Cum_RetailRent,1,Assumptions!DJ$77)*RenewalRentFactor)))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IF(Assumptions!DK$74=0,0,IF(Assumptions!DK$72&lt;$C$20,0,IF(Assumptions!DK$72&lt;=$D$20,$E$20*$B$20/12*(1+$F$20)^INT((Assumptions!DK$72-$C$20)/12),IF(Assumptions!DK$72&lt;=$D$20+RetailDowntime,0,1)*$E$20*$B$20/12*INDEX(Cum_RetailRent,1,Assumptions!DK$77)*RenewalRentFactor)))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IF(Assumptions!DL$74=0,0,IF(Assumptions!DL$72&lt;$C$20,0,IF(Assumptions!DL$72&lt;=$D$20,$E$20*$B$20/12*(1+$F$20)^INT((Assumptions!DL$72-$C$20)/12),IF(Assumptions!DL$72&lt;=$D$20+RetailDowntime,0,1)*$E$20*$B$20/12*INDEX(Cum_RetailRent,1,Assumptions!DL$77)*RenewalRentFactor)))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IF(Assumptions!DM$74=0,0,IF(Assumptions!DM$72&lt;$C$20,0,IF(Assumptions!DM$72&lt;=$D$20,$E$20*$B$20/12*(1+$F$20)^INT((Assumptions!DM$72-$C$20)/12),IF(Assumptions!DM$72&lt;=$D$20+RetailDowntime,0,1)*$E$20*$B$20/12*INDEX(Cum_RetailRent,1,Assumptions!DM$77)*RenewalRentFactor)))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IF(Assumptions!DN$74=0,0,IF(Assumptions!DN$72&lt;$C$20,0,IF(Assumptions!DN$72&lt;=$D$20,$E$20*$B$20/12*(1+$F$20)^INT((Assumptions!DN$72-$C$20)/12),IF(Assumptions!DN$72&lt;=$D$20+RetailDowntime,0,1)*$E$20*$B$20/12*INDEX(Cum_RetailRent,1,Assumptions!DN$77)*RenewalRentFactor)))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IF(Assumptions!DO$74=0,0,IF(Assumptions!DO$72&lt;$C$20,0,IF(Assumptions!DO$72&lt;=$D$20,$E$20*$B$20/12*(1+$F$20)^INT((Assumptions!DO$72-$C$20)/12),IF(Assumptions!DO$72&lt;=$D$20+RetailDowntime,0,1)*$E$20*$B$20/12*INDEX(Cum_RetailRent,1,Assumptions!DO$77)*RenewalRentFactor)))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IF(Assumptions!DP$74=0,0,IF(Assumptions!DP$72&lt;$C$20,0,IF(Assumptions!DP$72&lt;=$D$20,$E$20*$B$20/12*(1+$F$20)^INT((Assumptions!DP$72-$C$20)/12),IF(Assumptions!DP$72&lt;=$D$20+RetailDowntime,0,1)*$E$20*$B$20/12*INDEX(Cum_RetailRent,1,Assumptions!DP$77)*RenewalRentFactor)))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IF(Assumptions!DQ$74=0,0,IF(Assumptions!DQ$72&lt;$C$20,0,IF(Assumptions!DQ$72&lt;=$D$20,$E$20*$B$20/12*(1+$F$20)^INT((Assumptions!DQ$72-$C$20)/12),IF(Assumptions!DQ$72&lt;=$D$20+RetailDowntime,0,1)*$E$20*$B$20/12*INDEX(Cum_RetailRent,1,Assumptions!DQ$77)*RenewalRentFactor)))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IF(Assumptions!DR$74=0,0,IF(Assumptions!DR$72&lt;$C$20,0,IF(Assumptions!DR$72&lt;=$D$20,$E$20*$B$20/12*(1+$F$20)^INT((Assumptions!DR$72-$C$20)/12),IF(Assumptions!DR$72&lt;=$D$20+RetailDowntime,0,1)*$E$20*$B$20/12*INDEX(Cum_RetailRent,1,Assumptions!DR$77)*RenewalRentFactor)))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IF(Assumptions!DS$74=0,0,IF(Assumptions!DS$72&lt;$C$20,0,IF(Assumptions!DS$72&lt;=$D$20,$E$20*$B$20/12*(1+$F$20)^INT((Assumptions!DS$72-$C$20)/12),IF(Assumptions!DS$72&lt;=$D$20+RetailDowntime,0,1)*$E$20*$B$20/12*INDEX(Cum_RetailRent,1,Assumptions!DS$77)*RenewalRentFactor)))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IF(Assumptions!DT$74=0,0,IF(Assumptions!DT$72&lt;$C$20,0,IF(Assumptions!DT$72&lt;=$D$20,$E$20*$B$20/12*(1+$F$20)^INT((Assumptions!DT$72-$C$20)/12),IF(Assumptions!DT$72&lt;=$D$20+RetailDowntime,0,1)*$E$20*$B$20/12*INDEX(Cum_RetailRent,1,Assumptions!DT$77)*RenewalRentFactor)))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IF(Assumptions!E$74=0,0,IF(Assumptions!E$72&lt;$C$21,0,IF(Assumptions!E$72&lt;=$D$21,$E$21*$B$21/12*(1+$F$21)^INT((Assumptions!E$72-$C$21)/12),IF(Assumptions!E$72&lt;=$D$21+RetailDowntime,0,1)*$E$21*$B$21/12*INDEX(Cum_RetailRent,1,Assumptions!E$77)*RenewalRentFactor)))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IF(Assumptions!F$74=0,0,IF(Assumptions!F$72&lt;$C$21,0,IF(Assumptions!F$72&lt;=$D$21,$E$21*$B$21/12*(1+$F$21)^INT((Assumptions!F$72-$C$21)/12),IF(Assumptions!F$72&lt;=$D$21+RetailDowntime,0,1)*$E$21*$B$21/12*INDEX(Cum_RetailRent,1,Assumptions!F$77)*RenewalRentFactor)))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IF(Assumptions!G$74=0,0,IF(Assumptions!G$72&lt;$C$21,0,IF(Assumptions!G$72&lt;=$D$21,$E$21*$B$21/12*(1+$F$21)^INT((Assumptions!G$72-$C$21)/12),IF(Assumptions!G$72&lt;=$D$21+RetailDowntime,0,1)*$E$21*$B$21/12*INDEX(Cum_RetailRent,1,Assumptions!G$77)*RenewalRentFactor)))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IF(Assumptions!H$74=0,0,IF(Assumptions!H$72&lt;$C$21,0,IF(Assumptions!H$72&lt;=$D$21,$E$21*$B$21/12*(1+$F$21)^INT((Assumptions!H$72-$C$21)/12),IF(Assumptions!H$72&lt;=$D$21+RetailDowntime,0,1)*$E$21*$B$21/12*INDEX(Cum_RetailRent,1,Assumptions!H$77)*RenewalRentFactor)))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IF(Assumptions!I$74=0,0,IF(Assumptions!I$72&lt;$C$21,0,IF(Assumptions!I$72&lt;=$D$21,$E$21*$B$21/12*(1+$F$21)^INT((Assumptions!I$72-$C$21)/12),IF(Assumptions!I$72&lt;=$D$21+RetailDowntime,0,1)*$E$21*$B$21/12*INDEX(Cum_RetailRent,1,Assumptions!I$77)*RenewalRentFactor)))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IF(Assumptions!J$74=0,0,IF(Assumptions!J$72&lt;$C$21,0,IF(Assumptions!J$72&lt;=$D$21,$E$21*$B$21/12*(1+$F$21)^INT((Assumptions!J$72-$C$21)/12),IF(Assumptions!J$72&lt;=$D$21+RetailDowntime,0,1)*$E$21*$B$21/12*INDEX(Cum_RetailRent,1,Assumptions!J$77)*RenewalRentFactor)))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IF(Assumptions!K$74=0,0,IF(Assumptions!K$72&lt;$C$21,0,IF(Assumptions!K$72&lt;=$D$21,$E$21*$B$21/12*(1+$F$21)^INT((Assumptions!K$72-$C$21)/12),IF(Assumptions!K$72&lt;=$D$21+RetailDowntime,0,1)*$E$21*$B$21/12*INDEX(Cum_RetailRent,1,Assumptions!K$77)*RenewalRentFactor)))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IF(Assumptions!L$74=0,0,IF(Assumptions!L$72&lt;$C$21,0,IF(Assumptions!L$72&lt;=$D$21,$E$21*$B$21/12*(1+$F$21)^INT((Assumptions!L$72-$C$21)/12),IF(Assumptions!L$72&lt;=$D$21+RetailDowntime,0,1)*$E$21*$B$21/12*INDEX(Cum_RetailRent,1,Assumptions!L$77)*RenewalRentFactor)))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IF(Assumptions!M$74=0,0,IF(Assumptions!M$72&lt;$C$21,0,IF(Assumptions!M$72&lt;=$D$21,$E$21*$B$21/12*(1+$F$21)^INT((Assumptions!M$72-$C$21)/12),IF(Assumptions!M$72&lt;=$D$21+RetailDowntime,0,1)*$E$21*$B$21/12*INDEX(Cum_RetailRent,1,Assumptions!M$77)*RenewalRentFactor)))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IF(Assumptions!N$74=0,0,IF(Assumptions!N$72&lt;$C$21,0,IF(Assumptions!N$72&lt;=$D$21,$E$21*$B$21/12*(1+$F$21)^INT((Assumptions!N$72-$C$21)/12),IF(Assumptions!N$72&lt;=$D$21+RetailDowntime,0,1)*$E$21*$B$21/12*INDEX(Cum_RetailRent,1,Assumptions!N$77)*RenewalRentFactor)))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IF(Assumptions!O$74=0,0,IF(Assumptions!O$72&lt;$C$21,0,IF(Assumptions!O$72&lt;=$D$21,$E$21*$B$21/12*(1+$F$21)^INT((Assumptions!O$72-$C$21)/12),IF(Assumptions!O$72&lt;=$D$21+RetailDowntime,0,1)*$E$21*$B$21/12*INDEX(Cum_RetailRent,1,Assumptions!O$77)*RenewalRentFactor)))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IF(Assumptions!P$74=0,0,IF(Assumptions!P$72&lt;$C$21,0,IF(Assumptions!P$72&lt;=$D$21,$E$21*$B$21/12*(1+$F$21)^INT((Assumptions!P$72-$C$21)/12),IF(Assumptions!P$72&lt;=$D$21+RetailDowntime,0,1)*$E$21*$B$21/12*INDEX(Cum_RetailRent,1,Assumptions!P$77)*RenewalRentFactor)))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IF(Assumptions!Q$74=0,0,IF(Assumptions!Q$72&lt;$C$21,0,IF(Assumptions!Q$72&lt;=$D$21,$E$21*$B$21/12*(1+$F$21)^INT((Assumptions!Q$72-$C$21)/12),IF(Assumptions!Q$72&lt;=$D$21+RetailDowntime,0,1)*$E$21*$B$21/12*INDEX(Cum_RetailRent,1,Assumptions!Q$77)*RenewalRentFactor)))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IF(Assumptions!R$74=0,0,IF(Assumptions!R$72&lt;$C$21,0,IF(Assumptions!R$72&lt;=$D$21,$E$21*$B$21/12*(1+$F$21)^INT((Assumptions!R$72-$C$21)/12),IF(Assumptions!R$72&lt;=$D$21+RetailDowntime,0,1)*$E$21*$B$21/12*INDEX(Cum_RetailRent,1,Assumptions!R$77)*RenewalRentFactor)))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IF(Assumptions!S$74=0,0,IF(Assumptions!S$72&lt;$C$21,0,IF(Assumptions!S$72&lt;=$D$21,$E$21*$B$21/12*(1+$F$21)^INT((Assumptions!S$72-$C$21)/12),IF(Assumptions!S$72&lt;=$D$21+RetailDowntime,0,1)*$E$21*$B$21/12*INDEX(Cum_RetailRent,1,Assumptions!S$77)*RenewalRentFactor)))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IF(Assumptions!T$74=0,0,IF(Assumptions!T$72&lt;$C$21,0,IF(Assumptions!T$72&lt;=$D$21,$E$21*$B$21/12*(1+$F$21)^INT((Assumptions!T$72-$C$21)/12),IF(Assumptions!T$72&lt;=$D$21+RetailDowntime,0,1)*$E$21*$B$21/12*INDEX(Cum_RetailRent,1,Assumptions!T$77)*RenewalRentFactor)))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IF(Assumptions!U$74=0,0,IF(Assumptions!U$72&lt;$C$21,0,IF(Assumptions!U$72&lt;=$D$21,$E$21*$B$21/12*(1+$F$21)^INT((Assumptions!U$72-$C$21)/12),IF(Assumptions!U$72&lt;=$D$21+RetailDowntime,0,1)*$E$21*$B$21/12*INDEX(Cum_RetailRent,1,Assumptions!U$77)*RenewalRentFactor)))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IF(Assumptions!V$74=0,0,IF(Assumptions!V$72&lt;$C$21,0,IF(Assumptions!V$72&lt;=$D$21,$E$21*$B$21/12*(1+$F$21)^INT((Assumptions!V$72-$C$21)/12),IF(Assumptions!V$72&lt;=$D$21+RetailDowntime,0,1)*$E$21*$B$21/12*INDEX(Cum_RetailRent,1,Assumptions!V$77)*RenewalRentFactor)))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IF(Assumptions!W$74=0,0,IF(Assumptions!W$72&lt;$C$21,0,IF(Assumptions!W$72&lt;=$D$21,$E$21*$B$21/12*(1+$F$21)^INT((Assumptions!W$72-$C$21)/12),IF(Assumptions!W$72&lt;=$D$21+RetailDowntime,0,1)*$E$21*$B$21/12*INDEX(Cum_RetailRent,1,Assumptions!W$77)*RenewalRentFactor)))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IF(Assumptions!X$74=0,0,IF(Assumptions!X$72&lt;$C$21,0,IF(Assumptions!X$72&lt;=$D$21,$E$21*$B$21/12*(1+$F$21)^INT((Assumptions!X$72-$C$21)/12),IF(Assumptions!X$72&lt;=$D$21+RetailDowntime,0,1)*$E$21*$B$21/12*INDEX(Cum_RetailRent,1,Assumptions!X$77)*RenewalRentFactor)))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IF(Assumptions!Y$74=0,0,IF(Assumptions!Y$72&lt;$C$21,0,IF(Assumptions!Y$72&lt;=$D$21,$E$21*$B$21/12*(1+$F$21)^INT((Assumptions!Y$72-$C$21)/12),IF(Assumptions!Y$72&lt;=$D$21+RetailDowntime,0,1)*$E$21*$B$21/12*INDEX(Cum_RetailRent,1,Assumptions!Y$77)*RenewalRentFactor)))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IF(Assumptions!Z$74=0,0,IF(Assumptions!Z$72&lt;$C$21,0,IF(Assumptions!Z$72&lt;=$D$21,$E$21*$B$21/12*(1+$F$21)^INT((Assumptions!Z$72-$C$21)/12),IF(Assumptions!Z$72&lt;=$D$21+RetailDowntime,0,1)*$E$21*$B$21/12*INDEX(Cum_RetailRent,1,Assumptions!Z$77)*RenewalRentFactor)))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IF(Assumptions!AA$74=0,0,IF(Assumptions!AA$72&lt;$C$21,0,IF(Assumptions!AA$72&lt;=$D$21,$E$21*$B$21/12*(1+$F$21)^INT((Assumptions!AA$72-$C$21)/12),IF(Assumptions!AA$72&lt;=$D$21+RetailDowntime,0,1)*$E$21*$B$21/12*INDEX(Cum_RetailRent,1,Assumptions!AA$77)*RenewalRentFactor)))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IF(Assumptions!AB$74=0,0,IF(Assumptions!AB$72&lt;$C$21,0,IF(Assumptions!AB$72&lt;=$D$21,$E$21*$B$21/12*(1+$F$21)^INT((Assumptions!AB$72-$C$21)/12),IF(Assumptions!AB$72&lt;=$D$21+RetailDowntime,0,1)*$E$21*$B$21/12*INDEX(Cum_RetailRent,1,Assumptions!AB$77)*RenewalRentFactor)))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IF(Assumptions!AC$74=0,0,IF(Assumptions!AC$72&lt;$C$21,0,IF(Assumptions!AC$72&lt;=$D$21,$E$21*$B$21/12*(1+$F$21)^INT((Assumptions!AC$72-$C$21)/12),IF(Assumptions!AC$72&lt;=$D$21+RetailDowntime,0,1)*$E$21*$B$21/12*INDEX(Cum_RetailRent,1,Assumptions!AC$77)*RenewalRentFactor)))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IF(Assumptions!AD$74=0,0,IF(Assumptions!AD$72&lt;$C$21,0,IF(Assumptions!AD$72&lt;=$D$21,$E$21*$B$21/12*(1+$F$21)^INT((Assumptions!AD$72-$C$21)/12),IF(Assumptions!AD$72&lt;=$D$21+RetailDowntime,0,1)*$E$21*$B$21/12*INDEX(Cum_RetailRent,1,Assumptions!AD$77)*RenewalRentFactor)))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IF(Assumptions!AE$74=0,0,IF(Assumptions!AE$72&lt;$C$21,0,IF(Assumptions!AE$72&lt;=$D$21,$E$21*$B$21/12*(1+$F$21)^INT((Assumptions!AE$72-$C$21)/12),IF(Assumptions!AE$72&lt;=$D$21+RetailDowntime,0,1)*$E$21*$B$21/12*INDEX(Cum_RetailRent,1,Assumptions!AE$77)*RenewalRentFactor)))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IF(Assumptions!AF$74=0,0,IF(Assumptions!AF$72&lt;$C$21,0,IF(Assumptions!AF$72&lt;=$D$21,$E$21*$B$21/12*(1+$F$21)^INT((Assumptions!AF$72-$C$21)/12),IF(Assumptions!AF$72&lt;=$D$21+RetailDowntime,0,1)*$E$21*$B$21/12*INDEX(Cum_RetailRent,1,Assumptions!AF$77)*RenewalRentFactor)))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IF(Assumptions!AG$74=0,0,IF(Assumptions!AG$72&lt;$C$21,0,IF(Assumptions!AG$72&lt;=$D$21,$E$21*$B$21/12*(1+$F$21)^INT((Assumptions!AG$72-$C$21)/12),IF(Assumptions!AG$72&lt;=$D$21+RetailDowntime,0,1)*$E$21*$B$21/12*INDEX(Cum_RetailRent,1,Assumptions!AG$77)*RenewalRentFactor)))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IF(Assumptions!AH$74=0,0,IF(Assumptions!AH$72&lt;$C$21,0,IF(Assumptions!AH$72&lt;=$D$21,$E$21*$B$21/12*(1+$F$21)^INT((Assumptions!AH$72-$C$21)/12),IF(Assumptions!AH$72&lt;=$D$21+RetailDowntime,0,1)*$E$21*$B$21/12*INDEX(Cum_RetailRent,1,Assumptions!AH$77)*RenewalRentFactor)))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IF(Assumptions!AI$74=0,0,IF(Assumptions!AI$72&lt;$C$21,0,IF(Assumptions!AI$72&lt;=$D$21,$E$21*$B$21/12*(1+$F$21)^INT((Assumptions!AI$72-$C$21)/12),IF(Assumptions!AI$72&lt;=$D$21+RetailDowntime,0,1)*$E$21*$B$21/12*INDEX(Cum_RetailRent,1,Assumptions!AI$77)*RenewalRentFactor)))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IF(Assumptions!AJ$74=0,0,IF(Assumptions!AJ$72&lt;$C$21,0,IF(Assumptions!AJ$72&lt;=$D$21,$E$21*$B$21/12*(1+$F$21)^INT((Assumptions!AJ$72-$C$21)/12),IF(Assumptions!AJ$72&lt;=$D$21+RetailDowntime,0,1)*$E$21*$B$21/12*INDEX(Cum_RetailRent,1,Assumptions!AJ$77)*RenewalRentFactor)))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IF(Assumptions!AK$74=0,0,IF(Assumptions!AK$72&lt;$C$21,0,IF(Assumptions!AK$72&lt;=$D$21,$E$21*$B$21/12*(1+$F$21)^INT((Assumptions!AK$72-$C$21)/12),IF(Assumptions!AK$72&lt;=$D$21+RetailDowntime,0,1)*$E$21*$B$21/12*INDEX(Cum_RetailRent,1,Assumptions!AK$77)*RenewalRentFactor)))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IF(Assumptions!AL$74=0,0,IF(Assumptions!AL$72&lt;$C$21,0,IF(Assumptions!AL$72&lt;=$D$21,$E$21*$B$21/12*(1+$F$21)^INT((Assumptions!AL$72-$C$21)/12),IF(Assumptions!AL$72&lt;=$D$21+RetailDowntime,0,1)*$E$21*$B$21/12*INDEX(Cum_RetailRent,1,Assumptions!AL$77)*RenewalRentFactor)))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IF(Assumptions!AM$74=0,0,IF(Assumptions!AM$72&lt;$C$21,0,IF(Assumptions!AM$72&lt;=$D$21,$E$21*$B$21/12*(1+$F$21)^INT((Assumptions!AM$72-$C$21)/12),IF(Assumptions!AM$72&lt;=$D$21+RetailDowntime,0,1)*$E$21*$B$21/12*INDEX(Cum_RetailRent,1,Assumptions!AM$77)*RenewalRentFactor)))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IF(Assumptions!AN$74=0,0,IF(Assumptions!AN$72&lt;$C$21,0,IF(Assumptions!AN$72&lt;=$D$21,$E$21*$B$21/12*(1+$F$21)^INT((Assumptions!AN$72-$C$21)/12),IF(Assumptions!AN$72&lt;=$D$21+RetailDowntime,0,1)*$E$21*$B$21/12*INDEX(Cum_RetailRent,1,Assumptions!AN$77)*RenewalRentFactor)))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IF(Assumptions!AO$74=0,0,IF(Assumptions!AO$72&lt;$C$21,0,IF(Assumptions!AO$72&lt;=$D$21,$E$21*$B$21/12*(1+$F$21)^INT((Assumptions!AO$72-$C$21)/12),IF(Assumptions!AO$72&lt;=$D$21+RetailDowntime,0,1)*$E$21*$B$21/12*INDEX(Cum_RetailRent,1,Assumptions!AO$77)*RenewalRentFactor)))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IF(Assumptions!AP$74=0,0,IF(Assumptions!AP$72&lt;$C$21,0,IF(Assumptions!AP$72&lt;=$D$21,$E$21*$B$21/12*(1+$F$21)^INT((Assumptions!AP$72-$C$21)/12),IF(Assumptions!AP$72&lt;=$D$21+RetailDowntime,0,1)*$E$21*$B$21/12*INDEX(Cum_RetailRent,1,Assumptions!AP$77)*RenewalRentFactor)))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IF(Assumptions!AQ$74=0,0,IF(Assumptions!AQ$72&lt;$C$21,0,IF(Assumptions!AQ$72&lt;=$D$21,$E$21*$B$21/12*(1+$F$21)^INT((Assumptions!AQ$72-$C$21)/12),IF(Assumptions!AQ$72&lt;=$D$21+RetailDowntime,0,1)*$E$21*$B$21/12*INDEX(Cum_RetailRent,1,Assumptions!AQ$77)*RenewalRentFactor)))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IF(Assumptions!AR$74=0,0,IF(Assumptions!AR$72&lt;$C$21,0,IF(Assumptions!AR$72&lt;=$D$21,$E$21*$B$21/12*(1+$F$21)^INT((Assumptions!AR$72-$C$21)/12),IF(Assumptions!AR$72&lt;=$D$21+RetailDowntime,0,1)*$E$21*$B$21/12*INDEX(Cum_RetailRent,1,Assumptions!AR$77)*RenewalRentFactor)))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IF(Assumptions!AS$74=0,0,IF(Assumptions!AS$72&lt;$C$21,0,IF(Assumptions!AS$72&lt;=$D$21,$E$21*$B$21/12*(1+$F$21)^INT((Assumptions!AS$72-$C$21)/12),IF(Assumptions!AS$72&lt;=$D$21+RetailDowntime,0,1)*$E$21*$B$21/12*INDEX(Cum_RetailRent,1,Assumptions!AS$77)*RenewalRentFactor)))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IF(Assumptions!AT$74=0,0,IF(Assumptions!AT$72&lt;$C$21,0,IF(Assumptions!AT$72&lt;=$D$21,$E$21*$B$21/12*(1+$F$21)^INT((Assumptions!AT$72-$C$21)/12),IF(Assumptions!AT$72&lt;=$D$21+RetailDowntime,0,1)*$E$21*$B$21/12*INDEX(Cum_RetailRent,1,Assumptions!AT$77)*RenewalRentFactor)))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IF(Assumptions!AU$74=0,0,IF(Assumptions!AU$72&lt;$C$21,0,IF(Assumptions!AU$72&lt;=$D$21,$E$21*$B$21/12*(1+$F$21)^INT((Assumptions!AU$72-$C$21)/12),IF(Assumptions!AU$72&lt;=$D$21+RetailDowntime,0,1)*$E$21*$B$21/12*INDEX(Cum_RetailRent,1,Assumptions!AU$77)*RenewalRentFactor)))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IF(Assumptions!AV$74=0,0,IF(Assumptions!AV$72&lt;$C$21,0,IF(Assumptions!AV$72&lt;=$D$21,$E$21*$B$21/12*(1+$F$21)^INT((Assumptions!AV$72-$C$21)/12),IF(Assumptions!AV$72&lt;=$D$21+RetailDowntime,0,1)*$E$21*$B$21/12*INDEX(Cum_RetailRent,1,Assumptions!AV$77)*RenewalRentFactor)))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IF(Assumptions!AW$74=0,0,IF(Assumptions!AW$72&lt;$C$21,0,IF(Assumptions!AW$72&lt;=$D$21,$E$21*$B$21/12*(1+$F$21)^INT((Assumptions!AW$72-$C$21)/12),IF(Assumptions!AW$72&lt;=$D$21+RetailDowntime,0,1)*$E$21*$B$21/12*INDEX(Cum_RetailRent,1,Assumptions!AW$77)*RenewalRentFactor)))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IF(Assumptions!AX$74=0,0,IF(Assumptions!AX$72&lt;$C$21,0,IF(Assumptions!AX$72&lt;=$D$21,$E$21*$B$21/12*(1+$F$21)^INT((Assumptions!AX$72-$C$21)/12),IF(Assumptions!AX$72&lt;=$D$21+RetailDowntime,0,1)*$E$21*$B$21/12*INDEX(Cum_RetailRent,1,Assumptions!AX$77)*RenewalRentFactor)))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IF(Assumptions!AY$74=0,0,IF(Assumptions!AY$72&lt;$C$21,0,IF(Assumptions!AY$72&lt;=$D$21,$E$21*$B$21/12*(1+$F$21)^INT((Assumptions!AY$72-$C$21)/12),IF(Assumptions!AY$72&lt;=$D$21+RetailDowntime,0,1)*$E$21*$B$21/12*INDEX(Cum_RetailRent,1,Assumptions!AY$77)*RenewalRentFactor)))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IF(Assumptions!AZ$74=0,0,IF(Assumptions!AZ$72&lt;$C$21,0,IF(Assumptions!AZ$72&lt;=$D$21,$E$21*$B$21/12*(1+$F$21)^INT((Assumptions!AZ$72-$C$21)/12),IF(Assumptions!AZ$72&lt;=$D$21+RetailDowntime,0,1)*$E$21*$B$21/12*INDEX(Cum_RetailRent,1,Assumptions!AZ$77)*RenewalRentFactor)))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IF(Assumptions!BA$74=0,0,IF(Assumptions!BA$72&lt;$C$21,0,IF(Assumptions!BA$72&lt;=$D$21,$E$21*$B$21/12*(1+$F$21)^INT((Assumptions!BA$72-$C$21)/12),IF(Assumptions!BA$72&lt;=$D$21+RetailDowntime,0,1)*$E$21*$B$21/12*INDEX(Cum_RetailRent,1,Assumptions!BA$77)*RenewalRentFactor)))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IF(Assumptions!BB$74=0,0,IF(Assumptions!BB$72&lt;$C$21,0,IF(Assumptions!BB$72&lt;=$D$21,$E$21*$B$21/12*(1+$F$21)^INT((Assumptions!BB$72-$C$21)/12),IF(Assumptions!BB$72&lt;=$D$21+RetailDowntime,0,1)*$E$21*$B$21/12*INDEX(Cum_RetailRent,1,Assumptions!BB$77)*RenewalRentFactor)))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IF(Assumptions!BC$74=0,0,IF(Assumptions!BC$72&lt;$C$21,0,IF(Assumptions!BC$72&lt;=$D$21,$E$21*$B$21/12*(1+$F$21)^INT((Assumptions!BC$72-$C$21)/12),IF(Assumptions!BC$72&lt;=$D$21+RetailDowntime,0,1)*$E$21*$B$21/12*INDEX(Cum_RetailRent,1,Assumptions!BC$77)*RenewalRentFactor)))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IF(Assumptions!BD$74=0,0,IF(Assumptions!BD$72&lt;$C$21,0,IF(Assumptions!BD$72&lt;=$D$21,$E$21*$B$21/12*(1+$F$21)^INT((Assumptions!BD$72-$C$21)/12),IF(Assumptions!BD$72&lt;=$D$21+RetailDowntime,0,1)*$E$21*$B$21/12*INDEX(Cum_RetailRent,1,Assumptions!BD$77)*RenewalRentFactor)))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IF(Assumptions!BE$74=0,0,IF(Assumptions!BE$72&lt;$C$21,0,IF(Assumptions!BE$72&lt;=$D$21,$E$21*$B$21/12*(1+$F$21)^INT((Assumptions!BE$72-$C$21)/12),IF(Assumptions!BE$72&lt;=$D$21+RetailDowntime,0,1)*$E$21*$B$21/12*INDEX(Cum_RetailRent,1,Assumptions!BE$77)*RenewalRentFactor)))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IF(Assumptions!BF$74=0,0,IF(Assumptions!BF$72&lt;$C$21,0,IF(Assumptions!BF$72&lt;=$D$21,$E$21*$B$21/12*(1+$F$21)^INT((Assumptions!BF$72-$C$21)/12),IF(Assumptions!BF$72&lt;=$D$21+RetailDowntime,0,1)*$E$21*$B$21/12*INDEX(Cum_RetailRent,1,Assumptions!BF$77)*RenewalRentFactor)))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IF(Assumptions!BG$74=0,0,IF(Assumptions!BG$72&lt;$C$21,0,IF(Assumptions!BG$72&lt;=$D$21,$E$21*$B$21/12*(1+$F$21)^INT((Assumptions!BG$72-$C$21)/12),IF(Assumptions!BG$72&lt;=$D$21+RetailDowntime,0,1)*$E$21*$B$21/12*INDEX(Cum_RetailRent,1,Assumptions!BG$77)*RenewalRentFactor)))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IF(Assumptions!BH$74=0,0,IF(Assumptions!BH$72&lt;$C$21,0,IF(Assumptions!BH$72&lt;=$D$21,$E$21*$B$21/12*(1+$F$21)^INT((Assumptions!BH$72-$C$21)/12),IF(Assumptions!BH$72&lt;=$D$21+RetailDowntime,0,1)*$E$21*$B$21/12*INDEX(Cum_RetailRent,1,Assumptions!BH$77)*RenewalRentFactor)))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IF(Assumptions!BI$74=0,0,IF(Assumptions!BI$72&lt;$C$21,0,IF(Assumptions!BI$72&lt;=$D$21,$E$21*$B$21/12*(1+$F$21)^INT((Assumptions!BI$72-$C$21)/12),IF(Assumptions!BI$72&lt;=$D$21+RetailDowntime,0,1)*$E$21*$B$21/12*INDEX(Cum_RetailRent,1,Assumptions!BI$77)*RenewalRentFactor)))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IF(Assumptions!BJ$74=0,0,IF(Assumptions!BJ$72&lt;$C$21,0,IF(Assumptions!BJ$72&lt;=$D$21,$E$21*$B$21/12*(1+$F$21)^INT((Assumptions!BJ$72-$C$21)/12),IF(Assumptions!BJ$72&lt;=$D$21+RetailDowntime,0,1)*$E$21*$B$21/12*INDEX(Cum_RetailRent,1,Assumptions!BJ$77)*RenewalRentFactor)))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IF(Assumptions!BK$74=0,0,IF(Assumptions!BK$72&lt;$C$21,0,IF(Assumptions!BK$72&lt;=$D$21,$E$21*$B$21/12*(1+$F$21)^INT((Assumptions!BK$72-$C$21)/12),IF(Assumptions!BK$72&lt;=$D$21+RetailDowntime,0,1)*$E$21*$B$21/12*INDEX(Cum_RetailRent,1,Assumptions!BK$77)*RenewalRentFactor)))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IF(Assumptions!BL$74=0,0,IF(Assumptions!BL$72&lt;$C$21,0,IF(Assumptions!BL$72&lt;=$D$21,$E$21*$B$21/12*(1+$F$21)^INT((Assumptions!BL$72-$C$21)/12),IF(Assumptions!BL$72&lt;=$D$21+RetailDowntime,0,1)*$E$21*$B$21/12*INDEX(Cum_RetailRent,1,Assumptions!BL$77)*RenewalRentFactor)))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IF(Assumptions!BM$74=0,0,IF(Assumptions!BM$72&lt;$C$21,0,IF(Assumptions!BM$72&lt;=$D$21,$E$21*$B$21/12*(1+$F$21)^INT((Assumptions!BM$72-$C$21)/12),IF(Assumptions!BM$72&lt;=$D$21+RetailDowntime,0,1)*$E$21*$B$21/12*INDEX(Cum_RetailRent,1,Assumptions!BM$77)*RenewalRentFactor)))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IF(Assumptions!BN$74=0,0,IF(Assumptions!BN$72&lt;$C$21,0,IF(Assumptions!BN$72&lt;=$D$21,$E$21*$B$21/12*(1+$F$21)^INT((Assumptions!BN$72-$C$21)/12),IF(Assumptions!BN$72&lt;=$D$21+RetailDowntime,0,1)*$E$21*$B$21/12*INDEX(Cum_RetailRent,1,Assumptions!BN$77)*RenewalRentFactor)))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IF(Assumptions!BO$74=0,0,IF(Assumptions!BO$72&lt;$C$21,0,IF(Assumptions!BO$72&lt;=$D$21,$E$21*$B$21/12*(1+$F$21)^INT((Assumptions!BO$72-$C$21)/12),IF(Assumptions!BO$72&lt;=$D$21+RetailDowntime,0,1)*$E$21*$B$21/12*INDEX(Cum_RetailRent,1,Assumptions!BO$77)*RenewalRentFactor)))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IF(Assumptions!BP$74=0,0,IF(Assumptions!BP$72&lt;$C$21,0,IF(Assumptions!BP$72&lt;=$D$21,$E$21*$B$21/12*(1+$F$21)^INT((Assumptions!BP$72-$C$21)/12),IF(Assumptions!BP$72&lt;=$D$21+RetailDowntime,0,1)*$E$21*$B$21/12*INDEX(Cum_RetailRent,1,Assumptions!BP$77)*RenewalRentFactor)))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IF(Assumptions!BQ$74=0,0,IF(Assumptions!BQ$72&lt;$C$21,0,IF(Assumptions!BQ$72&lt;=$D$21,$E$21*$B$21/12*(1+$F$21)^INT((Assumptions!BQ$72-$C$21)/12),IF(Assumptions!BQ$72&lt;=$D$21+RetailDowntime,0,1)*$E$21*$B$21/12*INDEX(Cum_RetailRent,1,Assumptions!BQ$77)*RenewalRentFactor)))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IF(Assumptions!BR$74=0,0,IF(Assumptions!BR$72&lt;$C$21,0,IF(Assumptions!BR$72&lt;=$D$21,$E$21*$B$21/12*(1+$F$21)^INT((Assumptions!BR$72-$C$21)/12),IF(Assumptions!BR$72&lt;=$D$21+RetailDowntime,0,1)*$E$21*$B$21/12*INDEX(Cum_RetailRent,1,Assumptions!BR$77)*RenewalRentFactor)))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IF(Assumptions!BS$74=0,0,IF(Assumptions!BS$72&lt;$C$21,0,IF(Assumptions!BS$72&lt;=$D$21,$E$21*$B$21/12*(1+$F$21)^INT((Assumptions!BS$72-$C$21)/12),IF(Assumptions!BS$72&lt;=$D$21+RetailDowntime,0,1)*$E$21*$B$21/12*INDEX(Cum_RetailRent,1,Assumptions!BS$77)*RenewalRentFactor)))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IF(Assumptions!BT$74=0,0,IF(Assumptions!BT$72&lt;$C$21,0,IF(Assumptions!BT$72&lt;=$D$21,$E$21*$B$21/12*(1+$F$21)^INT((Assumptions!BT$72-$C$21)/12),IF(Assumptions!BT$72&lt;=$D$21+RetailDowntime,0,1)*$E$21*$B$21/12*INDEX(Cum_RetailRent,1,Assumptions!BT$77)*RenewalRentFactor)))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IF(Assumptions!BU$74=0,0,IF(Assumptions!BU$72&lt;$C$21,0,IF(Assumptions!BU$72&lt;=$D$21,$E$21*$B$21/12*(1+$F$21)^INT((Assumptions!BU$72-$C$21)/12),IF(Assumptions!BU$72&lt;=$D$21+RetailDowntime,0,1)*$E$21*$B$21/12*INDEX(Cum_RetailRent,1,Assumptions!BU$77)*RenewalRentFactor)))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IF(Assumptions!BV$74=0,0,IF(Assumptions!BV$72&lt;$C$21,0,IF(Assumptions!BV$72&lt;=$D$21,$E$21*$B$21/12*(1+$F$21)^INT((Assumptions!BV$72-$C$21)/12),IF(Assumptions!BV$72&lt;=$D$21+RetailDowntime,0,1)*$E$21*$B$21/12*INDEX(Cum_RetailRent,1,Assumptions!BV$77)*RenewalRentFactor)))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IF(Assumptions!BW$74=0,0,IF(Assumptions!BW$72&lt;$C$21,0,IF(Assumptions!BW$72&lt;=$D$21,$E$21*$B$21/12*(1+$F$21)^INT((Assumptions!BW$72-$C$21)/12),IF(Assumptions!BW$72&lt;=$D$21+RetailDowntime,0,1)*$E$21*$B$21/12*INDEX(Cum_RetailRent,1,Assumptions!BW$77)*RenewalRentFactor)))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IF(Assumptions!BX$74=0,0,IF(Assumptions!BX$72&lt;$C$21,0,IF(Assumptions!BX$72&lt;=$D$21,$E$21*$B$21/12*(1+$F$21)^INT((Assumptions!BX$72-$C$21)/12),IF(Assumptions!BX$72&lt;=$D$21+RetailDowntime,0,1)*$E$21*$B$21/12*INDEX(Cum_RetailRent,1,Assumptions!BX$77)*RenewalRentFactor)))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IF(Assumptions!BY$74=0,0,IF(Assumptions!BY$72&lt;$C$21,0,IF(Assumptions!BY$72&lt;=$D$21,$E$21*$B$21/12*(1+$F$21)^INT((Assumptions!BY$72-$C$21)/12),IF(Assumptions!BY$72&lt;=$D$21+RetailDowntime,0,1)*$E$21*$B$21/12*INDEX(Cum_RetailRent,1,Assumptions!BY$77)*RenewalRentFactor)))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IF(Assumptions!BZ$74=0,0,IF(Assumptions!BZ$72&lt;$C$21,0,IF(Assumptions!BZ$72&lt;=$D$21,$E$21*$B$21/12*(1+$F$21)^INT((Assumptions!BZ$72-$C$21)/12),IF(Assumptions!BZ$72&lt;=$D$21+RetailDowntime,0,1)*$E$21*$B$21/12*INDEX(Cum_RetailRent,1,Assumptions!BZ$77)*RenewalRentFactor)))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IF(Assumptions!CA$74=0,0,IF(Assumptions!CA$72&lt;$C$21,0,IF(Assumptions!CA$72&lt;=$D$21,$E$21*$B$21/12*(1+$F$21)^INT((Assumptions!CA$72-$C$21)/12),IF(Assumptions!CA$72&lt;=$D$21+RetailDowntime,0,1)*$E$21*$B$21/12*INDEX(Cum_RetailRent,1,Assumptions!CA$77)*RenewalRentFactor)))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IF(Assumptions!CB$74=0,0,IF(Assumptions!CB$72&lt;$C$21,0,IF(Assumptions!CB$72&lt;=$D$21,$E$21*$B$21/12*(1+$F$21)^INT((Assumptions!CB$72-$C$21)/12),IF(Assumptions!CB$72&lt;=$D$21+RetailDowntime,0,1)*$E$21*$B$21/12*INDEX(Cum_RetailRent,1,Assumptions!CB$77)*RenewalRentFactor)))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IF(Assumptions!CC$74=0,0,IF(Assumptions!CC$72&lt;$C$21,0,IF(Assumptions!CC$72&lt;=$D$21,$E$21*$B$21/12*(1+$F$21)^INT((Assumptions!CC$72-$C$21)/12),IF(Assumptions!CC$72&lt;=$D$21+RetailDowntime,0,1)*$E$21*$B$21/12*INDEX(Cum_RetailRent,1,Assumptions!CC$77)*RenewalRentFactor)))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IF(Assumptions!CD$74=0,0,IF(Assumptions!CD$72&lt;$C$21,0,IF(Assumptions!CD$72&lt;=$D$21,$E$21*$B$21/12*(1+$F$21)^INT((Assumptions!CD$72-$C$21)/12),IF(Assumptions!CD$72&lt;=$D$21+RetailDowntime,0,1)*$E$21*$B$21/12*INDEX(Cum_RetailRent,1,Assumptions!CD$77)*RenewalRentFactor)))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IF(Assumptions!CE$74=0,0,IF(Assumptions!CE$72&lt;$C$21,0,IF(Assumptions!CE$72&lt;=$D$21,$E$21*$B$21/12*(1+$F$21)^INT((Assumptions!CE$72-$C$21)/12),IF(Assumptions!CE$72&lt;=$D$21+RetailDowntime,0,1)*$E$21*$B$21/12*INDEX(Cum_RetailRent,1,Assumptions!CE$77)*RenewalRentFactor)))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IF(Assumptions!CF$74=0,0,IF(Assumptions!CF$72&lt;$C$21,0,IF(Assumptions!CF$72&lt;=$D$21,$E$21*$B$21/12*(1+$F$21)^INT((Assumptions!CF$72-$C$21)/12),IF(Assumptions!CF$72&lt;=$D$21+RetailDowntime,0,1)*$E$21*$B$21/12*INDEX(Cum_RetailRent,1,Assumptions!CF$77)*RenewalRentFactor)))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IF(Assumptions!CG$74=0,0,IF(Assumptions!CG$72&lt;$C$21,0,IF(Assumptions!CG$72&lt;=$D$21,$E$21*$B$21/12*(1+$F$21)^INT((Assumptions!CG$72-$C$21)/12),IF(Assumptions!CG$72&lt;=$D$21+RetailDowntime,0,1)*$E$21*$B$21/12*INDEX(Cum_RetailRent,1,Assumptions!CG$77)*RenewalRentFactor)))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IF(Assumptions!CH$74=0,0,IF(Assumptions!CH$72&lt;$C$21,0,IF(Assumptions!CH$72&lt;=$D$21,$E$21*$B$21/12*(1+$F$21)^INT((Assumptions!CH$72-$C$21)/12),IF(Assumptions!CH$72&lt;=$D$21+RetailDowntime,0,1)*$E$21*$B$21/12*INDEX(Cum_RetailRent,1,Assumptions!CH$77)*RenewalRentFactor)))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IF(Assumptions!CI$74=0,0,IF(Assumptions!CI$72&lt;$C$21,0,IF(Assumptions!CI$72&lt;=$D$21,$E$21*$B$21/12*(1+$F$21)^INT((Assumptions!CI$72-$C$21)/12),IF(Assumptions!CI$72&lt;=$D$21+RetailDowntime,0,1)*$E$21*$B$21/12*INDEX(Cum_RetailRent,1,Assumptions!CI$77)*RenewalRentFactor)))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IF(Assumptions!CJ$74=0,0,IF(Assumptions!CJ$72&lt;$C$21,0,IF(Assumptions!CJ$72&lt;=$D$21,$E$21*$B$21/12*(1+$F$21)^INT((Assumptions!CJ$72-$C$21)/12),IF(Assumptions!CJ$72&lt;=$D$21+RetailDowntime,0,1)*$E$21*$B$21/12*INDEX(Cum_RetailRent,1,Assumptions!CJ$77)*RenewalRentFactor)))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IF(Assumptions!CK$74=0,0,IF(Assumptions!CK$72&lt;$C$21,0,IF(Assumptions!CK$72&lt;=$D$21,$E$21*$B$21/12*(1+$F$21)^INT((Assumptions!CK$72-$C$21)/12),IF(Assumptions!CK$72&lt;=$D$21+RetailDowntime,0,1)*$E$21*$B$21/12*INDEX(Cum_RetailRent,1,Assumptions!CK$77)*RenewalRentFactor)))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IF(Assumptions!CL$74=0,0,IF(Assumptions!CL$72&lt;$C$21,0,IF(Assumptions!CL$72&lt;=$D$21,$E$21*$B$21/12*(1+$F$21)^INT((Assumptions!CL$72-$C$21)/12),IF(Assumptions!CL$72&lt;=$D$21+RetailDowntime,0,1)*$E$21*$B$21/12*INDEX(Cum_RetailRent,1,Assumptions!CL$77)*RenewalRentFactor)))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IF(Assumptions!CM$74=0,0,IF(Assumptions!CM$72&lt;$C$21,0,IF(Assumptions!CM$72&lt;=$D$21,$E$21*$B$21/12*(1+$F$21)^INT((Assumptions!CM$72-$C$21)/12),IF(Assumptions!CM$72&lt;=$D$21+RetailDowntime,0,1)*$E$21*$B$21/12*INDEX(Cum_RetailRent,1,Assumptions!CM$77)*RenewalRentFactor)))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IF(Assumptions!CN$74=0,0,IF(Assumptions!CN$72&lt;$C$21,0,IF(Assumptions!CN$72&lt;=$D$21,$E$21*$B$21/12*(1+$F$21)^INT((Assumptions!CN$72-$C$21)/12),IF(Assumptions!CN$72&lt;=$D$21+RetailDowntime,0,1)*$E$21*$B$21/12*INDEX(Cum_RetailRent,1,Assumptions!CN$77)*RenewalRentFactor)))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IF(Assumptions!CO$74=0,0,IF(Assumptions!CO$72&lt;$C$21,0,IF(Assumptions!CO$72&lt;=$D$21,$E$21*$B$21/12*(1+$F$21)^INT((Assumptions!CO$72-$C$21)/12),IF(Assumptions!CO$72&lt;=$D$21+RetailDowntime,0,1)*$E$21*$B$21/12*INDEX(Cum_RetailRent,1,Assumptions!CO$77)*RenewalRentFactor)))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IF(Assumptions!CP$74=0,0,IF(Assumptions!CP$72&lt;$C$21,0,IF(Assumptions!CP$72&lt;=$D$21,$E$21*$B$21/12*(1+$F$21)^INT((Assumptions!CP$72-$C$21)/12),IF(Assumptions!CP$72&lt;=$D$21+RetailDowntime,0,1)*$E$21*$B$21/12*INDEX(Cum_RetailRent,1,Assumptions!CP$77)*RenewalRentFactor)))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IF(Assumptions!CQ$74=0,0,IF(Assumptions!CQ$72&lt;$C$21,0,IF(Assumptions!CQ$72&lt;=$D$21,$E$21*$B$21/12*(1+$F$21)^INT((Assumptions!CQ$72-$C$21)/12),IF(Assumptions!CQ$72&lt;=$D$21+RetailDowntime,0,1)*$E$21*$B$21/12*INDEX(Cum_RetailRent,1,Assumptions!CQ$77)*RenewalRentFactor)))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IF(Assumptions!CR$74=0,0,IF(Assumptions!CR$72&lt;$C$21,0,IF(Assumptions!CR$72&lt;=$D$21,$E$21*$B$21/12*(1+$F$21)^INT((Assumptions!CR$72-$C$21)/12),IF(Assumptions!CR$72&lt;=$D$21+RetailDowntime,0,1)*$E$21*$B$21/12*INDEX(Cum_RetailRent,1,Assumptions!CR$77)*RenewalRentFactor)))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IF(Assumptions!CS$74=0,0,IF(Assumptions!CS$72&lt;$C$21,0,IF(Assumptions!CS$72&lt;=$D$21,$E$21*$B$21/12*(1+$F$21)^INT((Assumptions!CS$72-$C$21)/12),IF(Assumptions!CS$72&lt;=$D$21+RetailDowntime,0,1)*$E$21*$B$21/12*INDEX(Cum_RetailRent,1,Assumptions!CS$77)*RenewalRentFactor)))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IF(Assumptions!CT$74=0,0,IF(Assumptions!CT$72&lt;$C$21,0,IF(Assumptions!CT$72&lt;=$D$21,$E$21*$B$21/12*(1+$F$21)^INT((Assumptions!CT$72-$C$21)/12),IF(Assumptions!CT$72&lt;=$D$21+RetailDowntime,0,1)*$E$21*$B$21/12*INDEX(Cum_RetailRent,1,Assumptions!CT$77)*RenewalRentFactor)))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IF(Assumptions!CU$74=0,0,IF(Assumptions!CU$72&lt;$C$21,0,IF(Assumptions!CU$72&lt;=$D$21,$E$21*$B$21/12*(1+$F$21)^INT((Assumptions!CU$72-$C$21)/12),IF(Assumptions!CU$72&lt;=$D$21+RetailDowntime,0,1)*$E$21*$B$21/12*INDEX(Cum_RetailRent,1,Assumptions!CU$77)*RenewalRentFactor)))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IF(Assumptions!CV$74=0,0,IF(Assumptions!CV$72&lt;$C$21,0,IF(Assumptions!CV$72&lt;=$D$21,$E$21*$B$21/12*(1+$F$21)^INT((Assumptions!CV$72-$C$21)/12),IF(Assumptions!CV$72&lt;=$D$21+RetailDowntime,0,1)*$E$21*$B$21/12*INDEX(Cum_RetailRent,1,Assumptions!CV$77)*RenewalRentFactor)))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IF(Assumptions!CW$74=0,0,IF(Assumptions!CW$72&lt;$C$21,0,IF(Assumptions!CW$72&lt;=$D$21,$E$21*$B$21/12*(1+$F$21)^INT((Assumptions!CW$72-$C$21)/12),IF(Assumptions!CW$72&lt;=$D$21+RetailDowntime,0,1)*$E$21*$B$21/12*INDEX(Cum_RetailRent,1,Assumptions!CW$77)*RenewalRentFactor)))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IF(Assumptions!CX$74=0,0,IF(Assumptions!CX$72&lt;$C$21,0,IF(Assumptions!CX$72&lt;=$D$21,$E$21*$B$21/12*(1+$F$21)^INT((Assumptions!CX$72-$C$21)/12),IF(Assumptions!CX$72&lt;=$D$21+RetailDowntime,0,1)*$E$21*$B$21/12*INDEX(Cum_RetailRent,1,Assumptions!CX$77)*RenewalRentFactor)))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IF(Assumptions!CY$74=0,0,IF(Assumptions!CY$72&lt;$C$21,0,IF(Assumptions!CY$72&lt;=$D$21,$E$21*$B$21/12*(1+$F$21)^INT((Assumptions!CY$72-$C$21)/12),IF(Assumptions!CY$72&lt;=$D$21+RetailDowntime,0,1)*$E$21*$B$21/12*INDEX(Cum_RetailRent,1,Assumptions!CY$77)*RenewalRentFactor)))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IF(Assumptions!CZ$74=0,0,IF(Assumptions!CZ$72&lt;$C$21,0,IF(Assumptions!CZ$72&lt;=$D$21,$E$21*$B$21/12*(1+$F$21)^INT((Assumptions!CZ$72-$C$21)/12),IF(Assumptions!CZ$72&lt;=$D$21+RetailDowntime,0,1)*$E$21*$B$21/12*INDEX(Cum_RetailRent,1,Assumptions!CZ$77)*RenewalRentFactor)))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IF(Assumptions!DA$74=0,0,IF(Assumptions!DA$72&lt;$C$21,0,IF(Assumptions!DA$72&lt;=$D$21,$E$21*$B$21/12*(1+$F$21)^INT((Assumptions!DA$72-$C$21)/12),IF(Assumptions!DA$72&lt;=$D$21+RetailDowntime,0,1)*$E$21*$B$21/12*INDEX(Cum_RetailRent,1,Assumptions!DA$77)*RenewalRentFactor)))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IF(Assumptions!DB$74=0,0,IF(Assumptions!DB$72&lt;$C$21,0,IF(Assumptions!DB$72&lt;=$D$21,$E$21*$B$21/12*(1+$F$21)^INT((Assumptions!DB$72-$C$21)/12),IF(Assumptions!DB$72&lt;=$D$21+RetailDowntime,0,1)*$E$21*$B$21/12*INDEX(Cum_RetailRent,1,Assumptions!DB$77)*RenewalRentFactor)))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IF(Assumptions!DC$74=0,0,IF(Assumptions!DC$72&lt;$C$21,0,IF(Assumptions!DC$72&lt;=$D$21,$E$21*$B$21/12*(1+$F$21)^INT((Assumptions!DC$72-$C$21)/12),IF(Assumptions!DC$72&lt;=$D$21+RetailDowntime,0,1)*$E$21*$B$21/12*INDEX(Cum_RetailRent,1,Assumptions!DC$77)*RenewalRentFactor)))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IF(Assumptions!DD$74=0,0,IF(Assumptions!DD$72&lt;$C$21,0,IF(Assumptions!DD$72&lt;=$D$21,$E$21*$B$21/12*(1+$F$21)^INT((Assumptions!DD$72-$C$21)/12),IF(Assumptions!DD$72&lt;=$D$21+RetailDowntime,0,1)*$E$21*$B$21/12*INDEX(Cum_RetailRent,1,Assumptions!DD$77)*RenewalRentFactor)))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IF(Assumptions!DE$74=0,0,IF(Assumptions!DE$72&lt;$C$21,0,IF(Assumptions!DE$72&lt;=$D$21,$E$21*$B$21/12*(1+$F$21)^INT((Assumptions!DE$72-$C$21)/12),IF(Assumptions!DE$72&lt;=$D$21+RetailDowntime,0,1)*$E$21*$B$21/12*INDEX(Cum_RetailRent,1,Assumptions!DE$77)*RenewalRentFactor)))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IF(Assumptions!DF$74=0,0,IF(Assumptions!DF$72&lt;$C$21,0,IF(Assumptions!DF$72&lt;=$D$21,$E$21*$B$21/12*(1+$F$21)^INT((Assumptions!DF$72-$C$21)/12),IF(Assumptions!DF$72&lt;=$D$21+RetailDowntime,0,1)*$E$21*$B$21/12*INDEX(Cum_RetailRent,1,Assumptions!DF$77)*RenewalRentFactor)))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IF(Assumptions!DG$74=0,0,IF(Assumptions!DG$72&lt;$C$21,0,IF(Assumptions!DG$72&lt;=$D$21,$E$21*$B$21/12*(1+$F$21)^INT((Assumptions!DG$72-$C$21)/12),IF(Assumptions!DG$72&lt;=$D$21+RetailDowntime,0,1)*$E$21*$B$21/12*INDEX(Cum_RetailRent,1,Assumptions!DG$77)*RenewalRentFactor)))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IF(Assumptions!DH$74=0,0,IF(Assumptions!DH$72&lt;$C$21,0,IF(Assumptions!DH$72&lt;=$D$21,$E$21*$B$21/12*(1+$F$21)^INT((Assumptions!DH$72-$C$21)/12),IF(Assumptions!DH$72&lt;=$D$21+RetailDowntime,0,1)*$E$21*$B$21/12*INDEX(Cum_RetailRent,1,Assumptions!DH$77)*RenewalRentFactor)))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IF(Assumptions!DI$74=0,0,IF(Assumptions!DI$72&lt;$C$21,0,IF(Assumptions!DI$72&lt;=$D$21,$E$21*$B$21/12*(1+$F$21)^INT((Assumptions!DI$72-$C$21)/12),IF(Assumptions!DI$72&lt;=$D$21+RetailDowntime,0,1)*$E$21*$B$21/12*INDEX(Cum_RetailRent,1,Assumptions!DI$77)*RenewalRentFactor)))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IF(Assumptions!DJ$74=0,0,IF(Assumptions!DJ$72&lt;$C$21,0,IF(Assumptions!DJ$72&lt;=$D$21,$E$21*$B$21/12*(1+$F$21)^INT((Assumptions!DJ$72-$C$21)/12),IF(Assumptions!DJ$72&lt;=$D$21+RetailDowntime,0,1)*$E$21*$B$21/12*INDEX(Cum_RetailRent,1,Assumptions!DJ$77)*RenewalRentFactor)))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IF(Assumptions!DK$74=0,0,IF(Assumptions!DK$72&lt;$C$21,0,IF(Assumptions!DK$72&lt;=$D$21,$E$21*$B$21/12*(1+$F$21)^INT((Assumptions!DK$72-$C$21)/12),IF(Assumptions!DK$72&lt;=$D$21+RetailDowntime,0,1)*$E$21*$B$21/12*INDEX(Cum_RetailRent,1,Assumptions!DK$77)*RenewalRentFactor)))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IF(Assumptions!DL$74=0,0,IF(Assumptions!DL$72&lt;$C$21,0,IF(Assumptions!DL$72&lt;=$D$21,$E$21*$B$21/12*(1+$F$21)^INT((Assumptions!DL$72-$C$21)/12),IF(Assumptions!DL$72&lt;=$D$21+RetailDowntime,0,1)*$E$21*$B$21/12*INDEX(Cum_RetailRent,1,Assumptions!DL$77)*RenewalRentFactor)))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IF(Assumptions!DM$74=0,0,IF(Assumptions!DM$72&lt;$C$21,0,IF(Assumptions!DM$72&lt;=$D$21,$E$21*$B$21/12*(1+$F$21)^INT((Assumptions!DM$72-$C$21)/12),IF(Assumptions!DM$72&lt;=$D$21+RetailDowntime,0,1)*$E$21*$B$21/12*INDEX(Cum_RetailRent,1,Assumptions!DM$77)*RenewalRentFactor)))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IF(Assumptions!DN$74=0,0,IF(Assumptions!DN$72&lt;$C$21,0,IF(Assumptions!DN$72&lt;=$D$21,$E$21*$B$21/12*(1+$F$21)^INT((Assumptions!DN$72-$C$21)/12),IF(Assumptions!DN$72&lt;=$D$21+RetailDowntime,0,1)*$E$21*$B$21/12*INDEX(Cum_RetailRent,1,Assumptions!DN$77)*RenewalRentFactor)))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IF(Assumptions!DO$74=0,0,IF(Assumptions!DO$72&lt;$C$21,0,IF(Assumptions!DO$72&lt;=$D$21,$E$21*$B$21/12*(1+$F$21)^INT((Assumptions!DO$72-$C$21)/12),IF(Assumptions!DO$72&lt;=$D$21+RetailDowntime,0,1)*$E$21*$B$21/12*INDEX(Cum_RetailRent,1,Assumptions!DO$77)*RenewalRentFactor)))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IF(Assumptions!DP$74=0,0,IF(Assumptions!DP$72&lt;$C$21,0,IF(Assumptions!DP$72&lt;=$D$21,$E$21*$B$21/12*(1+$F$21)^INT((Assumptions!DP$72-$C$21)/12),IF(Assumptions!DP$72&lt;=$D$21+RetailDowntime,0,1)*$E$21*$B$21/12*INDEX(Cum_RetailRent,1,Assumptions!DP$77)*RenewalRentFactor)))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IF(Assumptions!DQ$74=0,0,IF(Assumptions!DQ$72&lt;$C$21,0,IF(Assumptions!DQ$72&lt;=$D$21,$E$21*$B$21/12*(1+$F$21)^INT((Assumptions!DQ$72-$C$21)/12),IF(Assumptions!DQ$72&lt;=$D$21+RetailDowntime,0,1)*$E$21*$B$21/12*INDEX(Cum_RetailRent,1,Assumptions!DQ$77)*RenewalRentFactor)))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IF(Assumptions!DR$74=0,0,IF(Assumptions!DR$72&lt;$C$21,0,IF(Assumptions!DR$72&lt;=$D$21,$E$21*$B$21/12*(1+$F$21)^INT((Assumptions!DR$72-$C$21)/12),IF(Assumptions!DR$72&lt;=$D$21+RetailDowntime,0,1)*$E$21*$B$21/12*INDEX(Cum_RetailRent,1,Assumptions!DR$77)*RenewalRentFactor)))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IF(Assumptions!DS$74=0,0,IF(Assumptions!DS$72&lt;$C$21,0,IF(Assumptions!DS$72&lt;=$D$21,$E$21*$B$21/12*(1+$F$21)^INT((Assumptions!DS$72-$C$21)/12),IF(Assumptions!DS$72&lt;=$D$21+RetailDowntime,0,1)*$E$21*$B$21/12*INDEX(Cum_RetailRent,1,Assumptions!DS$77)*RenewalRentFactor)))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IF(Assumptions!DT$74=0,0,IF(Assumptions!DT$72&lt;$C$21,0,IF(Assumptions!DT$72&lt;=$D$21,$E$21*$B$21/12*(1+$F$21)^INT((Assumptions!DT$72-$C$21)/12),IF(Assumptions!DT$72&lt;=$D$21+RetailDowntime,0,1)*$E$21*$B$21/12*INDEX(Cum_RetailRent,1,Assumptions!DT$77)*RenewalRentFactor)))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IF(Assumptions!E$74=0,0,IF(Assumptions!E$72&lt;$C$22,0,IF(Assumptions!E$72&lt;=$D$22,$E$22*$B$22/12*(1+$F$22)^INT((Assumptions!E$72-$C$22)/12),IF(Assumptions!E$72&lt;=$D$22+RetailDowntime,0,1)*$E$22*$B$22/12*INDEX(Cum_RetailRent,1,Assumptions!E$77)*RenewalRentFactor)))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IF(Assumptions!F$74=0,0,IF(Assumptions!F$72&lt;$C$22,0,IF(Assumptions!F$72&lt;=$D$22,$E$22*$B$22/12*(1+$F$22)^INT((Assumptions!F$72-$C$22)/12),IF(Assumptions!F$72&lt;=$D$22+RetailDowntime,0,1)*$E$22*$B$22/12*INDEX(Cum_RetailRent,1,Assumptions!F$77)*RenewalRentFactor)))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IF(Assumptions!G$74=0,0,IF(Assumptions!G$72&lt;$C$22,0,IF(Assumptions!G$72&lt;=$D$22,$E$22*$B$22/12*(1+$F$22)^INT((Assumptions!G$72-$C$22)/12),IF(Assumptions!G$72&lt;=$D$22+RetailDowntime,0,1)*$E$22*$B$22/12*INDEX(Cum_RetailRent,1,Assumptions!G$77)*RenewalRentFactor)))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IF(Assumptions!H$74=0,0,IF(Assumptions!H$72&lt;$C$22,0,IF(Assumptions!H$72&lt;=$D$22,$E$22*$B$22/12*(1+$F$22)^INT((Assumptions!H$72-$C$22)/12),IF(Assumptions!H$72&lt;=$D$22+RetailDowntime,0,1)*$E$22*$B$22/12*INDEX(Cum_RetailRent,1,Assumptions!H$77)*RenewalRentFactor)))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IF(Assumptions!I$74=0,0,IF(Assumptions!I$72&lt;$C$22,0,IF(Assumptions!I$72&lt;=$D$22,$E$22*$B$22/12*(1+$F$22)^INT((Assumptions!I$72-$C$22)/12),IF(Assumptions!I$72&lt;=$D$22+RetailDowntime,0,1)*$E$22*$B$22/12*INDEX(Cum_RetailRent,1,Assumptions!I$77)*RenewalRentFactor)))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IF(Assumptions!J$74=0,0,IF(Assumptions!J$72&lt;$C$22,0,IF(Assumptions!J$72&lt;=$D$22,$E$22*$B$22/12*(1+$F$22)^INT((Assumptions!J$72-$C$22)/12),IF(Assumptions!J$72&lt;=$D$22+RetailDowntime,0,1)*$E$22*$B$22/12*INDEX(Cum_RetailRent,1,Assumptions!J$77)*RenewalRentFactor)))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IF(Assumptions!K$74=0,0,IF(Assumptions!K$72&lt;$C$22,0,IF(Assumptions!K$72&lt;=$D$22,$E$22*$B$22/12*(1+$F$22)^INT((Assumptions!K$72-$C$22)/12),IF(Assumptions!K$72&lt;=$D$22+RetailDowntime,0,1)*$E$22*$B$22/12*INDEX(Cum_RetailRent,1,Assumptions!K$77)*RenewalRentFactor)))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IF(Assumptions!L$74=0,0,IF(Assumptions!L$72&lt;$C$22,0,IF(Assumptions!L$72&lt;=$D$22,$E$22*$B$22/12*(1+$F$22)^INT((Assumptions!L$72-$C$22)/12),IF(Assumptions!L$72&lt;=$D$22+RetailDowntime,0,1)*$E$22*$B$22/12*INDEX(Cum_RetailRent,1,Assumptions!L$77)*RenewalRentFactor)))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IF(Assumptions!M$74=0,0,IF(Assumptions!M$72&lt;$C$22,0,IF(Assumptions!M$72&lt;=$D$22,$E$22*$B$22/12*(1+$F$22)^INT((Assumptions!M$72-$C$22)/12),IF(Assumptions!M$72&lt;=$D$22+RetailDowntime,0,1)*$E$22*$B$22/12*INDEX(Cum_RetailRent,1,Assumptions!M$77)*RenewalRentFactor)))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IF(Assumptions!N$74=0,0,IF(Assumptions!N$72&lt;$C$22,0,IF(Assumptions!N$72&lt;=$D$22,$E$22*$B$22/12*(1+$F$22)^INT((Assumptions!N$72-$C$22)/12),IF(Assumptions!N$72&lt;=$D$22+RetailDowntime,0,1)*$E$22*$B$22/12*INDEX(Cum_RetailRent,1,Assumptions!N$77)*RenewalRentFactor)))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IF(Assumptions!O$74=0,0,IF(Assumptions!O$72&lt;$C$22,0,IF(Assumptions!O$72&lt;=$D$22,$E$22*$B$22/12*(1+$F$22)^INT((Assumptions!O$72-$C$22)/12),IF(Assumptions!O$72&lt;=$D$22+RetailDowntime,0,1)*$E$22*$B$22/12*INDEX(Cum_RetailRent,1,Assumptions!O$77)*RenewalRentFactor)))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IF(Assumptions!P$74=0,0,IF(Assumptions!P$72&lt;$C$22,0,IF(Assumptions!P$72&lt;=$D$22,$E$22*$B$22/12*(1+$F$22)^INT((Assumptions!P$72-$C$22)/12),IF(Assumptions!P$72&lt;=$D$22+RetailDowntime,0,1)*$E$22*$B$22/12*INDEX(Cum_RetailRent,1,Assumptions!P$77)*RenewalRentFactor)))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IF(Assumptions!Q$74=0,0,IF(Assumptions!Q$72&lt;$C$22,0,IF(Assumptions!Q$72&lt;=$D$22,$E$22*$B$22/12*(1+$F$22)^INT((Assumptions!Q$72-$C$22)/12),IF(Assumptions!Q$72&lt;=$D$22+RetailDowntime,0,1)*$E$22*$B$22/12*INDEX(Cum_RetailRent,1,Assumptions!Q$77)*RenewalRentFactor)))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IF(Assumptions!R$74=0,0,IF(Assumptions!R$72&lt;$C$22,0,IF(Assumptions!R$72&lt;=$D$22,$E$22*$B$22/12*(1+$F$22)^INT((Assumptions!R$72-$C$22)/12),IF(Assumptions!R$72&lt;=$D$22+RetailDowntime,0,1)*$E$22*$B$22/12*INDEX(Cum_RetailRent,1,Assumptions!R$77)*RenewalRentFactor)))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IF(Assumptions!S$74=0,0,IF(Assumptions!S$72&lt;$C$22,0,IF(Assumptions!S$72&lt;=$D$22,$E$22*$B$22/12*(1+$F$22)^INT((Assumptions!S$72-$C$22)/12),IF(Assumptions!S$72&lt;=$D$22+RetailDowntime,0,1)*$E$22*$B$22/12*INDEX(Cum_RetailRent,1,Assumptions!S$77)*RenewalRentFactor)))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IF(Assumptions!T$74=0,0,IF(Assumptions!T$72&lt;$C$22,0,IF(Assumptions!T$72&lt;=$D$22,$E$22*$B$22/12*(1+$F$22)^INT((Assumptions!T$72-$C$22)/12),IF(Assumptions!T$72&lt;=$D$22+RetailDowntime,0,1)*$E$22*$B$22/12*INDEX(Cum_RetailRent,1,Assumptions!T$77)*RenewalRentFactor)))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IF(Assumptions!U$74=0,0,IF(Assumptions!U$72&lt;$C$22,0,IF(Assumptions!U$72&lt;=$D$22,$E$22*$B$22/12*(1+$F$22)^INT((Assumptions!U$72-$C$22)/12),IF(Assumptions!U$72&lt;=$D$22+RetailDowntime,0,1)*$E$22*$B$22/12*INDEX(Cum_RetailRent,1,Assumptions!U$77)*RenewalRentFactor)))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IF(Assumptions!V$74=0,0,IF(Assumptions!V$72&lt;$C$22,0,IF(Assumptions!V$72&lt;=$D$22,$E$22*$B$22/12*(1+$F$22)^INT((Assumptions!V$72-$C$22)/12),IF(Assumptions!V$72&lt;=$D$22+RetailDowntime,0,1)*$E$22*$B$22/12*INDEX(Cum_RetailRent,1,Assumptions!V$77)*RenewalRentFactor)))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IF(Assumptions!W$74=0,0,IF(Assumptions!W$72&lt;$C$22,0,IF(Assumptions!W$72&lt;=$D$22,$E$22*$B$22/12*(1+$F$22)^INT((Assumptions!W$72-$C$22)/12),IF(Assumptions!W$72&lt;=$D$22+RetailDowntime,0,1)*$E$22*$B$22/12*INDEX(Cum_RetailRent,1,Assumptions!W$77)*RenewalRentFactor)))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IF(Assumptions!X$74=0,0,IF(Assumptions!X$72&lt;$C$22,0,IF(Assumptions!X$72&lt;=$D$22,$E$22*$B$22/12*(1+$F$22)^INT((Assumptions!X$72-$C$22)/12),IF(Assumptions!X$72&lt;=$D$22+RetailDowntime,0,1)*$E$22*$B$22/12*INDEX(Cum_RetailRent,1,Assumptions!X$77)*RenewalRentFactor)))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IF(Assumptions!Y$74=0,0,IF(Assumptions!Y$72&lt;$C$22,0,IF(Assumptions!Y$72&lt;=$D$22,$E$22*$B$22/12*(1+$F$22)^INT((Assumptions!Y$72-$C$22)/12),IF(Assumptions!Y$72&lt;=$D$22+RetailDowntime,0,1)*$E$22*$B$22/12*INDEX(Cum_RetailRent,1,Assumptions!Y$77)*RenewalRentFactor)))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IF(Assumptions!Z$74=0,0,IF(Assumptions!Z$72&lt;$C$22,0,IF(Assumptions!Z$72&lt;=$D$22,$E$22*$B$22/12*(1+$F$22)^INT((Assumptions!Z$72-$C$22)/12),IF(Assumptions!Z$72&lt;=$D$22+RetailDowntime,0,1)*$E$22*$B$22/12*INDEX(Cum_RetailRent,1,Assumptions!Z$77)*RenewalRentFactor)))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IF(Assumptions!AA$74=0,0,IF(Assumptions!AA$72&lt;$C$22,0,IF(Assumptions!AA$72&lt;=$D$22,$E$22*$B$22/12*(1+$F$22)^INT((Assumptions!AA$72-$C$22)/12),IF(Assumptions!AA$72&lt;=$D$22+RetailDowntime,0,1)*$E$22*$B$22/12*INDEX(Cum_RetailRent,1,Assumptions!AA$77)*RenewalRentFactor)))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IF(Assumptions!AB$74=0,0,IF(Assumptions!AB$72&lt;$C$22,0,IF(Assumptions!AB$72&lt;=$D$22,$E$22*$B$22/12*(1+$F$22)^INT((Assumptions!AB$72-$C$22)/12),IF(Assumptions!AB$72&lt;=$D$22+RetailDowntime,0,1)*$E$22*$B$22/12*INDEX(Cum_RetailRent,1,Assumptions!AB$77)*RenewalRentFactor)))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IF(Assumptions!AC$74=0,0,IF(Assumptions!AC$72&lt;$C$22,0,IF(Assumptions!AC$72&lt;=$D$22,$E$22*$B$22/12*(1+$F$22)^INT((Assumptions!AC$72-$C$22)/12),IF(Assumptions!AC$72&lt;=$D$22+RetailDowntime,0,1)*$E$22*$B$22/12*INDEX(Cum_RetailRent,1,Assumptions!AC$77)*RenewalRentFactor)))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IF(Assumptions!AD$74=0,0,IF(Assumptions!AD$72&lt;$C$22,0,IF(Assumptions!AD$72&lt;=$D$22,$E$22*$B$22/12*(1+$F$22)^INT((Assumptions!AD$72-$C$22)/12),IF(Assumptions!AD$72&lt;=$D$22+RetailDowntime,0,1)*$E$22*$B$22/12*INDEX(Cum_RetailRent,1,Assumptions!AD$77)*RenewalRentFactor)))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IF(Assumptions!AE$74=0,0,IF(Assumptions!AE$72&lt;$C$22,0,IF(Assumptions!AE$72&lt;=$D$22,$E$22*$B$22/12*(1+$F$22)^INT((Assumptions!AE$72-$C$22)/12),IF(Assumptions!AE$72&lt;=$D$22+RetailDowntime,0,1)*$E$22*$B$22/12*INDEX(Cum_RetailRent,1,Assumptions!AE$77)*RenewalRentFactor)))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IF(Assumptions!AF$74=0,0,IF(Assumptions!AF$72&lt;$C$22,0,IF(Assumptions!AF$72&lt;=$D$22,$E$22*$B$22/12*(1+$F$22)^INT((Assumptions!AF$72-$C$22)/12),IF(Assumptions!AF$72&lt;=$D$22+RetailDowntime,0,1)*$E$22*$B$22/12*INDEX(Cum_RetailRent,1,Assumptions!AF$77)*RenewalRentFactor)))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IF(Assumptions!AG$74=0,0,IF(Assumptions!AG$72&lt;$C$22,0,IF(Assumptions!AG$72&lt;=$D$22,$E$22*$B$22/12*(1+$F$22)^INT((Assumptions!AG$72-$C$22)/12),IF(Assumptions!AG$72&lt;=$D$22+RetailDowntime,0,1)*$E$22*$B$22/12*INDEX(Cum_RetailRent,1,Assumptions!AG$77)*RenewalRentFactor)))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IF(Assumptions!AH$74=0,0,IF(Assumptions!AH$72&lt;$C$22,0,IF(Assumptions!AH$72&lt;=$D$22,$E$22*$B$22/12*(1+$F$22)^INT((Assumptions!AH$72-$C$22)/12),IF(Assumptions!AH$72&lt;=$D$22+RetailDowntime,0,1)*$E$22*$B$22/12*INDEX(Cum_RetailRent,1,Assumptions!AH$77)*RenewalRentFactor)))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IF(Assumptions!AI$74=0,0,IF(Assumptions!AI$72&lt;$C$22,0,IF(Assumptions!AI$72&lt;=$D$22,$E$22*$B$22/12*(1+$F$22)^INT((Assumptions!AI$72-$C$22)/12),IF(Assumptions!AI$72&lt;=$D$22+RetailDowntime,0,1)*$E$22*$B$22/12*INDEX(Cum_RetailRent,1,Assumptions!AI$77)*RenewalRentFactor)))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IF(Assumptions!AJ$74=0,0,IF(Assumptions!AJ$72&lt;$C$22,0,IF(Assumptions!AJ$72&lt;=$D$22,$E$22*$B$22/12*(1+$F$22)^INT((Assumptions!AJ$72-$C$22)/12),IF(Assumptions!AJ$72&lt;=$D$22+RetailDowntime,0,1)*$E$22*$B$22/12*INDEX(Cum_RetailRent,1,Assumptions!AJ$77)*RenewalRentFactor)))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IF(Assumptions!AK$74=0,0,IF(Assumptions!AK$72&lt;$C$22,0,IF(Assumptions!AK$72&lt;=$D$22,$E$22*$B$22/12*(1+$F$22)^INT((Assumptions!AK$72-$C$22)/12),IF(Assumptions!AK$72&lt;=$D$22+RetailDowntime,0,1)*$E$22*$B$22/12*INDEX(Cum_RetailRent,1,Assumptions!AK$77)*RenewalRentFactor)))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IF(Assumptions!AL$74=0,0,IF(Assumptions!AL$72&lt;$C$22,0,IF(Assumptions!AL$72&lt;=$D$22,$E$22*$B$22/12*(1+$F$22)^INT((Assumptions!AL$72-$C$22)/12),IF(Assumptions!AL$72&lt;=$D$22+RetailDowntime,0,1)*$E$22*$B$22/12*INDEX(Cum_RetailRent,1,Assumptions!AL$77)*RenewalRentFactor)))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IF(Assumptions!AM$74=0,0,IF(Assumptions!AM$72&lt;$C$22,0,IF(Assumptions!AM$72&lt;=$D$22,$E$22*$B$22/12*(1+$F$22)^INT((Assumptions!AM$72-$C$22)/12),IF(Assumptions!AM$72&lt;=$D$22+RetailDowntime,0,1)*$E$22*$B$22/12*INDEX(Cum_RetailRent,1,Assumptions!AM$77)*RenewalRentFactor)))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IF(Assumptions!AN$74=0,0,IF(Assumptions!AN$72&lt;$C$22,0,IF(Assumptions!AN$72&lt;=$D$22,$E$22*$B$22/12*(1+$F$22)^INT((Assumptions!AN$72-$C$22)/12),IF(Assumptions!AN$72&lt;=$D$22+RetailDowntime,0,1)*$E$22*$B$22/12*INDEX(Cum_RetailRent,1,Assumptions!AN$77)*RenewalRentFactor)))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IF(Assumptions!AO$74=0,0,IF(Assumptions!AO$72&lt;$C$22,0,IF(Assumptions!AO$72&lt;=$D$22,$E$22*$B$22/12*(1+$F$22)^INT((Assumptions!AO$72-$C$22)/12),IF(Assumptions!AO$72&lt;=$D$22+RetailDowntime,0,1)*$E$22*$B$22/12*INDEX(Cum_RetailRent,1,Assumptions!AO$77)*RenewalRentFactor)))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IF(Assumptions!AP$74=0,0,IF(Assumptions!AP$72&lt;$C$22,0,IF(Assumptions!AP$72&lt;=$D$22,$E$22*$B$22/12*(1+$F$22)^INT((Assumptions!AP$72-$C$22)/12),IF(Assumptions!AP$72&lt;=$D$22+RetailDowntime,0,1)*$E$22*$B$22/12*INDEX(Cum_RetailRent,1,Assumptions!AP$77)*RenewalRentFactor)))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IF(Assumptions!AQ$74=0,0,IF(Assumptions!AQ$72&lt;$C$22,0,IF(Assumptions!AQ$72&lt;=$D$22,$E$22*$B$22/12*(1+$F$22)^INT((Assumptions!AQ$72-$C$22)/12),IF(Assumptions!AQ$72&lt;=$D$22+RetailDowntime,0,1)*$E$22*$B$22/12*INDEX(Cum_RetailRent,1,Assumptions!AQ$77)*RenewalRentFactor)))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IF(Assumptions!AR$74=0,0,IF(Assumptions!AR$72&lt;$C$22,0,IF(Assumptions!AR$72&lt;=$D$22,$E$22*$B$22/12*(1+$F$22)^INT((Assumptions!AR$72-$C$22)/12),IF(Assumptions!AR$72&lt;=$D$22+RetailDowntime,0,1)*$E$22*$B$22/12*INDEX(Cum_RetailRent,1,Assumptions!AR$77)*RenewalRentFactor)))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IF(Assumptions!AS$74=0,0,IF(Assumptions!AS$72&lt;$C$22,0,IF(Assumptions!AS$72&lt;=$D$22,$E$22*$B$22/12*(1+$F$22)^INT((Assumptions!AS$72-$C$22)/12),IF(Assumptions!AS$72&lt;=$D$22+RetailDowntime,0,1)*$E$22*$B$22/12*INDEX(Cum_RetailRent,1,Assumptions!AS$77)*RenewalRentFactor)))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IF(Assumptions!AT$74=0,0,IF(Assumptions!AT$72&lt;$C$22,0,IF(Assumptions!AT$72&lt;=$D$22,$E$22*$B$22/12*(1+$F$22)^INT((Assumptions!AT$72-$C$22)/12),IF(Assumptions!AT$72&lt;=$D$22+RetailDowntime,0,1)*$E$22*$B$22/12*INDEX(Cum_RetailRent,1,Assumptions!AT$77)*RenewalRentFactor)))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IF(Assumptions!AU$74=0,0,IF(Assumptions!AU$72&lt;$C$22,0,IF(Assumptions!AU$72&lt;=$D$22,$E$22*$B$22/12*(1+$F$22)^INT((Assumptions!AU$72-$C$22)/12),IF(Assumptions!AU$72&lt;=$D$22+RetailDowntime,0,1)*$E$22*$B$22/12*INDEX(Cum_RetailRent,1,Assumptions!AU$77)*RenewalRentFactor)))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IF(Assumptions!AV$74=0,0,IF(Assumptions!AV$72&lt;$C$22,0,IF(Assumptions!AV$72&lt;=$D$22,$E$22*$B$22/12*(1+$F$22)^INT((Assumptions!AV$72-$C$22)/12),IF(Assumptions!AV$72&lt;=$D$22+RetailDowntime,0,1)*$E$22*$B$22/12*INDEX(Cum_RetailRent,1,Assumptions!AV$77)*RenewalRentFactor)))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IF(Assumptions!AW$74=0,0,IF(Assumptions!AW$72&lt;$C$22,0,IF(Assumptions!AW$72&lt;=$D$22,$E$22*$B$22/12*(1+$F$22)^INT((Assumptions!AW$72-$C$22)/12),IF(Assumptions!AW$72&lt;=$D$22+RetailDowntime,0,1)*$E$22*$B$22/12*INDEX(Cum_RetailRent,1,Assumptions!AW$77)*RenewalRentFactor)))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IF(Assumptions!AX$74=0,0,IF(Assumptions!AX$72&lt;$C$22,0,IF(Assumptions!AX$72&lt;=$D$22,$E$22*$B$22/12*(1+$F$22)^INT((Assumptions!AX$72-$C$22)/12),IF(Assumptions!AX$72&lt;=$D$22+RetailDowntime,0,1)*$E$22*$B$22/12*INDEX(Cum_RetailRent,1,Assumptions!AX$77)*RenewalRentFactor)))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IF(Assumptions!AY$74=0,0,IF(Assumptions!AY$72&lt;$C$22,0,IF(Assumptions!AY$72&lt;=$D$22,$E$22*$B$22/12*(1+$F$22)^INT((Assumptions!AY$72-$C$22)/12),IF(Assumptions!AY$72&lt;=$D$22+RetailDowntime,0,1)*$E$22*$B$22/12*INDEX(Cum_RetailRent,1,Assumptions!AY$77)*RenewalRentFactor)))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IF(Assumptions!AZ$74=0,0,IF(Assumptions!AZ$72&lt;$C$22,0,IF(Assumptions!AZ$72&lt;=$D$22,$E$22*$B$22/12*(1+$F$22)^INT((Assumptions!AZ$72-$C$22)/12),IF(Assumptions!AZ$72&lt;=$D$22+RetailDowntime,0,1)*$E$22*$B$22/12*INDEX(Cum_RetailRent,1,Assumptions!AZ$77)*RenewalRentFactor)))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IF(Assumptions!BA$74=0,0,IF(Assumptions!BA$72&lt;$C$22,0,IF(Assumptions!BA$72&lt;=$D$22,$E$22*$B$22/12*(1+$F$22)^INT((Assumptions!BA$72-$C$22)/12),IF(Assumptions!BA$72&lt;=$D$22+RetailDowntime,0,1)*$E$22*$B$22/12*INDEX(Cum_RetailRent,1,Assumptions!BA$77)*RenewalRentFactor)))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IF(Assumptions!BB$74=0,0,IF(Assumptions!BB$72&lt;$C$22,0,IF(Assumptions!BB$72&lt;=$D$22,$E$22*$B$22/12*(1+$F$22)^INT((Assumptions!BB$72-$C$22)/12),IF(Assumptions!BB$72&lt;=$D$22+RetailDowntime,0,1)*$E$22*$B$22/12*INDEX(Cum_RetailRent,1,Assumptions!BB$77)*RenewalRentFactor)))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IF(Assumptions!BC$74=0,0,IF(Assumptions!BC$72&lt;$C$22,0,IF(Assumptions!BC$72&lt;=$D$22,$E$22*$B$22/12*(1+$F$22)^INT((Assumptions!BC$72-$C$22)/12),IF(Assumptions!BC$72&lt;=$D$22+RetailDowntime,0,1)*$E$22*$B$22/12*INDEX(Cum_RetailRent,1,Assumptions!BC$77)*RenewalRentFactor)))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IF(Assumptions!BD$74=0,0,IF(Assumptions!BD$72&lt;$C$22,0,IF(Assumptions!BD$72&lt;=$D$22,$E$22*$B$22/12*(1+$F$22)^INT((Assumptions!BD$72-$C$22)/12),IF(Assumptions!BD$72&lt;=$D$22+RetailDowntime,0,1)*$E$22*$B$22/12*INDEX(Cum_RetailRent,1,Assumptions!BD$77)*RenewalRentFactor)))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IF(Assumptions!BE$74=0,0,IF(Assumptions!BE$72&lt;$C$22,0,IF(Assumptions!BE$72&lt;=$D$22,$E$22*$B$22/12*(1+$F$22)^INT((Assumptions!BE$72-$C$22)/12),IF(Assumptions!BE$72&lt;=$D$22+RetailDowntime,0,1)*$E$22*$B$22/12*INDEX(Cum_RetailRent,1,Assumptions!BE$77)*RenewalRentFactor)))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IF(Assumptions!BF$74=0,0,IF(Assumptions!BF$72&lt;$C$22,0,IF(Assumptions!BF$72&lt;=$D$22,$E$22*$B$22/12*(1+$F$22)^INT((Assumptions!BF$72-$C$22)/12),IF(Assumptions!BF$72&lt;=$D$22+RetailDowntime,0,1)*$E$22*$B$22/12*INDEX(Cum_RetailRent,1,Assumptions!BF$77)*RenewalRentFactor)))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IF(Assumptions!BG$74=0,0,IF(Assumptions!BG$72&lt;$C$22,0,IF(Assumptions!BG$72&lt;=$D$22,$E$22*$B$22/12*(1+$F$22)^INT((Assumptions!BG$72-$C$22)/12),IF(Assumptions!BG$72&lt;=$D$22+RetailDowntime,0,1)*$E$22*$B$22/12*INDEX(Cum_RetailRent,1,Assumptions!BG$77)*RenewalRentFactor)))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IF(Assumptions!BH$74=0,0,IF(Assumptions!BH$72&lt;$C$22,0,IF(Assumptions!BH$72&lt;=$D$22,$E$22*$B$22/12*(1+$F$22)^INT((Assumptions!BH$72-$C$22)/12),IF(Assumptions!BH$72&lt;=$D$22+RetailDowntime,0,1)*$E$22*$B$22/12*INDEX(Cum_RetailRent,1,Assumptions!BH$77)*RenewalRentFactor)))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IF(Assumptions!BI$74=0,0,IF(Assumptions!BI$72&lt;$C$22,0,IF(Assumptions!BI$72&lt;=$D$22,$E$22*$B$22/12*(1+$F$22)^INT((Assumptions!BI$72-$C$22)/12),IF(Assumptions!BI$72&lt;=$D$22+RetailDowntime,0,1)*$E$22*$B$22/12*INDEX(Cum_RetailRent,1,Assumptions!BI$77)*RenewalRentFactor)))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IF(Assumptions!BJ$74=0,0,IF(Assumptions!BJ$72&lt;$C$22,0,IF(Assumptions!BJ$72&lt;=$D$22,$E$22*$B$22/12*(1+$F$22)^INT((Assumptions!BJ$72-$C$22)/12),IF(Assumptions!BJ$72&lt;=$D$22+RetailDowntime,0,1)*$E$22*$B$22/12*INDEX(Cum_RetailRent,1,Assumptions!BJ$77)*RenewalRentFactor)))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IF(Assumptions!BK$74=0,0,IF(Assumptions!BK$72&lt;$C$22,0,IF(Assumptions!BK$72&lt;=$D$22,$E$22*$B$22/12*(1+$F$22)^INT((Assumptions!BK$72-$C$22)/12),IF(Assumptions!BK$72&lt;=$D$22+RetailDowntime,0,1)*$E$22*$B$22/12*INDEX(Cum_RetailRent,1,Assumptions!BK$77)*RenewalRentFactor)))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IF(Assumptions!BL$74=0,0,IF(Assumptions!BL$72&lt;$C$22,0,IF(Assumptions!BL$72&lt;=$D$22,$E$22*$B$22/12*(1+$F$22)^INT((Assumptions!BL$72-$C$22)/12),IF(Assumptions!BL$72&lt;=$D$22+RetailDowntime,0,1)*$E$22*$B$22/12*INDEX(Cum_RetailRent,1,Assumptions!BL$77)*RenewalRentFactor)))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IF(Assumptions!BM$74=0,0,IF(Assumptions!BM$72&lt;$C$22,0,IF(Assumptions!BM$72&lt;=$D$22,$E$22*$B$22/12*(1+$F$22)^INT((Assumptions!BM$72-$C$22)/12),IF(Assumptions!BM$72&lt;=$D$22+RetailDowntime,0,1)*$E$22*$B$22/12*INDEX(Cum_RetailRent,1,Assumptions!BM$77)*RenewalRentFactor)))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IF(Assumptions!BN$74=0,0,IF(Assumptions!BN$72&lt;$C$22,0,IF(Assumptions!BN$72&lt;=$D$22,$E$22*$B$22/12*(1+$F$22)^INT((Assumptions!BN$72-$C$22)/12),IF(Assumptions!BN$72&lt;=$D$22+RetailDowntime,0,1)*$E$22*$B$22/12*INDEX(Cum_RetailRent,1,Assumptions!BN$77)*RenewalRentFactor)))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IF(Assumptions!BO$74=0,0,IF(Assumptions!BO$72&lt;$C$22,0,IF(Assumptions!BO$72&lt;=$D$22,$E$22*$B$22/12*(1+$F$22)^INT((Assumptions!BO$72-$C$22)/12),IF(Assumptions!BO$72&lt;=$D$22+RetailDowntime,0,1)*$E$22*$B$22/12*INDEX(Cum_RetailRent,1,Assumptions!BO$77)*RenewalRentFactor)))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IF(Assumptions!BP$74=0,0,IF(Assumptions!BP$72&lt;$C$22,0,IF(Assumptions!BP$72&lt;=$D$22,$E$22*$B$22/12*(1+$F$22)^INT((Assumptions!BP$72-$C$22)/12),IF(Assumptions!BP$72&lt;=$D$22+RetailDowntime,0,1)*$E$22*$B$22/12*INDEX(Cum_RetailRent,1,Assumptions!BP$77)*RenewalRentFactor)))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IF(Assumptions!BQ$74=0,0,IF(Assumptions!BQ$72&lt;$C$22,0,IF(Assumptions!BQ$72&lt;=$D$22,$E$22*$B$22/12*(1+$F$22)^INT((Assumptions!BQ$72-$C$22)/12),IF(Assumptions!BQ$72&lt;=$D$22+RetailDowntime,0,1)*$E$22*$B$22/12*INDEX(Cum_RetailRent,1,Assumptions!BQ$77)*RenewalRentFactor)))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IF(Assumptions!BR$74=0,0,IF(Assumptions!BR$72&lt;$C$22,0,IF(Assumptions!BR$72&lt;=$D$22,$E$22*$B$22/12*(1+$F$22)^INT((Assumptions!BR$72-$C$22)/12),IF(Assumptions!BR$72&lt;=$D$22+RetailDowntime,0,1)*$E$22*$B$22/12*INDEX(Cum_RetailRent,1,Assumptions!BR$77)*RenewalRentFactor)))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IF(Assumptions!BS$74=0,0,IF(Assumptions!BS$72&lt;$C$22,0,IF(Assumptions!BS$72&lt;=$D$22,$E$22*$B$22/12*(1+$F$22)^INT((Assumptions!BS$72-$C$22)/12),IF(Assumptions!BS$72&lt;=$D$22+RetailDowntime,0,1)*$E$22*$B$22/12*INDEX(Cum_RetailRent,1,Assumptions!BS$77)*RenewalRentFactor)))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IF(Assumptions!BT$74=0,0,IF(Assumptions!BT$72&lt;$C$22,0,IF(Assumptions!BT$72&lt;=$D$22,$E$22*$B$22/12*(1+$F$22)^INT((Assumptions!BT$72-$C$22)/12),IF(Assumptions!BT$72&lt;=$D$22+RetailDowntime,0,1)*$E$22*$B$22/12*INDEX(Cum_RetailRent,1,Assumptions!BT$77)*RenewalRentFactor)))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IF(Assumptions!BU$74=0,0,IF(Assumptions!BU$72&lt;$C$22,0,IF(Assumptions!BU$72&lt;=$D$22,$E$22*$B$22/12*(1+$F$22)^INT((Assumptions!BU$72-$C$22)/12),IF(Assumptions!BU$72&lt;=$D$22+RetailDowntime,0,1)*$E$22*$B$22/12*INDEX(Cum_RetailRent,1,Assumptions!BU$77)*RenewalRentFactor)))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IF(Assumptions!BV$74=0,0,IF(Assumptions!BV$72&lt;$C$22,0,IF(Assumptions!BV$72&lt;=$D$22,$E$22*$B$22/12*(1+$F$22)^INT((Assumptions!BV$72-$C$22)/12),IF(Assumptions!BV$72&lt;=$D$22+RetailDowntime,0,1)*$E$22*$B$22/12*INDEX(Cum_RetailRent,1,Assumptions!BV$77)*RenewalRentFactor)))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IF(Assumptions!BW$74=0,0,IF(Assumptions!BW$72&lt;$C$22,0,IF(Assumptions!BW$72&lt;=$D$22,$E$22*$B$22/12*(1+$F$22)^INT((Assumptions!BW$72-$C$22)/12),IF(Assumptions!BW$72&lt;=$D$22+RetailDowntime,0,1)*$E$22*$B$22/12*INDEX(Cum_RetailRent,1,Assumptions!BW$77)*RenewalRentFactor)))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IF(Assumptions!BX$74=0,0,IF(Assumptions!BX$72&lt;$C$22,0,IF(Assumptions!BX$72&lt;=$D$22,$E$22*$B$22/12*(1+$F$22)^INT((Assumptions!BX$72-$C$22)/12),IF(Assumptions!BX$72&lt;=$D$22+RetailDowntime,0,1)*$E$22*$B$22/12*INDEX(Cum_RetailRent,1,Assumptions!BX$77)*RenewalRentFactor)))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IF(Assumptions!BY$74=0,0,IF(Assumptions!BY$72&lt;$C$22,0,IF(Assumptions!BY$72&lt;=$D$22,$E$22*$B$22/12*(1+$F$22)^INT((Assumptions!BY$72-$C$22)/12),IF(Assumptions!BY$72&lt;=$D$22+RetailDowntime,0,1)*$E$22*$B$22/12*INDEX(Cum_RetailRent,1,Assumptions!BY$77)*RenewalRentFactor)))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IF(Assumptions!BZ$74=0,0,IF(Assumptions!BZ$72&lt;$C$22,0,IF(Assumptions!BZ$72&lt;=$D$22,$E$22*$B$22/12*(1+$F$22)^INT((Assumptions!BZ$72-$C$22)/12),IF(Assumptions!BZ$72&lt;=$D$22+RetailDowntime,0,1)*$E$22*$B$22/12*INDEX(Cum_RetailRent,1,Assumptions!BZ$77)*RenewalRentFactor)))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IF(Assumptions!CA$74=0,0,IF(Assumptions!CA$72&lt;$C$22,0,IF(Assumptions!CA$72&lt;=$D$22,$E$22*$B$22/12*(1+$F$22)^INT((Assumptions!CA$72-$C$22)/12),IF(Assumptions!CA$72&lt;=$D$22+RetailDowntime,0,1)*$E$22*$B$22/12*INDEX(Cum_RetailRent,1,Assumptions!CA$77)*RenewalRentFactor)))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IF(Assumptions!CB$74=0,0,IF(Assumptions!CB$72&lt;$C$22,0,IF(Assumptions!CB$72&lt;=$D$22,$E$22*$B$22/12*(1+$F$22)^INT((Assumptions!CB$72-$C$22)/12),IF(Assumptions!CB$72&lt;=$D$22+RetailDowntime,0,1)*$E$22*$B$22/12*INDEX(Cum_RetailRent,1,Assumptions!CB$77)*RenewalRentFactor)))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IF(Assumptions!CC$74=0,0,IF(Assumptions!CC$72&lt;$C$22,0,IF(Assumptions!CC$72&lt;=$D$22,$E$22*$B$22/12*(1+$F$22)^INT((Assumptions!CC$72-$C$22)/12),IF(Assumptions!CC$72&lt;=$D$22+RetailDowntime,0,1)*$E$22*$B$22/12*INDEX(Cum_RetailRent,1,Assumptions!CC$77)*RenewalRentFactor)))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IF(Assumptions!CD$74=0,0,IF(Assumptions!CD$72&lt;$C$22,0,IF(Assumptions!CD$72&lt;=$D$22,$E$22*$B$22/12*(1+$F$22)^INT((Assumptions!CD$72-$C$22)/12),IF(Assumptions!CD$72&lt;=$D$22+RetailDowntime,0,1)*$E$22*$B$22/12*INDEX(Cum_RetailRent,1,Assumptions!CD$77)*RenewalRentFactor)))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IF(Assumptions!CE$74=0,0,IF(Assumptions!CE$72&lt;$C$22,0,IF(Assumptions!CE$72&lt;=$D$22,$E$22*$B$22/12*(1+$F$22)^INT((Assumptions!CE$72-$C$22)/12),IF(Assumptions!CE$72&lt;=$D$22+RetailDowntime,0,1)*$E$22*$B$22/12*INDEX(Cum_RetailRent,1,Assumptions!CE$77)*RenewalRentFactor)))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IF(Assumptions!CF$74=0,0,IF(Assumptions!CF$72&lt;$C$22,0,IF(Assumptions!CF$72&lt;=$D$22,$E$22*$B$22/12*(1+$F$22)^INT((Assumptions!CF$72-$C$22)/12),IF(Assumptions!CF$72&lt;=$D$22+RetailDowntime,0,1)*$E$22*$B$22/12*INDEX(Cum_RetailRent,1,Assumptions!CF$77)*RenewalRentFactor)))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IF(Assumptions!CG$74=0,0,IF(Assumptions!CG$72&lt;$C$22,0,IF(Assumptions!CG$72&lt;=$D$22,$E$22*$B$22/12*(1+$F$22)^INT((Assumptions!CG$72-$C$22)/12),IF(Assumptions!CG$72&lt;=$D$22+RetailDowntime,0,1)*$E$22*$B$22/12*INDEX(Cum_RetailRent,1,Assumptions!CG$77)*RenewalRentFactor)))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IF(Assumptions!CH$74=0,0,IF(Assumptions!CH$72&lt;$C$22,0,IF(Assumptions!CH$72&lt;=$D$22,$E$22*$B$22/12*(1+$F$22)^INT((Assumptions!CH$72-$C$22)/12),IF(Assumptions!CH$72&lt;=$D$22+RetailDowntime,0,1)*$E$22*$B$22/12*INDEX(Cum_RetailRent,1,Assumptions!CH$77)*RenewalRentFactor)))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IF(Assumptions!CI$74=0,0,IF(Assumptions!CI$72&lt;$C$22,0,IF(Assumptions!CI$72&lt;=$D$22,$E$22*$B$22/12*(1+$F$22)^INT((Assumptions!CI$72-$C$22)/12),IF(Assumptions!CI$72&lt;=$D$22+RetailDowntime,0,1)*$E$22*$B$22/12*INDEX(Cum_RetailRent,1,Assumptions!CI$77)*RenewalRentFactor)))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IF(Assumptions!CJ$74=0,0,IF(Assumptions!CJ$72&lt;$C$22,0,IF(Assumptions!CJ$72&lt;=$D$22,$E$22*$B$22/12*(1+$F$22)^INT((Assumptions!CJ$72-$C$22)/12),IF(Assumptions!CJ$72&lt;=$D$22+RetailDowntime,0,1)*$E$22*$B$22/12*INDEX(Cum_RetailRent,1,Assumptions!CJ$77)*RenewalRentFactor)))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IF(Assumptions!CK$74=0,0,IF(Assumptions!CK$72&lt;$C$22,0,IF(Assumptions!CK$72&lt;=$D$22,$E$22*$B$22/12*(1+$F$22)^INT((Assumptions!CK$72-$C$22)/12),IF(Assumptions!CK$72&lt;=$D$22+RetailDowntime,0,1)*$E$22*$B$22/12*INDEX(Cum_RetailRent,1,Assumptions!CK$77)*RenewalRentFactor)))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IF(Assumptions!CL$74=0,0,IF(Assumptions!CL$72&lt;$C$22,0,IF(Assumptions!CL$72&lt;=$D$22,$E$22*$B$22/12*(1+$F$22)^INT((Assumptions!CL$72-$C$22)/12),IF(Assumptions!CL$72&lt;=$D$22+RetailDowntime,0,1)*$E$22*$B$22/12*INDEX(Cum_RetailRent,1,Assumptions!CL$77)*RenewalRentFactor)))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IF(Assumptions!CM$74=0,0,IF(Assumptions!CM$72&lt;$C$22,0,IF(Assumptions!CM$72&lt;=$D$22,$E$22*$B$22/12*(1+$F$22)^INT((Assumptions!CM$72-$C$22)/12),IF(Assumptions!CM$72&lt;=$D$22+RetailDowntime,0,1)*$E$22*$B$22/12*INDEX(Cum_RetailRent,1,Assumptions!CM$77)*RenewalRentFactor)))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IF(Assumptions!CN$74=0,0,IF(Assumptions!CN$72&lt;$C$22,0,IF(Assumptions!CN$72&lt;=$D$22,$E$22*$B$22/12*(1+$F$22)^INT((Assumptions!CN$72-$C$22)/12),IF(Assumptions!CN$72&lt;=$D$22+RetailDowntime,0,1)*$E$22*$B$22/12*INDEX(Cum_RetailRent,1,Assumptions!CN$77)*RenewalRentFactor)))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IF(Assumptions!CO$74=0,0,IF(Assumptions!CO$72&lt;$C$22,0,IF(Assumptions!CO$72&lt;=$D$22,$E$22*$B$22/12*(1+$F$22)^INT((Assumptions!CO$72-$C$22)/12),IF(Assumptions!CO$72&lt;=$D$22+RetailDowntime,0,1)*$E$22*$B$22/12*INDEX(Cum_RetailRent,1,Assumptions!CO$77)*RenewalRentFactor)))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IF(Assumptions!CP$74=0,0,IF(Assumptions!CP$72&lt;$C$22,0,IF(Assumptions!CP$72&lt;=$D$22,$E$22*$B$22/12*(1+$F$22)^INT((Assumptions!CP$72-$C$22)/12),IF(Assumptions!CP$72&lt;=$D$22+RetailDowntime,0,1)*$E$22*$B$22/12*INDEX(Cum_RetailRent,1,Assumptions!CP$77)*RenewalRentFactor)))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IF(Assumptions!CQ$74=0,0,IF(Assumptions!CQ$72&lt;$C$22,0,IF(Assumptions!CQ$72&lt;=$D$22,$E$22*$B$22/12*(1+$F$22)^INT((Assumptions!CQ$72-$C$22)/12),IF(Assumptions!CQ$72&lt;=$D$22+RetailDowntime,0,1)*$E$22*$B$22/12*INDEX(Cum_RetailRent,1,Assumptions!CQ$77)*RenewalRentFactor)))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IF(Assumptions!CR$74=0,0,IF(Assumptions!CR$72&lt;$C$22,0,IF(Assumptions!CR$72&lt;=$D$22,$E$22*$B$22/12*(1+$F$22)^INT((Assumptions!CR$72-$C$22)/12),IF(Assumptions!CR$72&lt;=$D$22+RetailDowntime,0,1)*$E$22*$B$22/12*INDEX(Cum_RetailRent,1,Assumptions!CR$77)*RenewalRentFactor)))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IF(Assumptions!CS$74=0,0,IF(Assumptions!CS$72&lt;$C$22,0,IF(Assumptions!CS$72&lt;=$D$22,$E$22*$B$22/12*(1+$F$22)^INT((Assumptions!CS$72-$C$22)/12),IF(Assumptions!CS$72&lt;=$D$22+RetailDowntime,0,1)*$E$22*$B$22/12*INDEX(Cum_RetailRent,1,Assumptions!CS$77)*RenewalRentFactor)))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IF(Assumptions!CT$74=0,0,IF(Assumptions!CT$72&lt;$C$22,0,IF(Assumptions!CT$72&lt;=$D$22,$E$22*$B$22/12*(1+$F$22)^INT((Assumptions!CT$72-$C$22)/12),IF(Assumptions!CT$72&lt;=$D$22+RetailDowntime,0,1)*$E$22*$B$22/12*INDEX(Cum_RetailRent,1,Assumptions!CT$77)*RenewalRentFactor)))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IF(Assumptions!CU$74=0,0,IF(Assumptions!CU$72&lt;$C$22,0,IF(Assumptions!CU$72&lt;=$D$22,$E$22*$B$22/12*(1+$F$22)^INT((Assumptions!CU$72-$C$22)/12),IF(Assumptions!CU$72&lt;=$D$22+RetailDowntime,0,1)*$E$22*$B$22/12*INDEX(Cum_RetailRent,1,Assumptions!CU$77)*RenewalRentFactor)))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IF(Assumptions!CV$74=0,0,IF(Assumptions!CV$72&lt;$C$22,0,IF(Assumptions!CV$72&lt;=$D$22,$E$22*$B$22/12*(1+$F$22)^INT((Assumptions!CV$72-$C$22)/12),IF(Assumptions!CV$72&lt;=$D$22+RetailDowntime,0,1)*$E$22*$B$22/12*INDEX(Cum_RetailRent,1,Assumptions!CV$77)*RenewalRentFactor)))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IF(Assumptions!CW$74=0,0,IF(Assumptions!CW$72&lt;$C$22,0,IF(Assumptions!CW$72&lt;=$D$22,$E$22*$B$22/12*(1+$F$22)^INT((Assumptions!CW$72-$C$22)/12),IF(Assumptions!CW$72&lt;=$D$22+RetailDowntime,0,1)*$E$22*$B$22/12*INDEX(Cum_RetailRent,1,Assumptions!CW$77)*RenewalRentFactor)))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IF(Assumptions!CX$74=0,0,IF(Assumptions!CX$72&lt;$C$22,0,IF(Assumptions!CX$72&lt;=$D$22,$E$22*$B$22/12*(1+$F$22)^INT((Assumptions!CX$72-$C$22)/12),IF(Assumptions!CX$72&lt;=$D$22+RetailDowntime,0,1)*$E$22*$B$22/12*INDEX(Cum_RetailRent,1,Assumptions!CX$77)*RenewalRentFactor)))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IF(Assumptions!CY$74=0,0,IF(Assumptions!CY$72&lt;$C$22,0,IF(Assumptions!CY$72&lt;=$D$22,$E$22*$B$22/12*(1+$F$22)^INT((Assumptions!CY$72-$C$22)/12),IF(Assumptions!CY$72&lt;=$D$22+RetailDowntime,0,1)*$E$22*$B$22/12*INDEX(Cum_RetailRent,1,Assumptions!CY$77)*RenewalRentFactor)))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IF(Assumptions!CZ$74=0,0,IF(Assumptions!CZ$72&lt;$C$22,0,IF(Assumptions!CZ$72&lt;=$D$22,$E$22*$B$22/12*(1+$F$22)^INT((Assumptions!CZ$72-$C$22)/12),IF(Assumptions!CZ$72&lt;=$D$22+RetailDowntime,0,1)*$E$22*$B$22/12*INDEX(Cum_RetailRent,1,Assumptions!CZ$77)*RenewalRentFactor)))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IF(Assumptions!DA$74=0,0,IF(Assumptions!DA$72&lt;$C$22,0,IF(Assumptions!DA$72&lt;=$D$22,$E$22*$B$22/12*(1+$F$22)^INT((Assumptions!DA$72-$C$22)/12),IF(Assumptions!DA$72&lt;=$D$22+RetailDowntime,0,1)*$E$22*$B$22/12*INDEX(Cum_RetailRent,1,Assumptions!DA$77)*RenewalRentFactor)))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IF(Assumptions!DB$74=0,0,IF(Assumptions!DB$72&lt;$C$22,0,IF(Assumptions!DB$72&lt;=$D$22,$E$22*$B$22/12*(1+$F$22)^INT((Assumptions!DB$72-$C$22)/12),IF(Assumptions!DB$72&lt;=$D$22+RetailDowntime,0,1)*$E$22*$B$22/12*INDEX(Cum_RetailRent,1,Assumptions!DB$77)*RenewalRentFactor)))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IF(Assumptions!DC$74=0,0,IF(Assumptions!DC$72&lt;$C$22,0,IF(Assumptions!DC$72&lt;=$D$22,$E$22*$B$22/12*(1+$F$22)^INT((Assumptions!DC$72-$C$22)/12),IF(Assumptions!DC$72&lt;=$D$22+RetailDowntime,0,1)*$E$22*$B$22/12*INDEX(Cum_RetailRent,1,Assumptions!DC$77)*RenewalRentFactor)))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IF(Assumptions!DD$74=0,0,IF(Assumptions!DD$72&lt;$C$22,0,IF(Assumptions!DD$72&lt;=$D$22,$E$22*$B$22/12*(1+$F$22)^INT((Assumptions!DD$72-$C$22)/12),IF(Assumptions!DD$72&lt;=$D$22+RetailDowntime,0,1)*$E$22*$B$22/12*INDEX(Cum_RetailRent,1,Assumptions!DD$77)*RenewalRentFactor)))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IF(Assumptions!DE$74=0,0,IF(Assumptions!DE$72&lt;$C$22,0,IF(Assumptions!DE$72&lt;=$D$22,$E$22*$B$22/12*(1+$F$22)^INT((Assumptions!DE$72-$C$22)/12),IF(Assumptions!DE$72&lt;=$D$22+RetailDowntime,0,1)*$E$22*$B$22/12*INDEX(Cum_RetailRent,1,Assumptions!DE$77)*RenewalRentFactor)))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IF(Assumptions!DF$74=0,0,IF(Assumptions!DF$72&lt;$C$22,0,IF(Assumptions!DF$72&lt;=$D$22,$E$22*$B$22/12*(1+$F$22)^INT((Assumptions!DF$72-$C$22)/12),IF(Assumptions!DF$72&lt;=$D$22+RetailDowntime,0,1)*$E$22*$B$22/12*INDEX(Cum_RetailRent,1,Assumptions!DF$77)*RenewalRentFactor)))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IF(Assumptions!DG$74=0,0,IF(Assumptions!DG$72&lt;$C$22,0,IF(Assumptions!DG$72&lt;=$D$22,$E$22*$B$22/12*(1+$F$22)^INT((Assumptions!DG$72-$C$22)/12),IF(Assumptions!DG$72&lt;=$D$22+RetailDowntime,0,1)*$E$22*$B$22/12*INDEX(Cum_RetailRent,1,Assumptions!DG$77)*RenewalRentFactor)))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IF(Assumptions!DH$74=0,0,IF(Assumptions!DH$72&lt;$C$22,0,IF(Assumptions!DH$72&lt;=$D$22,$E$22*$B$22/12*(1+$F$22)^INT((Assumptions!DH$72-$C$22)/12),IF(Assumptions!DH$72&lt;=$D$22+RetailDowntime,0,1)*$E$22*$B$22/12*INDEX(Cum_RetailRent,1,Assumptions!DH$77)*RenewalRentFactor)))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IF(Assumptions!DI$74=0,0,IF(Assumptions!DI$72&lt;$C$22,0,IF(Assumptions!DI$72&lt;=$D$22,$E$22*$B$22/12*(1+$F$22)^INT((Assumptions!DI$72-$C$22)/12),IF(Assumptions!DI$72&lt;=$D$22+RetailDowntime,0,1)*$E$22*$B$22/12*INDEX(Cum_RetailRent,1,Assumptions!DI$77)*RenewalRentFactor)))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IF(Assumptions!DJ$74=0,0,IF(Assumptions!DJ$72&lt;$C$22,0,IF(Assumptions!DJ$72&lt;=$D$22,$E$22*$B$22/12*(1+$F$22)^INT((Assumptions!DJ$72-$C$22)/12),IF(Assumptions!DJ$72&lt;=$D$22+RetailDowntime,0,1)*$E$22*$B$22/12*INDEX(Cum_RetailRent,1,Assumptions!DJ$77)*RenewalRentFactor)))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IF(Assumptions!DK$74=0,0,IF(Assumptions!DK$72&lt;$C$22,0,IF(Assumptions!DK$72&lt;=$D$22,$E$22*$B$22/12*(1+$F$22)^INT((Assumptions!DK$72-$C$22)/12),IF(Assumptions!DK$72&lt;=$D$22+RetailDowntime,0,1)*$E$22*$B$22/12*INDEX(Cum_RetailRent,1,Assumptions!DK$77)*RenewalRentFactor)))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IF(Assumptions!DL$74=0,0,IF(Assumptions!DL$72&lt;$C$22,0,IF(Assumptions!DL$72&lt;=$D$22,$E$22*$B$22/12*(1+$F$22)^INT((Assumptions!DL$72-$C$22)/12),IF(Assumptions!DL$72&lt;=$D$22+RetailDowntime,0,1)*$E$22*$B$22/12*INDEX(Cum_RetailRent,1,Assumptions!DL$77)*RenewalRentFactor)))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IF(Assumptions!DM$74=0,0,IF(Assumptions!DM$72&lt;$C$22,0,IF(Assumptions!DM$72&lt;=$D$22,$E$22*$B$22/12*(1+$F$22)^INT((Assumptions!DM$72-$C$22)/12),IF(Assumptions!DM$72&lt;=$D$22+RetailDowntime,0,1)*$E$22*$B$22/12*INDEX(Cum_RetailRent,1,Assumptions!DM$77)*RenewalRentFactor)))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IF(Assumptions!DN$74=0,0,IF(Assumptions!DN$72&lt;$C$22,0,IF(Assumptions!DN$72&lt;=$D$22,$E$22*$B$22/12*(1+$F$22)^INT((Assumptions!DN$72-$C$22)/12),IF(Assumptions!DN$72&lt;=$D$22+RetailDowntime,0,1)*$E$22*$B$22/12*INDEX(Cum_RetailRent,1,Assumptions!DN$77)*RenewalRentFactor)))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IF(Assumptions!DO$74=0,0,IF(Assumptions!DO$72&lt;$C$22,0,IF(Assumptions!DO$72&lt;=$D$22,$E$22*$B$22/12*(1+$F$22)^INT((Assumptions!DO$72-$C$22)/12),IF(Assumptions!DO$72&lt;=$D$22+RetailDowntime,0,1)*$E$22*$B$22/12*INDEX(Cum_RetailRent,1,Assumptions!DO$77)*RenewalRentFactor)))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IF(Assumptions!DP$74=0,0,IF(Assumptions!DP$72&lt;$C$22,0,IF(Assumptions!DP$72&lt;=$D$22,$E$22*$B$22/12*(1+$F$22)^INT((Assumptions!DP$72-$C$22)/12),IF(Assumptions!DP$72&lt;=$D$22+RetailDowntime,0,1)*$E$22*$B$22/12*INDEX(Cum_RetailRent,1,Assumptions!DP$77)*RenewalRentFactor)))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IF(Assumptions!DQ$74=0,0,IF(Assumptions!DQ$72&lt;$C$22,0,IF(Assumptions!DQ$72&lt;=$D$22,$E$22*$B$22/12*(1+$F$22)^INT((Assumptions!DQ$72-$C$22)/12),IF(Assumptions!DQ$72&lt;=$D$22+RetailDowntime,0,1)*$E$22*$B$22/12*INDEX(Cum_RetailRent,1,Assumptions!DQ$77)*RenewalRentFactor)))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IF(Assumptions!DR$74=0,0,IF(Assumptions!DR$72&lt;$C$22,0,IF(Assumptions!DR$72&lt;=$D$22,$E$22*$B$22/12*(1+$F$22)^INT((Assumptions!DR$72-$C$22)/12),IF(Assumptions!DR$72&lt;=$D$22+RetailDowntime,0,1)*$E$22*$B$22/12*INDEX(Cum_RetailRent,1,Assumptions!DR$77)*RenewalRentFactor)))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IF(Assumptions!DS$74=0,0,IF(Assumptions!DS$72&lt;$C$22,0,IF(Assumptions!DS$72&lt;=$D$22,$E$22*$B$22/12*(1+$F$22)^INT((Assumptions!DS$72-$C$22)/12),IF(Assumptions!DS$72&lt;=$D$22+RetailDowntime,0,1)*$E$22*$B$22/12*INDEX(Cum_RetailRent,1,Assumptions!DS$77)*RenewalRentFactor)))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IF(Assumptions!DT$74=0,0,IF(Assumptions!DT$72&lt;$C$22,0,IF(Assumptions!DT$72&lt;=$D$22,$E$22*$B$22/12*(1+$F$22)^INT((Assumptions!DT$72-$C$22)/12),IF(Assumptions!DT$72&lt;=$D$22+RetailDowntime,0,1)*$E$22*$B$22/12*INDEX(Cum_RetailRent,1,Assumptions!DT$77)*RenewalRentFactor)))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E$77)-1),INDEX(Cum_OpEx,1,Assumptions!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E$77)-1),INDEX(Cum_OpEx,1,Assumptions!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E$77)-1),INDEX(Cum_OpEx,1,Assumptions!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E$77)-1),INDEX(Cum_OpEx,1,Assumptions!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E$77)-1),INDEX(Cum_OpEx,1,Assumptions!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E$77)-1),INDEX(Cum_OpEx,1,Assumptions!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F$77)-1),INDEX(Cum_OpEx,1,Assumptions!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F$77)-1),INDEX(Cum_OpEx,1,Assumptions!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F$77)-1),INDEX(Cum_OpEx,1,Assumptions!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F$77)-1),INDEX(Cum_OpEx,1,Assumptions!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F$77)-1),INDEX(Cum_OpEx,1,Assumptions!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F$77)-1),INDEX(Cum_OpEx,1,Assumptions!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G$77)-1),INDEX(Cum_OpEx,1,Assumptions!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G$77)-1),INDEX(Cum_OpEx,1,Assumptions!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G$77)-1),INDEX(Cum_OpEx,1,Assumptions!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G$77)-1),INDEX(Cum_OpEx,1,Assumptions!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G$77)-1),INDEX(Cum_OpEx,1,Assumptions!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G$77)-1),INDEX(Cum_OpEx,1,Assumptions!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H$77)-1),INDEX(Cum_OpEx,1,Assumptions!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H$77)-1),INDEX(Cum_OpEx,1,Assumptions!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H$77)-1),INDEX(Cum_OpEx,1,Assumptions!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H$77)-1),INDEX(Cum_OpEx,1,Assumptions!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H$77)-1),INDEX(Cum_OpEx,1,Assumptions!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H$77)-1),INDEX(Cum_OpEx,1,Assumptions!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I$77)-1),INDEX(Cum_OpEx,1,Assumptions!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I$77)-1),INDEX(Cum_OpEx,1,Assumptions!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I$77)-1),INDEX(Cum_OpEx,1,Assumptions!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I$77)-1),INDEX(Cum_OpEx,1,Assumptions!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I$77)-1),INDEX(Cum_OpEx,1,Assumptions!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I$77)-1),INDEX(Cum_OpEx,1,Assumptions!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J$77)-1),INDEX(Cum_OpEx,1,Assumptions!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J$77)-1),INDEX(Cum_OpEx,1,Assumptions!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J$77)-1),INDEX(Cum_OpEx,1,Assumptions!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J$77)-1),INDEX(Cum_OpEx,1,Assumptions!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J$77)-1),INDEX(Cum_OpEx,1,Assumptions!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J$77)-1),INDEX(Cum_OpEx,1,Assumptions!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K$77)-1),INDEX(Cum_OpEx,1,Assumptions!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K$77)-1),INDEX(Cum_OpEx,1,Assumptions!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K$77)-1),INDEX(Cum_OpEx,1,Assumptions!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K$77)-1),INDEX(Cum_OpEx,1,Assumptions!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K$77)-1),INDEX(Cum_OpEx,1,Assumptions!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K$77)-1),INDEX(Cum_OpEx,1,Assumptions!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L$77)-1),INDEX(Cum_OpEx,1,Assumptions!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L$77)-1),INDEX(Cum_OpEx,1,Assumptions!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L$77)-1),INDEX(Cum_OpEx,1,Assumptions!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L$77)-1),INDEX(Cum_OpEx,1,Assumptions!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L$77)-1),INDEX(Cum_OpEx,1,Assumptions!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L$77)-1),INDEX(Cum_OpEx,1,Assumptions!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M$77)-1),INDEX(Cum_OpEx,1,Assumptions!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M$77)-1),INDEX(Cum_OpEx,1,Assumptions!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M$77)-1),INDEX(Cum_OpEx,1,Assumptions!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M$77)-1),INDEX(Cum_OpEx,1,Assumptions!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M$77)-1),INDEX(Cum_OpEx,1,Assumptions!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M$77)-1),INDEX(Cum_OpEx,1,Assumptions!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N$77)-1),INDEX(Cum_OpEx,1,Assumptions!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N$77)-1),INDEX(Cum_OpEx,1,Assumptions!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N$77)-1),INDEX(Cum_OpEx,1,Assumptions!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N$77)-1),INDEX(Cum_OpEx,1,Assumptions!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N$77)-1),INDEX(Cum_OpEx,1,Assumptions!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N$77)-1),INDEX(Cum_OpEx,1,Assumptions!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O$77)-1),INDEX(Cum_OpEx,1,Assumptions!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O$77)-1),INDEX(Cum_OpEx,1,Assumptions!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O$77)-1),INDEX(Cum_OpEx,1,Assumptions!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O$77)-1),INDEX(Cum_OpEx,1,Assumptions!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O$77)-1),INDEX(Cum_OpEx,1,Assumptions!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O$77)-1),INDEX(Cum_OpEx,1,Assumptions!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P$77)-1),INDEX(Cum_OpEx,1,Assumptions!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P$77)-1),INDEX(Cum_OpEx,1,Assumptions!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P$77)-1),INDEX(Cum_OpEx,1,Assumptions!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P$77)-1),INDEX(Cum_OpEx,1,Assumptions!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P$77)-1),INDEX(Cum_OpEx,1,Assumptions!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P$77)-1),INDEX(Cum_OpEx,1,Assumptions!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Q$77)-1),INDEX(Cum_OpEx,1,Assumptions!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Q$77)-1),INDEX(Cum_OpEx,1,Assumptions!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Q$77)-1),INDEX(Cum_OpEx,1,Assumptions!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Q$77)-1),INDEX(Cum_OpEx,1,Assumptions!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Q$77)-1),INDEX(Cum_OpEx,1,Assumptions!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Q$77)-1),INDEX(Cum_OpEx,1,Assumptions!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R$77)-1),INDEX(Cum_OpEx,1,Assumptions!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R$77)-1),INDEX(Cum_OpEx,1,Assumptions!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R$77)-1),INDEX(Cum_OpEx,1,Assumptions!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R$77)-1),INDEX(Cum_OpEx,1,Assumptions!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R$77)-1),INDEX(Cum_OpEx,1,Assumptions!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R$77)-1),INDEX(Cum_OpEx,1,Assumptions!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S$77)-1),INDEX(Cum_OpEx,1,Assumptions!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S$77)-1),INDEX(Cum_OpEx,1,Assumptions!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S$77)-1),INDEX(Cum_OpEx,1,Assumptions!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S$77)-1),INDEX(Cum_OpEx,1,Assumptions!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S$77)-1),INDEX(Cum_OpEx,1,Assumptions!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S$77)-1),INDEX(Cum_OpEx,1,Assumptions!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T$77)-1),INDEX(Cum_OpEx,1,Assumptions!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T$77)-1),INDEX(Cum_OpEx,1,Assumptions!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T$77)-1),INDEX(Cum_OpEx,1,Assumptions!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T$77)-1),INDEX(Cum_OpEx,1,Assumptions!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T$77)-1),INDEX(Cum_OpEx,1,Assumptions!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T$77)-1),INDEX(Cum_OpEx,1,Assumptions!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U$77)-1),INDEX(Cum_OpEx,1,Assumptions!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U$77)-1),INDEX(Cum_OpEx,1,Assumptions!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U$77)-1),INDEX(Cum_OpEx,1,Assumptions!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U$77)-1),INDEX(Cum_OpEx,1,Assumptions!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U$77)-1),INDEX(Cum_OpEx,1,Assumptions!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U$77)-1),INDEX(Cum_OpEx,1,Assumptions!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V$77)-1),INDEX(Cum_OpEx,1,Assumptions!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V$77)-1),INDEX(Cum_OpEx,1,Assumptions!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V$77)-1),INDEX(Cum_OpEx,1,Assumptions!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V$77)-1),INDEX(Cum_OpEx,1,Assumptions!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V$77)-1),INDEX(Cum_OpEx,1,Assumptions!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V$77)-1),INDEX(Cum_OpEx,1,Assumptions!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W$77)-1),INDEX(Cum_OpEx,1,Assumptions!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W$77)-1),INDEX(Cum_OpEx,1,Assumptions!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W$77)-1),INDEX(Cum_OpEx,1,Assumptions!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W$77)-1),INDEX(Cum_OpEx,1,Assumptions!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W$77)-1),INDEX(Cum_OpEx,1,Assumptions!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W$77)-1),INDEX(Cum_OpEx,1,Assumptions!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X$77)-1),INDEX(Cum_OpEx,1,Assumptions!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X$77)-1),INDEX(Cum_OpEx,1,Assumptions!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X$77)-1),INDEX(Cum_OpEx,1,Assumptions!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X$77)-1),INDEX(Cum_OpEx,1,Assumptions!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X$77)-1),INDEX(Cum_OpEx,1,Assumptions!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X$77)-1),INDEX(Cum_OpEx,1,Assumptions!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Y$77)-1),INDEX(Cum_OpEx,1,Assumptions!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Y$77)-1),INDEX(Cum_OpEx,1,Assumptions!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Y$77)-1),INDEX(Cum_OpEx,1,Assumptions!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Y$77)-1),INDEX(Cum_OpEx,1,Assumptions!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Y$77)-1),INDEX(Cum_OpEx,1,Assumptions!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Y$77)-1),INDEX(Cum_OpEx,1,Assumptions!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Z$77)-1),INDEX(Cum_OpEx,1,Assumptions!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Z$77)-1),INDEX(Cum_OpEx,1,Assumptions!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Z$77)-1),INDEX(Cum_OpEx,1,Assumptions!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Z$77)-1),INDEX(Cum_OpEx,1,Assumptions!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Z$77)-1),INDEX(Cum_OpEx,1,Assumptions!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Z$77)-1),INDEX(Cum_OpEx,1,Assumptions!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A$77)-1),INDEX(Cum_OpEx,1,Assumptions!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A$77)-1),INDEX(Cum_OpEx,1,Assumptions!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A$77)-1),INDEX(Cum_OpEx,1,Assumptions!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A$77)-1),INDEX(Cum_OpEx,1,Assumptions!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A$77)-1),INDEX(Cum_OpEx,1,Assumptions!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A$77)-1),INDEX(Cum_OpEx,1,Assumptions!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B$77)-1),INDEX(Cum_OpEx,1,Assumptions!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B$77)-1),INDEX(Cum_OpEx,1,Assumptions!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B$77)-1),INDEX(Cum_OpEx,1,Assumptions!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B$77)-1),INDEX(Cum_OpEx,1,Assumptions!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B$77)-1),INDEX(Cum_OpEx,1,Assumptions!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B$77)-1),INDEX(Cum_OpEx,1,Assumptions!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C$77)-1),INDEX(Cum_OpEx,1,Assumptions!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C$77)-1),INDEX(Cum_OpEx,1,Assumptions!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C$77)-1),INDEX(Cum_OpEx,1,Assumptions!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C$77)-1),INDEX(Cum_OpEx,1,Assumptions!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C$77)-1),INDEX(Cum_OpEx,1,Assumptions!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C$77)-1),INDEX(Cum_OpEx,1,Assumptions!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D$77)-1),INDEX(Cum_OpEx,1,Assumptions!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D$77)-1),INDEX(Cum_OpEx,1,Assumptions!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D$77)-1),INDEX(Cum_OpEx,1,Assumptions!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D$77)-1),INDEX(Cum_OpEx,1,Assumptions!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D$77)-1),INDEX(Cum_OpEx,1,Assumptions!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D$77)-1),INDEX(Cum_OpEx,1,Assumptions!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E$77)-1),INDEX(Cum_OpEx,1,Assumptions!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E$77)-1),INDEX(Cum_OpEx,1,Assumptions!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E$77)-1),INDEX(Cum_OpEx,1,Assumptions!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E$77)-1),INDEX(Cum_OpEx,1,Assumptions!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E$77)-1),INDEX(Cum_OpEx,1,Assumptions!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E$77)-1),INDEX(Cum_OpEx,1,Assumptions!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F$77)-1),INDEX(Cum_OpEx,1,Assumptions!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F$77)-1),INDEX(Cum_OpEx,1,Assumptions!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F$77)-1),INDEX(Cum_OpEx,1,Assumptions!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F$77)-1),INDEX(Cum_OpEx,1,Assumptions!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F$77)-1),INDEX(Cum_OpEx,1,Assumptions!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F$77)-1),INDEX(Cum_OpEx,1,Assumptions!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G$77)-1),INDEX(Cum_OpEx,1,Assumptions!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G$77)-1),INDEX(Cum_OpEx,1,Assumptions!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G$77)-1),INDEX(Cum_OpEx,1,Assumptions!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G$77)-1),INDEX(Cum_OpEx,1,Assumptions!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G$77)-1),INDEX(Cum_OpEx,1,Assumptions!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G$77)-1),INDEX(Cum_OpEx,1,Assumptions!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H$77)-1),INDEX(Cum_OpEx,1,Assumptions!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H$77)-1),INDEX(Cum_OpEx,1,Assumptions!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H$77)-1),INDEX(Cum_OpEx,1,Assumptions!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H$77)-1),INDEX(Cum_OpEx,1,Assumptions!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H$77)-1),INDEX(Cum_OpEx,1,Assumptions!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H$77)-1),INDEX(Cum_OpEx,1,Assumptions!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I$77)-1),INDEX(Cum_OpEx,1,Assumptions!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I$77)-1),INDEX(Cum_OpEx,1,Assumptions!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I$77)-1),INDEX(Cum_OpEx,1,Assumptions!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I$77)-1),INDEX(Cum_OpEx,1,Assumptions!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I$77)-1),INDEX(Cum_OpEx,1,Assumptions!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I$77)-1),INDEX(Cum_OpEx,1,Assumptions!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J$77)-1),INDEX(Cum_OpEx,1,Assumptions!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J$77)-1),INDEX(Cum_OpEx,1,Assumptions!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J$77)-1),INDEX(Cum_OpEx,1,Assumptions!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J$77)-1),INDEX(Cum_OpEx,1,Assumptions!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J$77)-1),INDEX(Cum_OpEx,1,Assumptions!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J$77)-1),INDEX(Cum_OpEx,1,Assumptions!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K$77)-1),INDEX(Cum_OpEx,1,Assumptions!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K$77)-1),INDEX(Cum_OpEx,1,Assumptions!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K$77)-1),INDEX(Cum_OpEx,1,Assumptions!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K$77)-1),INDEX(Cum_OpEx,1,Assumptions!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K$77)-1),INDEX(Cum_OpEx,1,Assumptions!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K$77)-1),INDEX(Cum_OpEx,1,Assumptions!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L$77)-1),INDEX(Cum_OpEx,1,Assumptions!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L$77)-1),INDEX(Cum_OpEx,1,Assumptions!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L$77)-1),INDEX(Cum_OpEx,1,Assumptions!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L$77)-1),INDEX(Cum_OpEx,1,Assumptions!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L$77)-1),INDEX(Cum_OpEx,1,Assumptions!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L$77)-1),INDEX(Cum_OpEx,1,Assumptions!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M$77)-1),INDEX(Cum_OpEx,1,Assumptions!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M$77)-1),INDEX(Cum_OpEx,1,Assumptions!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M$77)-1),INDEX(Cum_OpEx,1,Assumptions!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M$77)-1),INDEX(Cum_OpEx,1,Assumptions!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M$77)-1),INDEX(Cum_OpEx,1,Assumptions!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M$77)-1),INDEX(Cum_OpEx,1,Assumptions!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N$77)-1),INDEX(Cum_OpEx,1,Assumptions!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N$77)-1),INDEX(Cum_OpEx,1,Assumptions!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N$77)-1),INDEX(Cum_OpEx,1,Assumptions!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N$77)-1),INDEX(Cum_OpEx,1,Assumptions!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N$77)-1),INDEX(Cum_OpEx,1,Assumptions!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N$77)-1),INDEX(Cum_OpEx,1,Assumptions!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O$77)-1),INDEX(Cum_OpEx,1,Assumptions!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O$77)-1),INDEX(Cum_OpEx,1,Assumptions!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O$77)-1),INDEX(Cum_OpEx,1,Assumptions!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O$77)-1),INDEX(Cum_OpEx,1,Assumptions!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O$77)-1),INDEX(Cum_OpEx,1,Assumptions!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O$77)-1),INDEX(Cum_OpEx,1,Assumptions!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P$77)-1),INDEX(Cum_OpEx,1,Assumptions!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P$77)-1),INDEX(Cum_OpEx,1,Assumptions!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P$77)-1),INDEX(Cum_OpEx,1,Assumptions!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P$77)-1),INDEX(Cum_OpEx,1,Assumptions!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P$77)-1),INDEX(Cum_OpEx,1,Assumptions!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P$77)-1),INDEX(Cum_OpEx,1,Assumptions!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Q$77)-1),INDEX(Cum_OpEx,1,Assumptions!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Q$77)-1),INDEX(Cum_OpEx,1,Assumptions!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Q$77)-1),INDEX(Cum_OpEx,1,Assumptions!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Q$77)-1),INDEX(Cum_OpEx,1,Assumptions!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Q$77)-1),INDEX(Cum_OpEx,1,Assumptions!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Q$77)-1),INDEX(Cum_OpEx,1,Assumptions!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R$77)-1),INDEX(Cum_OpEx,1,Assumptions!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R$77)-1),INDEX(Cum_OpEx,1,Assumptions!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R$77)-1),INDEX(Cum_OpEx,1,Assumptions!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R$77)-1),INDEX(Cum_OpEx,1,Assumptions!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R$77)-1),INDEX(Cum_OpEx,1,Assumptions!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R$77)-1),INDEX(Cum_OpEx,1,Assumptions!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S$77)-1),INDEX(Cum_OpEx,1,Assumptions!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S$77)-1),INDEX(Cum_OpEx,1,Assumptions!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S$77)-1),INDEX(Cum_OpEx,1,Assumptions!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S$77)-1),INDEX(Cum_OpEx,1,Assumptions!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S$77)-1),INDEX(Cum_OpEx,1,Assumptions!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S$77)-1),INDEX(Cum_OpEx,1,Assumptions!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T$77)-1),INDEX(Cum_OpEx,1,Assumptions!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T$77)-1),INDEX(Cum_OpEx,1,Assumptions!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T$77)-1),INDEX(Cum_OpEx,1,Assumptions!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T$77)-1),INDEX(Cum_OpEx,1,Assumptions!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T$77)-1),INDEX(Cum_OpEx,1,Assumptions!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T$77)-1),INDEX(Cum_OpEx,1,Assumptions!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U$77)-1),INDEX(Cum_OpEx,1,Assumptions!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U$77)-1),INDEX(Cum_OpEx,1,Assumptions!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U$77)-1),INDEX(Cum_OpEx,1,Assumptions!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U$77)-1),INDEX(Cum_OpEx,1,Assumptions!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U$77)-1),INDEX(Cum_OpEx,1,Assumptions!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U$77)-1),INDEX(Cum_OpEx,1,Assumptions!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V$77)-1),INDEX(Cum_OpEx,1,Assumptions!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V$77)-1),INDEX(Cum_OpEx,1,Assumptions!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V$77)-1),INDEX(Cum_OpEx,1,Assumptions!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V$77)-1),INDEX(Cum_OpEx,1,Assumptions!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V$77)-1),INDEX(Cum_OpEx,1,Assumptions!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V$77)-1),INDEX(Cum_OpEx,1,Assumptions!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W$77)-1),INDEX(Cum_OpEx,1,Assumptions!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W$77)-1),INDEX(Cum_OpEx,1,Assumptions!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W$77)-1),INDEX(Cum_OpEx,1,Assumptions!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W$77)-1),INDEX(Cum_OpEx,1,Assumptions!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W$77)-1),INDEX(Cum_OpEx,1,Assumptions!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W$77)-1),INDEX(Cum_OpEx,1,Assumptions!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X$77)-1),INDEX(Cum_OpEx,1,Assumptions!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X$77)-1),INDEX(Cum_OpEx,1,Assumptions!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X$77)-1),INDEX(Cum_OpEx,1,Assumptions!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X$77)-1),INDEX(Cum_OpEx,1,Assumptions!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X$77)-1),INDEX(Cum_OpEx,1,Assumptions!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X$77)-1),INDEX(Cum_OpEx,1,Assumptions!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Y$77)-1),INDEX(Cum_OpEx,1,Assumptions!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Y$77)-1),INDEX(Cum_OpEx,1,Assumptions!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Y$77)-1),INDEX(Cum_OpEx,1,Assumptions!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Y$77)-1),INDEX(Cum_OpEx,1,Assumptions!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Y$77)-1),INDEX(Cum_OpEx,1,Assumptions!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Y$77)-1),INDEX(Cum_OpEx,1,Assumptions!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AZ$77)-1),INDEX(Cum_OpEx,1,Assumptions!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AZ$77)-1),INDEX(Cum_OpEx,1,Assumptions!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AZ$77)-1),INDEX(Cum_OpEx,1,Assumptions!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AZ$77)-1),INDEX(Cum_OpEx,1,Assumptions!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AZ$77)-1),INDEX(Cum_OpEx,1,Assumptions!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AZ$77)-1),INDEX(Cum_OpEx,1,Assumptions!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A$77)-1),INDEX(Cum_OpEx,1,Assumptions!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A$77)-1),INDEX(Cum_OpEx,1,Assumptions!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A$77)-1),INDEX(Cum_OpEx,1,Assumptions!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A$77)-1),INDEX(Cum_OpEx,1,Assumptions!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A$77)-1),INDEX(Cum_OpEx,1,Assumptions!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A$77)-1),INDEX(Cum_OpEx,1,Assumptions!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B$77)-1),INDEX(Cum_OpEx,1,Assumptions!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B$77)-1),INDEX(Cum_OpEx,1,Assumptions!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B$77)-1),INDEX(Cum_OpEx,1,Assumptions!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B$77)-1),INDEX(Cum_OpEx,1,Assumptions!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B$77)-1),INDEX(Cum_OpEx,1,Assumptions!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B$77)-1),INDEX(Cum_OpEx,1,Assumptions!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C$77)-1),INDEX(Cum_OpEx,1,Assumptions!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C$77)-1),INDEX(Cum_OpEx,1,Assumptions!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C$77)-1),INDEX(Cum_OpEx,1,Assumptions!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C$77)-1),INDEX(Cum_OpEx,1,Assumptions!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C$77)-1),INDEX(Cum_OpEx,1,Assumptions!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C$77)-1),INDEX(Cum_OpEx,1,Assumptions!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D$77)-1),INDEX(Cum_OpEx,1,Assumptions!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D$77)-1),INDEX(Cum_OpEx,1,Assumptions!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D$77)-1),INDEX(Cum_OpEx,1,Assumptions!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D$77)-1),INDEX(Cum_OpEx,1,Assumptions!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D$77)-1),INDEX(Cum_OpEx,1,Assumptions!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D$77)-1),INDEX(Cum_OpEx,1,Assumptions!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E$77)-1),INDEX(Cum_OpEx,1,Assumptions!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E$77)-1),INDEX(Cum_OpEx,1,Assumptions!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E$77)-1),INDEX(Cum_OpEx,1,Assumptions!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E$77)-1),INDEX(Cum_OpEx,1,Assumptions!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E$77)-1),INDEX(Cum_OpEx,1,Assumptions!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E$77)-1),INDEX(Cum_OpEx,1,Assumptions!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F$77)-1),INDEX(Cum_OpEx,1,Assumptions!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F$77)-1),INDEX(Cum_OpEx,1,Assumptions!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F$77)-1),INDEX(Cum_OpEx,1,Assumptions!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F$77)-1),INDEX(Cum_OpEx,1,Assumptions!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F$77)-1),INDEX(Cum_OpEx,1,Assumptions!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F$77)-1),INDEX(Cum_OpEx,1,Assumptions!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G$77)-1),INDEX(Cum_OpEx,1,Assumptions!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G$77)-1),INDEX(Cum_OpEx,1,Assumptions!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G$77)-1),INDEX(Cum_OpEx,1,Assumptions!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G$77)-1),INDEX(Cum_OpEx,1,Assumptions!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G$77)-1),INDEX(Cum_OpEx,1,Assumptions!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G$77)-1),INDEX(Cum_OpEx,1,Assumptions!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H$77)-1),INDEX(Cum_OpEx,1,Assumptions!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H$77)-1),INDEX(Cum_OpEx,1,Assumptions!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H$77)-1),INDEX(Cum_OpEx,1,Assumptions!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H$77)-1),INDEX(Cum_OpEx,1,Assumptions!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H$77)-1),INDEX(Cum_OpEx,1,Assumptions!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H$77)-1),INDEX(Cum_OpEx,1,Assumptions!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I$77)-1),INDEX(Cum_OpEx,1,Assumptions!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I$77)-1),INDEX(Cum_OpEx,1,Assumptions!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I$77)-1),INDEX(Cum_OpEx,1,Assumptions!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I$77)-1),INDEX(Cum_OpEx,1,Assumptions!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I$77)-1),INDEX(Cum_OpEx,1,Assumptions!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I$77)-1),INDEX(Cum_OpEx,1,Assumptions!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J$77)-1),INDEX(Cum_OpEx,1,Assumptions!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J$77)-1),INDEX(Cum_OpEx,1,Assumptions!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J$77)-1),INDEX(Cum_OpEx,1,Assumptions!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J$77)-1),INDEX(Cum_OpEx,1,Assumptions!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J$77)-1),INDEX(Cum_OpEx,1,Assumptions!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J$77)-1),INDEX(Cum_OpEx,1,Assumptions!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K$77)-1),INDEX(Cum_OpEx,1,Assumptions!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K$77)-1),INDEX(Cum_OpEx,1,Assumptions!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K$77)-1),INDEX(Cum_OpEx,1,Assumptions!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K$77)-1),INDEX(Cum_OpEx,1,Assumptions!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K$77)-1),INDEX(Cum_OpEx,1,Assumptions!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K$77)-1),INDEX(Cum_OpEx,1,Assumptions!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L$77)-1),INDEX(Cum_OpEx,1,Assumptions!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L$77)-1),INDEX(Cum_OpEx,1,Assumptions!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L$77)-1),INDEX(Cum_OpEx,1,Assumptions!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L$77)-1),INDEX(Cum_OpEx,1,Assumptions!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L$77)-1),INDEX(Cum_OpEx,1,Assumptions!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L$77)-1),INDEX(Cum_OpEx,1,Assumptions!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M$77)-1),INDEX(Cum_OpEx,1,Assumptions!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M$77)-1),INDEX(Cum_OpEx,1,Assumptions!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M$77)-1),INDEX(Cum_OpEx,1,Assumptions!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M$77)-1),INDEX(Cum_OpEx,1,Assumptions!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M$77)-1),INDEX(Cum_OpEx,1,Assumptions!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M$77)-1),INDEX(Cum_OpEx,1,Assumptions!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N$77)-1),INDEX(Cum_OpEx,1,Assumptions!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N$77)-1),INDEX(Cum_OpEx,1,Assumptions!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N$77)-1),INDEX(Cum_OpEx,1,Assumptions!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N$77)-1),INDEX(Cum_OpEx,1,Assumptions!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N$77)-1),INDEX(Cum_OpEx,1,Assumptions!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N$77)-1),INDEX(Cum_OpEx,1,Assumptions!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O$77)-1),INDEX(Cum_OpEx,1,Assumptions!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O$77)-1),INDEX(Cum_OpEx,1,Assumptions!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O$77)-1),INDEX(Cum_OpEx,1,Assumptions!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O$77)-1),INDEX(Cum_OpEx,1,Assumptions!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O$77)-1),INDEX(Cum_OpEx,1,Assumptions!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O$77)-1),INDEX(Cum_OpEx,1,Assumptions!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P$77)-1),INDEX(Cum_OpEx,1,Assumptions!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P$77)-1),INDEX(Cum_OpEx,1,Assumptions!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P$77)-1),INDEX(Cum_OpEx,1,Assumptions!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P$77)-1),INDEX(Cum_OpEx,1,Assumptions!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P$77)-1),INDEX(Cum_OpEx,1,Assumptions!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P$77)-1),INDEX(Cum_OpEx,1,Assumptions!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Q$77)-1),INDEX(Cum_OpEx,1,Assumptions!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Q$77)-1),INDEX(Cum_OpEx,1,Assumptions!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Q$77)-1),INDEX(Cum_OpEx,1,Assumptions!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Q$77)-1),INDEX(Cum_OpEx,1,Assumptions!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Q$77)-1),INDEX(Cum_OpEx,1,Assumptions!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Q$77)-1),INDEX(Cum_OpEx,1,Assumptions!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R$77)-1),INDEX(Cum_OpEx,1,Assumptions!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R$77)-1),INDEX(Cum_OpEx,1,Assumptions!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R$77)-1),INDEX(Cum_OpEx,1,Assumptions!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R$77)-1),INDEX(Cum_OpEx,1,Assumptions!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R$77)-1),INDEX(Cum_OpEx,1,Assumptions!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R$77)-1),INDEX(Cum_OpEx,1,Assumptions!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S$77)-1),INDEX(Cum_OpEx,1,Assumptions!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S$77)-1),INDEX(Cum_OpEx,1,Assumptions!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S$77)-1),INDEX(Cum_OpEx,1,Assumptions!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S$77)-1),INDEX(Cum_OpEx,1,Assumptions!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S$77)-1),INDEX(Cum_OpEx,1,Assumptions!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S$77)-1),INDEX(Cum_OpEx,1,Assumptions!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T$77)-1),INDEX(Cum_OpEx,1,Assumptions!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T$77)-1),INDEX(Cum_OpEx,1,Assumptions!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T$77)-1),INDEX(Cum_OpEx,1,Assumptions!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T$77)-1),INDEX(Cum_OpEx,1,Assumptions!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T$77)-1),INDEX(Cum_OpEx,1,Assumptions!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T$77)-1),INDEX(Cum_OpEx,1,Assumptions!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U$77)-1),INDEX(Cum_OpEx,1,Assumptions!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U$77)-1),INDEX(Cum_OpEx,1,Assumptions!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U$77)-1),INDEX(Cum_OpEx,1,Assumptions!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U$77)-1),INDEX(Cum_OpEx,1,Assumptions!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U$77)-1),INDEX(Cum_OpEx,1,Assumptions!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U$77)-1),INDEX(Cum_OpEx,1,Assumptions!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V$77)-1),INDEX(Cum_OpEx,1,Assumptions!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V$77)-1),INDEX(Cum_OpEx,1,Assumptions!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V$77)-1),INDEX(Cum_OpEx,1,Assumptions!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V$77)-1),INDEX(Cum_OpEx,1,Assumptions!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V$77)-1),INDEX(Cum_OpEx,1,Assumptions!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V$77)-1),INDEX(Cum_OpEx,1,Assumptions!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W$77)-1),INDEX(Cum_OpEx,1,Assumptions!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W$77)-1),INDEX(Cum_OpEx,1,Assumptions!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W$77)-1),INDEX(Cum_OpEx,1,Assumptions!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W$77)-1),INDEX(Cum_OpEx,1,Assumptions!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W$77)-1),INDEX(Cum_OpEx,1,Assumptions!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W$77)-1),INDEX(Cum_OpEx,1,Assumptions!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X$77)-1),INDEX(Cum_OpEx,1,Assumptions!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X$77)-1),INDEX(Cum_OpEx,1,Assumptions!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X$77)-1),INDEX(Cum_OpEx,1,Assumptions!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X$77)-1),INDEX(Cum_OpEx,1,Assumptions!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X$77)-1),INDEX(Cum_OpEx,1,Assumptions!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X$77)-1),INDEX(Cum_OpEx,1,Assumptions!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Y$77)-1),INDEX(Cum_OpEx,1,Assumptions!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Y$77)-1),INDEX(Cum_OpEx,1,Assumptions!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Y$77)-1),INDEX(Cum_OpEx,1,Assumptions!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Y$77)-1),INDEX(Cum_OpEx,1,Assumptions!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Y$77)-1),INDEX(Cum_OpEx,1,Assumptions!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Y$77)-1),INDEX(Cum_OpEx,1,Assumptions!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BZ$77)-1),INDEX(Cum_OpEx,1,Assumptions!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BZ$77)-1),INDEX(Cum_OpEx,1,Assumptions!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BZ$77)-1),INDEX(Cum_OpEx,1,Assumptions!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BZ$77)-1),INDEX(Cum_OpEx,1,Assumptions!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BZ$77)-1),INDEX(Cum_OpEx,1,Assumptions!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BZ$77)-1),INDEX(Cum_OpEx,1,Assumptions!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A$77)-1),INDEX(Cum_OpEx,1,Assumptions!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A$77)-1),INDEX(Cum_OpEx,1,Assumptions!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A$77)-1),INDEX(Cum_OpEx,1,Assumptions!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A$77)-1),INDEX(Cum_OpEx,1,Assumptions!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A$77)-1),INDEX(Cum_OpEx,1,Assumptions!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A$77)-1),INDEX(Cum_OpEx,1,Assumptions!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B$77)-1),INDEX(Cum_OpEx,1,Assumptions!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B$77)-1),INDEX(Cum_OpEx,1,Assumptions!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B$77)-1),INDEX(Cum_OpEx,1,Assumptions!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B$77)-1),INDEX(Cum_OpEx,1,Assumptions!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B$77)-1),INDEX(Cum_OpEx,1,Assumptions!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B$77)-1),INDEX(Cum_OpEx,1,Assumptions!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C$77)-1),INDEX(Cum_OpEx,1,Assumptions!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C$77)-1),INDEX(Cum_OpEx,1,Assumptions!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C$77)-1),INDEX(Cum_OpEx,1,Assumptions!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C$77)-1),INDEX(Cum_OpEx,1,Assumptions!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C$77)-1),INDEX(Cum_OpEx,1,Assumptions!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C$77)-1),INDEX(Cum_OpEx,1,Assumptions!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D$77)-1),INDEX(Cum_OpEx,1,Assumptions!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D$77)-1),INDEX(Cum_OpEx,1,Assumptions!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D$77)-1),INDEX(Cum_OpEx,1,Assumptions!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D$77)-1),INDEX(Cum_OpEx,1,Assumptions!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D$77)-1),INDEX(Cum_OpEx,1,Assumptions!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D$77)-1),INDEX(Cum_OpEx,1,Assumptions!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E$77)-1),INDEX(Cum_OpEx,1,Assumptions!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E$77)-1),INDEX(Cum_OpEx,1,Assumptions!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E$77)-1),INDEX(Cum_OpEx,1,Assumptions!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E$77)-1),INDEX(Cum_OpEx,1,Assumptions!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E$77)-1),INDEX(Cum_OpEx,1,Assumptions!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E$77)-1),INDEX(Cum_OpEx,1,Assumptions!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F$77)-1),INDEX(Cum_OpEx,1,Assumptions!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F$77)-1),INDEX(Cum_OpEx,1,Assumptions!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F$77)-1),INDEX(Cum_OpEx,1,Assumptions!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F$77)-1),INDEX(Cum_OpEx,1,Assumptions!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F$77)-1),INDEX(Cum_OpEx,1,Assumptions!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F$77)-1),INDEX(Cum_OpEx,1,Assumptions!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G$77)-1),INDEX(Cum_OpEx,1,Assumptions!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G$77)-1),INDEX(Cum_OpEx,1,Assumptions!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G$77)-1),INDEX(Cum_OpEx,1,Assumptions!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G$77)-1),INDEX(Cum_OpEx,1,Assumptions!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G$77)-1),INDEX(Cum_OpEx,1,Assumptions!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G$77)-1),INDEX(Cum_OpEx,1,Assumptions!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H$77)-1),INDEX(Cum_OpEx,1,Assumptions!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H$77)-1),INDEX(Cum_OpEx,1,Assumptions!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H$77)-1),INDEX(Cum_OpEx,1,Assumptions!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H$77)-1),INDEX(Cum_OpEx,1,Assumptions!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H$77)-1),INDEX(Cum_OpEx,1,Assumptions!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H$77)-1),INDEX(Cum_OpEx,1,Assumptions!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I$77)-1),INDEX(Cum_OpEx,1,Assumptions!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I$77)-1),INDEX(Cum_OpEx,1,Assumptions!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I$77)-1),INDEX(Cum_OpEx,1,Assumptions!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I$77)-1),INDEX(Cum_OpEx,1,Assumptions!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I$77)-1),INDEX(Cum_OpEx,1,Assumptions!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I$77)-1),INDEX(Cum_OpEx,1,Assumptions!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J$77)-1),INDEX(Cum_OpEx,1,Assumptions!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J$77)-1),INDEX(Cum_OpEx,1,Assumptions!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J$77)-1),INDEX(Cum_OpEx,1,Assumptions!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J$77)-1),INDEX(Cum_OpEx,1,Assumptions!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J$77)-1),INDEX(Cum_OpEx,1,Assumptions!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J$77)-1),INDEX(Cum_OpEx,1,Assumptions!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K$77)-1),INDEX(Cum_OpEx,1,Assumptions!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K$77)-1),INDEX(Cum_OpEx,1,Assumptions!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K$77)-1),INDEX(Cum_OpEx,1,Assumptions!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K$77)-1),INDEX(Cum_OpEx,1,Assumptions!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K$77)-1),INDEX(Cum_OpEx,1,Assumptions!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K$77)-1),INDEX(Cum_OpEx,1,Assumptions!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L$77)-1),INDEX(Cum_OpEx,1,Assumptions!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L$77)-1),INDEX(Cum_OpEx,1,Assumptions!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L$77)-1),INDEX(Cum_OpEx,1,Assumptions!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L$77)-1),INDEX(Cum_OpEx,1,Assumptions!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L$77)-1),INDEX(Cum_OpEx,1,Assumptions!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L$77)-1),INDEX(Cum_OpEx,1,Assumptions!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M$77)-1),INDEX(Cum_OpEx,1,Assumptions!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M$77)-1),INDEX(Cum_OpEx,1,Assumptions!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M$77)-1),INDEX(Cum_OpEx,1,Assumptions!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M$77)-1),INDEX(Cum_OpEx,1,Assumptions!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M$77)-1),INDEX(Cum_OpEx,1,Assumptions!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M$77)-1),INDEX(Cum_OpEx,1,Assumptions!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N$77)-1),INDEX(Cum_OpEx,1,Assumptions!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N$77)-1),INDEX(Cum_OpEx,1,Assumptions!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N$77)-1),INDEX(Cum_OpEx,1,Assumptions!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N$77)-1),INDEX(Cum_OpEx,1,Assumptions!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N$77)-1),INDEX(Cum_OpEx,1,Assumptions!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N$77)-1),INDEX(Cum_OpEx,1,Assumptions!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O$77)-1),INDEX(Cum_OpEx,1,Assumptions!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O$77)-1),INDEX(Cum_OpEx,1,Assumptions!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O$77)-1),INDEX(Cum_OpEx,1,Assumptions!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O$77)-1),INDEX(Cum_OpEx,1,Assumptions!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O$77)-1),INDEX(Cum_OpEx,1,Assumptions!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O$77)-1),INDEX(Cum_OpEx,1,Assumptions!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P$77)-1),INDEX(Cum_OpEx,1,Assumptions!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P$77)-1),INDEX(Cum_OpEx,1,Assumptions!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P$77)-1),INDEX(Cum_OpEx,1,Assumptions!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P$77)-1),INDEX(Cum_OpEx,1,Assumptions!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P$77)-1),INDEX(Cum_OpEx,1,Assumptions!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P$77)-1),INDEX(Cum_OpEx,1,Assumptions!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Q$77)-1),INDEX(Cum_OpEx,1,Assumptions!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Q$77)-1),INDEX(Cum_OpEx,1,Assumptions!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Q$77)-1),INDEX(Cum_OpEx,1,Assumptions!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Q$77)-1),INDEX(Cum_OpEx,1,Assumptions!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Q$77)-1),INDEX(Cum_OpEx,1,Assumptions!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Q$77)-1),INDEX(Cum_OpEx,1,Assumptions!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R$77)-1),INDEX(Cum_OpEx,1,Assumptions!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R$77)-1),INDEX(Cum_OpEx,1,Assumptions!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R$77)-1),INDEX(Cum_OpEx,1,Assumptions!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R$77)-1),INDEX(Cum_OpEx,1,Assumptions!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R$77)-1),INDEX(Cum_OpEx,1,Assumptions!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R$77)-1),INDEX(Cum_OpEx,1,Assumptions!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S$77)-1),INDEX(Cum_OpEx,1,Assumptions!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S$77)-1),INDEX(Cum_OpEx,1,Assumptions!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S$77)-1),INDEX(Cum_OpEx,1,Assumptions!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S$77)-1),INDEX(Cum_OpEx,1,Assumptions!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S$77)-1),INDEX(Cum_OpEx,1,Assumptions!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S$77)-1),INDEX(Cum_OpEx,1,Assumptions!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T$77)-1),INDEX(Cum_OpEx,1,Assumptions!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T$77)-1),INDEX(Cum_OpEx,1,Assumptions!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T$77)-1),INDEX(Cum_OpEx,1,Assumptions!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T$77)-1),INDEX(Cum_OpEx,1,Assumptions!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T$77)-1),INDEX(Cum_OpEx,1,Assumptions!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T$77)-1),INDEX(Cum_OpEx,1,Assumptions!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U$77)-1),INDEX(Cum_OpEx,1,Assumptions!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U$77)-1),INDEX(Cum_OpEx,1,Assumptions!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U$77)-1),INDEX(Cum_OpEx,1,Assumptions!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U$77)-1),INDEX(Cum_OpEx,1,Assumptions!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U$77)-1),INDEX(Cum_OpEx,1,Assumptions!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U$77)-1),INDEX(Cum_OpEx,1,Assumptions!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V$77)-1),INDEX(Cum_OpEx,1,Assumptions!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V$77)-1),INDEX(Cum_OpEx,1,Assumptions!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V$77)-1),INDEX(Cum_OpEx,1,Assumptions!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V$77)-1),INDEX(Cum_OpEx,1,Assumptions!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V$77)-1),INDEX(Cum_OpEx,1,Assumptions!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V$77)-1),INDEX(Cum_OpEx,1,Assumptions!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W$77)-1),INDEX(Cum_OpEx,1,Assumptions!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W$77)-1),INDEX(Cum_OpEx,1,Assumptions!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W$77)-1),INDEX(Cum_OpEx,1,Assumptions!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W$77)-1),INDEX(Cum_OpEx,1,Assumptions!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W$77)-1),INDEX(Cum_OpEx,1,Assumptions!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W$77)-1),INDEX(Cum_OpEx,1,Assumptions!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X$77)-1),INDEX(Cum_OpEx,1,Assumptions!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X$77)-1),INDEX(Cum_OpEx,1,Assumptions!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X$77)-1),INDEX(Cum_OpEx,1,Assumptions!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X$77)-1),INDEX(Cum_OpEx,1,Assumptions!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X$77)-1),INDEX(Cum_OpEx,1,Assumptions!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X$77)-1),INDEX(Cum_OpEx,1,Assumptions!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Y$77)-1),INDEX(Cum_OpEx,1,Assumptions!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Y$77)-1),INDEX(Cum_OpEx,1,Assumptions!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Y$77)-1),INDEX(Cum_OpEx,1,Assumptions!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Y$77)-1),INDEX(Cum_OpEx,1,Assumptions!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Y$77)-1),INDEX(Cum_OpEx,1,Assumptions!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Y$77)-1),INDEX(Cum_OpEx,1,Assumptions!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CZ$77)-1),INDEX(Cum_OpEx,1,Assumptions!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CZ$77)-1),INDEX(Cum_OpEx,1,Assumptions!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CZ$77)-1),INDEX(Cum_OpEx,1,Assumptions!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CZ$77)-1),INDEX(Cum_OpEx,1,Assumptions!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CZ$77)-1),INDEX(Cum_OpEx,1,Assumptions!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CZ$77)-1),INDEX(Cum_OpEx,1,Assumptions!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A$77)-1),INDEX(Cum_OpEx,1,Assumptions!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A$77)-1),INDEX(Cum_OpEx,1,Assumptions!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A$77)-1),INDEX(Cum_OpEx,1,Assumptions!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A$77)-1),INDEX(Cum_OpEx,1,Assumptions!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A$77)-1),INDEX(Cum_OpEx,1,Assumptions!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A$77)-1),INDEX(Cum_OpEx,1,Assumptions!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B$77)-1),INDEX(Cum_OpEx,1,Assumptions!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B$77)-1),INDEX(Cum_OpEx,1,Assumptions!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B$77)-1),INDEX(Cum_OpEx,1,Assumptions!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B$77)-1),INDEX(Cum_OpEx,1,Assumptions!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B$77)-1),INDEX(Cum_OpEx,1,Assumptions!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B$77)-1),INDEX(Cum_OpEx,1,Assumptions!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C$77)-1),INDEX(Cum_OpEx,1,Assumptions!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C$77)-1),INDEX(Cum_OpEx,1,Assumptions!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C$77)-1),INDEX(Cum_OpEx,1,Assumptions!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C$77)-1),INDEX(Cum_OpEx,1,Assumptions!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C$77)-1),INDEX(Cum_OpEx,1,Assumptions!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C$77)-1),INDEX(Cum_OpEx,1,Assumptions!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D$77)-1),INDEX(Cum_OpEx,1,Assumptions!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D$77)-1),INDEX(Cum_OpEx,1,Assumptions!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D$77)-1),INDEX(Cum_OpEx,1,Assumptions!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D$77)-1),INDEX(Cum_OpEx,1,Assumptions!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D$77)-1),INDEX(Cum_OpEx,1,Assumptions!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D$77)-1),INDEX(Cum_OpEx,1,Assumptions!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E$77)-1),INDEX(Cum_OpEx,1,Assumptions!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E$77)-1),INDEX(Cum_OpEx,1,Assumptions!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E$77)-1),INDEX(Cum_OpEx,1,Assumptions!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E$77)-1),INDEX(Cum_OpEx,1,Assumptions!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E$77)-1),INDEX(Cum_OpEx,1,Assumptions!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E$77)-1),INDEX(Cum_OpEx,1,Assumptions!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F$77)-1),INDEX(Cum_OpEx,1,Assumptions!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F$77)-1),INDEX(Cum_OpEx,1,Assumptions!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F$77)-1),INDEX(Cum_OpEx,1,Assumptions!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F$77)-1),INDEX(Cum_OpEx,1,Assumptions!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F$77)-1),INDEX(Cum_OpEx,1,Assumptions!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F$77)-1),INDEX(Cum_OpEx,1,Assumptions!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G$77)-1),INDEX(Cum_OpEx,1,Assumptions!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G$77)-1),INDEX(Cum_OpEx,1,Assumptions!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G$77)-1),INDEX(Cum_OpEx,1,Assumptions!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G$77)-1),INDEX(Cum_OpEx,1,Assumptions!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G$77)-1),INDEX(Cum_OpEx,1,Assumptions!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G$77)-1),INDEX(Cum_OpEx,1,Assumptions!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H$77)-1),INDEX(Cum_OpEx,1,Assumptions!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H$77)-1),INDEX(Cum_OpEx,1,Assumptions!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H$77)-1),INDEX(Cum_OpEx,1,Assumptions!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H$77)-1),INDEX(Cum_OpEx,1,Assumptions!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H$77)-1),INDEX(Cum_OpEx,1,Assumptions!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H$77)-1),INDEX(Cum_OpEx,1,Assumptions!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I$77)-1),INDEX(Cum_OpEx,1,Assumptions!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I$77)-1),INDEX(Cum_OpEx,1,Assumptions!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I$77)-1),INDEX(Cum_OpEx,1,Assumptions!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I$77)-1),INDEX(Cum_OpEx,1,Assumptions!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I$77)-1),INDEX(Cum_OpEx,1,Assumptions!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I$77)-1),INDEX(Cum_OpEx,1,Assumptions!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J$77)-1),INDEX(Cum_OpEx,1,Assumptions!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J$77)-1),INDEX(Cum_OpEx,1,Assumptions!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J$77)-1),INDEX(Cum_OpEx,1,Assumptions!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J$77)-1),INDEX(Cum_OpEx,1,Assumptions!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J$77)-1),INDEX(Cum_OpEx,1,Assumptions!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J$77)-1),INDEX(Cum_OpEx,1,Assumptions!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K$77)-1),INDEX(Cum_OpEx,1,Assumptions!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K$77)-1),INDEX(Cum_OpEx,1,Assumptions!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K$77)-1),INDEX(Cum_OpEx,1,Assumptions!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K$77)-1),INDEX(Cum_OpEx,1,Assumptions!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K$77)-1),INDEX(Cum_OpEx,1,Assumptions!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K$77)-1),INDEX(Cum_OpEx,1,Assumptions!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L$77)-1),INDEX(Cum_OpEx,1,Assumptions!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L$77)-1),INDEX(Cum_OpEx,1,Assumptions!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L$77)-1),INDEX(Cum_OpEx,1,Assumptions!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L$77)-1),INDEX(Cum_OpEx,1,Assumptions!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L$77)-1),INDEX(Cum_OpEx,1,Assumptions!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L$77)-1),INDEX(Cum_OpEx,1,Assumptions!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M$77)-1),INDEX(Cum_OpEx,1,Assumptions!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M$77)-1),INDEX(Cum_OpEx,1,Assumptions!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M$77)-1),INDEX(Cum_OpEx,1,Assumptions!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M$77)-1),INDEX(Cum_OpEx,1,Assumptions!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M$77)-1),INDEX(Cum_OpEx,1,Assumptions!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M$77)-1),INDEX(Cum_OpEx,1,Assumptions!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N$77)-1),INDEX(Cum_OpEx,1,Assumptions!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N$77)-1),INDEX(Cum_OpEx,1,Assumptions!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N$77)-1),INDEX(Cum_OpEx,1,Assumptions!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N$77)-1),INDEX(Cum_OpEx,1,Assumptions!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N$77)-1),INDEX(Cum_OpEx,1,Assumptions!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N$77)-1),INDEX(Cum_OpEx,1,Assumptions!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O$77)-1),INDEX(Cum_OpEx,1,Assumptions!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O$77)-1),INDEX(Cum_OpEx,1,Assumptions!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O$77)-1),INDEX(Cum_OpEx,1,Assumptions!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O$77)-1),INDEX(Cum_OpEx,1,Assumptions!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O$77)-1),INDEX(Cum_OpEx,1,Assumptions!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O$77)-1),INDEX(Cum_OpEx,1,Assumptions!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P$77)-1),INDEX(Cum_OpEx,1,Assumptions!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P$77)-1),INDEX(Cum_OpEx,1,Assumptions!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P$77)-1),INDEX(Cum_OpEx,1,Assumptions!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P$77)-1),INDEX(Cum_OpEx,1,Assumptions!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P$77)-1),INDEX(Cum_OpEx,1,Assumptions!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P$77)-1),INDEX(Cum_OpEx,1,Assumptions!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Q$77)-1),INDEX(Cum_OpEx,1,Assumptions!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Q$77)-1),INDEX(Cum_OpEx,1,Assumptions!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Q$77)-1),INDEX(Cum_OpEx,1,Assumptions!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Q$77)-1),INDEX(Cum_OpEx,1,Assumptions!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Q$77)-1),INDEX(Cum_OpEx,1,Assumptions!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Q$77)-1),INDEX(Cum_OpEx,1,Assumptions!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R$77)-1),INDEX(Cum_OpEx,1,Assumptions!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R$77)-1),INDEX(Cum_OpEx,1,Assumptions!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R$77)-1),INDEX(Cum_OpEx,1,Assumptions!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R$77)-1),INDEX(Cum_OpEx,1,Assumptions!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R$77)-1),INDEX(Cum_OpEx,1,Assumptions!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R$77)-1),INDEX(Cum_OpEx,1,Assumptions!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S$77)-1),INDEX(Cum_OpEx,1,Assumptions!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S$77)-1),INDEX(Cum_OpEx,1,Assumptions!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S$77)-1),INDEX(Cum_OpEx,1,Assumptions!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S$77)-1),INDEX(Cum_OpEx,1,Assumptions!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S$77)-1),INDEX(Cum_OpEx,1,Assumptions!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S$77)-1),INDEX(Cum_OpEx,1,Assumptions!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sumptions!DT$77)-1),INDEX(Cum_OpEx,1,Assumptions!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sumptions!DT$77)-1),INDEX(Cum_OpEx,1,Assumptions!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sumptions!DT$77)-1),INDEX(Cum_OpEx,1,Assumptions!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sumptions!DT$77)-1),INDEX(Cum_OpEx,1,Assumptions!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sumptions!DT$77)-1),INDEX(Cum_OpEx,1,Assumptions!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sumptions!DT$77)-1),INDEX(Cum_OpEx,1,Assumptions!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Assumptions!E$77)+LeasingCommissionPct*$E$17*$B$17*INDEX(Cum_TILC,1,Assumptions!E$77),0)+IF(Assumptions!E$72=$D$18+RetailDowntime,((1-RetailRenewalProb)*NewLeaseTI+RetailRenewalProb*RenewalTI)*$B$18*INDEX(Cum_TILC,1,Assumptions!E$77)+LeasingCommissionPct*$E$18*$B$18*INDEX(Cum_TILC,1,Assumptions!E$77),0)+IF(Assumptions!E$72=$D$19+RetailDowntime,((1-RetailRenewalProb)*NewLeaseTI+RetailRenewalProb*RenewalTI)*$B$19*INDEX(Cum_TILC,1,Assumptions!E$77)+LeasingCommissionPct*$E$19*$B$19*INDEX(Cum_TILC,1,Assumptions!E$77),0)+IF(Assumptions!E$72=$D$20+RetailDowntime,((1-RetailRenewalProb)*NewLeaseTI+RetailRenewalProb*RenewalTI)*$B$20*INDEX(Cum_TILC,1,Assumptions!E$77)+LeasingCommissionPct*$E$20*$B$20*INDEX(Cum_TILC,1,Assumptions!E$77),0)+IF(Assumptions!E$72=$D$21+RetailDowntime,((1-RetailRenewalProb)*NewLeaseTI+RetailRenewalProb*RenewalTI)*$B$21*INDEX(Cum_TILC,1,Assumptions!E$77)+LeasingCommissionPct*$E$21*$B$21*INDEX(Cum_TILC,1,Assumptions!E$77),0)+IF(Assumptions!E$72=$D$22+RetailDowntime,((1-RetailRenewalProb)*NewLeaseTI+RetailRenewalProb*RenewalTI)*$B$22*INDEX(Cum_TILC,1,Assumptions!E$77)+LeasingCommissionPct*$E$22*$B$22*INDEX(Cum_TILC,1,Assumptions!E$77),0))*Assumptions!E$74</f>
        <v/>
      </c>
      <c r="F41" s="52">
        <f>(IF(Assumptions!F$72=$D$17+RetailDowntime,((1-RetailRenewalProb)*NewLeaseTI+RetailRenewalProb*RenewalTI)*$B$17*INDEX(Cum_TILC,1,Assumptions!F$77)+LeasingCommissionPct*$E$17*$B$17*INDEX(Cum_TILC,1,Assumptions!F$77),0)+IF(Assumptions!F$72=$D$18+RetailDowntime,((1-RetailRenewalProb)*NewLeaseTI+RetailRenewalProb*RenewalTI)*$B$18*INDEX(Cum_TILC,1,Assumptions!F$77)+LeasingCommissionPct*$E$18*$B$18*INDEX(Cum_TILC,1,Assumptions!F$77),0)+IF(Assumptions!F$72=$D$19+RetailDowntime,((1-RetailRenewalProb)*NewLeaseTI+RetailRenewalProb*RenewalTI)*$B$19*INDEX(Cum_TILC,1,Assumptions!F$77)+LeasingCommissionPct*$E$19*$B$19*INDEX(Cum_TILC,1,Assumptions!F$77),0)+IF(Assumptions!F$72=$D$20+RetailDowntime,((1-RetailRenewalProb)*NewLeaseTI+RetailRenewalProb*RenewalTI)*$B$20*INDEX(Cum_TILC,1,Assumptions!F$77)+LeasingCommissionPct*$E$20*$B$20*INDEX(Cum_TILC,1,Assumptions!F$77),0)+IF(Assumptions!F$72=$D$21+RetailDowntime,((1-RetailRenewalProb)*NewLeaseTI+RetailRenewalProb*RenewalTI)*$B$21*INDEX(Cum_TILC,1,Assumptions!F$77)+LeasingCommissionPct*$E$21*$B$21*INDEX(Cum_TILC,1,Assumptions!F$77),0)+IF(Assumptions!F$72=$D$22+RetailDowntime,((1-RetailRenewalProb)*NewLeaseTI+RetailRenewalProb*RenewalTI)*$B$22*INDEX(Cum_TILC,1,Assumptions!F$77)+LeasingCommissionPct*$E$22*$B$22*INDEX(Cum_TILC,1,Assumptions!F$77),0))*Assumptions!F$74</f>
        <v/>
      </c>
      <c r="G41" s="52">
        <f>(IF(Assumptions!G$72=$D$17+RetailDowntime,((1-RetailRenewalProb)*NewLeaseTI+RetailRenewalProb*RenewalTI)*$B$17*INDEX(Cum_TILC,1,Assumptions!G$77)+LeasingCommissionPct*$E$17*$B$17*INDEX(Cum_TILC,1,Assumptions!G$77),0)+IF(Assumptions!G$72=$D$18+RetailDowntime,((1-RetailRenewalProb)*NewLeaseTI+RetailRenewalProb*RenewalTI)*$B$18*INDEX(Cum_TILC,1,Assumptions!G$77)+LeasingCommissionPct*$E$18*$B$18*INDEX(Cum_TILC,1,Assumptions!G$77),0)+IF(Assumptions!G$72=$D$19+RetailDowntime,((1-RetailRenewalProb)*NewLeaseTI+RetailRenewalProb*RenewalTI)*$B$19*INDEX(Cum_TILC,1,Assumptions!G$77)+LeasingCommissionPct*$E$19*$B$19*INDEX(Cum_TILC,1,Assumptions!G$77),0)+IF(Assumptions!G$72=$D$20+RetailDowntime,((1-RetailRenewalProb)*NewLeaseTI+RetailRenewalProb*RenewalTI)*$B$20*INDEX(Cum_TILC,1,Assumptions!G$77)+LeasingCommissionPct*$E$20*$B$20*INDEX(Cum_TILC,1,Assumptions!G$77),0)+IF(Assumptions!G$72=$D$21+RetailDowntime,((1-RetailRenewalProb)*NewLeaseTI+RetailRenewalProb*RenewalTI)*$B$21*INDEX(Cum_TILC,1,Assumptions!G$77)+LeasingCommissionPct*$E$21*$B$21*INDEX(Cum_TILC,1,Assumptions!G$77),0)+IF(Assumptions!G$72=$D$22+RetailDowntime,((1-RetailRenewalProb)*NewLeaseTI+RetailRenewalProb*RenewalTI)*$B$22*INDEX(Cum_TILC,1,Assumptions!G$77)+LeasingCommissionPct*$E$22*$B$22*INDEX(Cum_TILC,1,Assumptions!G$77),0))*Assumptions!G$74</f>
        <v/>
      </c>
      <c r="H41" s="52">
        <f>(IF(Assumptions!H$72=$D$17+RetailDowntime,((1-RetailRenewalProb)*NewLeaseTI+RetailRenewalProb*RenewalTI)*$B$17*INDEX(Cum_TILC,1,Assumptions!H$77)+LeasingCommissionPct*$E$17*$B$17*INDEX(Cum_TILC,1,Assumptions!H$77),0)+IF(Assumptions!H$72=$D$18+RetailDowntime,((1-RetailRenewalProb)*NewLeaseTI+RetailRenewalProb*RenewalTI)*$B$18*INDEX(Cum_TILC,1,Assumptions!H$77)+LeasingCommissionPct*$E$18*$B$18*INDEX(Cum_TILC,1,Assumptions!H$77),0)+IF(Assumptions!H$72=$D$19+RetailDowntime,((1-RetailRenewalProb)*NewLeaseTI+RetailRenewalProb*RenewalTI)*$B$19*INDEX(Cum_TILC,1,Assumptions!H$77)+LeasingCommissionPct*$E$19*$B$19*INDEX(Cum_TILC,1,Assumptions!H$77),0)+IF(Assumptions!H$72=$D$20+RetailDowntime,((1-RetailRenewalProb)*NewLeaseTI+RetailRenewalProb*RenewalTI)*$B$20*INDEX(Cum_TILC,1,Assumptions!H$77)+LeasingCommissionPct*$E$20*$B$20*INDEX(Cum_TILC,1,Assumptions!H$77),0)+IF(Assumptions!H$72=$D$21+RetailDowntime,((1-RetailRenewalProb)*NewLeaseTI+RetailRenewalProb*RenewalTI)*$B$21*INDEX(Cum_TILC,1,Assumptions!H$77)+LeasingCommissionPct*$E$21*$B$21*INDEX(Cum_TILC,1,Assumptions!H$77),0)+IF(Assumptions!H$72=$D$22+RetailDowntime,((1-RetailRenewalProb)*NewLeaseTI+RetailRenewalProb*RenewalTI)*$B$22*INDEX(Cum_TILC,1,Assumptions!H$77)+LeasingCommissionPct*$E$22*$B$22*INDEX(Cum_TILC,1,Assumptions!H$77),0))*Assumptions!H$74</f>
        <v/>
      </c>
      <c r="I41" s="52">
        <f>(IF(Assumptions!I$72=$D$17+RetailDowntime,((1-RetailRenewalProb)*NewLeaseTI+RetailRenewalProb*RenewalTI)*$B$17*INDEX(Cum_TILC,1,Assumptions!I$77)+LeasingCommissionPct*$E$17*$B$17*INDEX(Cum_TILC,1,Assumptions!I$77),0)+IF(Assumptions!I$72=$D$18+RetailDowntime,((1-RetailRenewalProb)*NewLeaseTI+RetailRenewalProb*RenewalTI)*$B$18*INDEX(Cum_TILC,1,Assumptions!I$77)+LeasingCommissionPct*$E$18*$B$18*INDEX(Cum_TILC,1,Assumptions!I$77),0)+IF(Assumptions!I$72=$D$19+RetailDowntime,((1-RetailRenewalProb)*NewLeaseTI+RetailRenewalProb*RenewalTI)*$B$19*INDEX(Cum_TILC,1,Assumptions!I$77)+LeasingCommissionPct*$E$19*$B$19*INDEX(Cum_TILC,1,Assumptions!I$77),0)+IF(Assumptions!I$72=$D$20+RetailDowntime,((1-RetailRenewalProb)*NewLeaseTI+RetailRenewalProb*RenewalTI)*$B$20*INDEX(Cum_TILC,1,Assumptions!I$77)+LeasingCommissionPct*$E$20*$B$20*INDEX(Cum_TILC,1,Assumptions!I$77),0)+IF(Assumptions!I$72=$D$21+RetailDowntime,((1-RetailRenewalProb)*NewLeaseTI+RetailRenewalProb*RenewalTI)*$B$21*INDEX(Cum_TILC,1,Assumptions!I$77)+LeasingCommissionPct*$E$21*$B$21*INDEX(Cum_TILC,1,Assumptions!I$77),0)+IF(Assumptions!I$72=$D$22+RetailDowntime,((1-RetailRenewalProb)*NewLeaseTI+RetailRenewalProb*RenewalTI)*$B$22*INDEX(Cum_TILC,1,Assumptions!I$77)+LeasingCommissionPct*$E$22*$B$22*INDEX(Cum_TILC,1,Assumptions!I$77),0))*Assumptions!I$74</f>
        <v/>
      </c>
      <c r="J41" s="52">
        <f>(IF(Assumptions!J$72=$D$17+RetailDowntime,((1-RetailRenewalProb)*NewLeaseTI+RetailRenewalProb*RenewalTI)*$B$17*INDEX(Cum_TILC,1,Assumptions!J$77)+LeasingCommissionPct*$E$17*$B$17*INDEX(Cum_TILC,1,Assumptions!J$77),0)+IF(Assumptions!J$72=$D$18+RetailDowntime,((1-RetailRenewalProb)*NewLeaseTI+RetailRenewalProb*RenewalTI)*$B$18*INDEX(Cum_TILC,1,Assumptions!J$77)+LeasingCommissionPct*$E$18*$B$18*INDEX(Cum_TILC,1,Assumptions!J$77),0)+IF(Assumptions!J$72=$D$19+RetailDowntime,((1-RetailRenewalProb)*NewLeaseTI+RetailRenewalProb*RenewalTI)*$B$19*INDEX(Cum_TILC,1,Assumptions!J$77)+LeasingCommissionPct*$E$19*$B$19*INDEX(Cum_TILC,1,Assumptions!J$77),0)+IF(Assumptions!J$72=$D$20+RetailDowntime,((1-RetailRenewalProb)*NewLeaseTI+RetailRenewalProb*RenewalTI)*$B$20*INDEX(Cum_TILC,1,Assumptions!J$77)+LeasingCommissionPct*$E$20*$B$20*INDEX(Cum_TILC,1,Assumptions!J$77),0)+IF(Assumptions!J$72=$D$21+RetailDowntime,((1-RetailRenewalProb)*NewLeaseTI+RetailRenewalProb*RenewalTI)*$B$21*INDEX(Cum_TILC,1,Assumptions!J$77)+LeasingCommissionPct*$E$21*$B$21*INDEX(Cum_TILC,1,Assumptions!J$77),0)+IF(Assumptions!J$72=$D$22+RetailDowntime,((1-RetailRenewalProb)*NewLeaseTI+RetailRenewalProb*RenewalTI)*$B$22*INDEX(Cum_TILC,1,Assumptions!J$77)+LeasingCommissionPct*$E$22*$B$22*INDEX(Cum_TILC,1,Assumptions!J$77),0))*Assumptions!J$74</f>
        <v/>
      </c>
      <c r="K41" s="52">
        <f>(IF(Assumptions!K$72=$D$17+RetailDowntime,((1-RetailRenewalProb)*NewLeaseTI+RetailRenewalProb*RenewalTI)*$B$17*INDEX(Cum_TILC,1,Assumptions!K$77)+LeasingCommissionPct*$E$17*$B$17*INDEX(Cum_TILC,1,Assumptions!K$77),0)+IF(Assumptions!K$72=$D$18+RetailDowntime,((1-RetailRenewalProb)*NewLeaseTI+RetailRenewalProb*RenewalTI)*$B$18*INDEX(Cum_TILC,1,Assumptions!K$77)+LeasingCommissionPct*$E$18*$B$18*INDEX(Cum_TILC,1,Assumptions!K$77),0)+IF(Assumptions!K$72=$D$19+RetailDowntime,((1-RetailRenewalProb)*NewLeaseTI+RetailRenewalProb*RenewalTI)*$B$19*INDEX(Cum_TILC,1,Assumptions!K$77)+LeasingCommissionPct*$E$19*$B$19*INDEX(Cum_TILC,1,Assumptions!K$77),0)+IF(Assumptions!K$72=$D$20+RetailDowntime,((1-RetailRenewalProb)*NewLeaseTI+RetailRenewalProb*RenewalTI)*$B$20*INDEX(Cum_TILC,1,Assumptions!K$77)+LeasingCommissionPct*$E$20*$B$20*INDEX(Cum_TILC,1,Assumptions!K$77),0)+IF(Assumptions!K$72=$D$21+RetailDowntime,((1-RetailRenewalProb)*NewLeaseTI+RetailRenewalProb*RenewalTI)*$B$21*INDEX(Cum_TILC,1,Assumptions!K$77)+LeasingCommissionPct*$E$21*$B$21*INDEX(Cum_TILC,1,Assumptions!K$77),0)+IF(Assumptions!K$72=$D$22+RetailDowntime,((1-RetailRenewalProb)*NewLeaseTI+RetailRenewalProb*RenewalTI)*$B$22*INDEX(Cum_TILC,1,Assumptions!K$77)+LeasingCommissionPct*$E$22*$B$22*INDEX(Cum_TILC,1,Assumptions!K$77),0))*Assumptions!K$74</f>
        <v/>
      </c>
      <c r="L41" s="52">
        <f>(IF(Assumptions!L$72=$D$17+RetailDowntime,((1-RetailRenewalProb)*NewLeaseTI+RetailRenewalProb*RenewalTI)*$B$17*INDEX(Cum_TILC,1,Assumptions!L$77)+LeasingCommissionPct*$E$17*$B$17*INDEX(Cum_TILC,1,Assumptions!L$77),0)+IF(Assumptions!L$72=$D$18+RetailDowntime,((1-RetailRenewalProb)*NewLeaseTI+RetailRenewalProb*RenewalTI)*$B$18*INDEX(Cum_TILC,1,Assumptions!L$77)+LeasingCommissionPct*$E$18*$B$18*INDEX(Cum_TILC,1,Assumptions!L$77),0)+IF(Assumptions!L$72=$D$19+RetailDowntime,((1-RetailRenewalProb)*NewLeaseTI+RetailRenewalProb*RenewalTI)*$B$19*INDEX(Cum_TILC,1,Assumptions!L$77)+LeasingCommissionPct*$E$19*$B$19*INDEX(Cum_TILC,1,Assumptions!L$77),0)+IF(Assumptions!L$72=$D$20+RetailDowntime,((1-RetailRenewalProb)*NewLeaseTI+RetailRenewalProb*RenewalTI)*$B$20*INDEX(Cum_TILC,1,Assumptions!L$77)+LeasingCommissionPct*$E$20*$B$20*INDEX(Cum_TILC,1,Assumptions!L$77),0)+IF(Assumptions!L$72=$D$21+RetailDowntime,((1-RetailRenewalProb)*NewLeaseTI+RetailRenewalProb*RenewalTI)*$B$21*INDEX(Cum_TILC,1,Assumptions!L$77)+LeasingCommissionPct*$E$21*$B$21*INDEX(Cum_TILC,1,Assumptions!L$77),0)+IF(Assumptions!L$72=$D$22+RetailDowntime,((1-RetailRenewalProb)*NewLeaseTI+RetailRenewalProb*RenewalTI)*$B$22*INDEX(Cum_TILC,1,Assumptions!L$77)+LeasingCommissionPct*$E$22*$B$22*INDEX(Cum_TILC,1,Assumptions!L$77),0))*Assumptions!L$74</f>
        <v/>
      </c>
      <c r="M41" s="52">
        <f>(IF(Assumptions!M$72=$D$17+RetailDowntime,((1-RetailRenewalProb)*NewLeaseTI+RetailRenewalProb*RenewalTI)*$B$17*INDEX(Cum_TILC,1,Assumptions!M$77)+LeasingCommissionPct*$E$17*$B$17*INDEX(Cum_TILC,1,Assumptions!M$77),0)+IF(Assumptions!M$72=$D$18+RetailDowntime,((1-RetailRenewalProb)*NewLeaseTI+RetailRenewalProb*RenewalTI)*$B$18*INDEX(Cum_TILC,1,Assumptions!M$77)+LeasingCommissionPct*$E$18*$B$18*INDEX(Cum_TILC,1,Assumptions!M$77),0)+IF(Assumptions!M$72=$D$19+RetailDowntime,((1-RetailRenewalProb)*NewLeaseTI+RetailRenewalProb*RenewalTI)*$B$19*INDEX(Cum_TILC,1,Assumptions!M$77)+LeasingCommissionPct*$E$19*$B$19*INDEX(Cum_TILC,1,Assumptions!M$77),0)+IF(Assumptions!M$72=$D$20+RetailDowntime,((1-RetailRenewalProb)*NewLeaseTI+RetailRenewalProb*RenewalTI)*$B$20*INDEX(Cum_TILC,1,Assumptions!M$77)+LeasingCommissionPct*$E$20*$B$20*INDEX(Cum_TILC,1,Assumptions!M$77),0)+IF(Assumptions!M$72=$D$21+RetailDowntime,((1-RetailRenewalProb)*NewLeaseTI+RetailRenewalProb*RenewalTI)*$B$21*INDEX(Cum_TILC,1,Assumptions!M$77)+LeasingCommissionPct*$E$21*$B$21*INDEX(Cum_TILC,1,Assumptions!M$77),0)+IF(Assumptions!M$72=$D$22+RetailDowntime,((1-RetailRenewalProb)*NewLeaseTI+RetailRenewalProb*RenewalTI)*$B$22*INDEX(Cum_TILC,1,Assumptions!M$77)+LeasingCommissionPct*$E$22*$B$22*INDEX(Cum_TILC,1,Assumptions!M$77),0))*Assumptions!M$74</f>
        <v/>
      </c>
      <c r="N41" s="52">
        <f>(IF(Assumptions!N$72=$D$17+RetailDowntime,((1-RetailRenewalProb)*NewLeaseTI+RetailRenewalProb*RenewalTI)*$B$17*INDEX(Cum_TILC,1,Assumptions!N$77)+LeasingCommissionPct*$E$17*$B$17*INDEX(Cum_TILC,1,Assumptions!N$77),0)+IF(Assumptions!N$72=$D$18+RetailDowntime,((1-RetailRenewalProb)*NewLeaseTI+RetailRenewalProb*RenewalTI)*$B$18*INDEX(Cum_TILC,1,Assumptions!N$77)+LeasingCommissionPct*$E$18*$B$18*INDEX(Cum_TILC,1,Assumptions!N$77),0)+IF(Assumptions!N$72=$D$19+RetailDowntime,((1-RetailRenewalProb)*NewLeaseTI+RetailRenewalProb*RenewalTI)*$B$19*INDEX(Cum_TILC,1,Assumptions!N$77)+LeasingCommissionPct*$E$19*$B$19*INDEX(Cum_TILC,1,Assumptions!N$77),0)+IF(Assumptions!N$72=$D$20+RetailDowntime,((1-RetailRenewalProb)*NewLeaseTI+RetailRenewalProb*RenewalTI)*$B$20*INDEX(Cum_TILC,1,Assumptions!N$77)+LeasingCommissionPct*$E$20*$B$20*INDEX(Cum_TILC,1,Assumptions!N$77),0)+IF(Assumptions!N$72=$D$21+RetailDowntime,((1-RetailRenewalProb)*NewLeaseTI+RetailRenewalProb*RenewalTI)*$B$21*INDEX(Cum_TILC,1,Assumptions!N$77)+LeasingCommissionPct*$E$21*$B$21*INDEX(Cum_TILC,1,Assumptions!N$77),0)+IF(Assumptions!N$72=$D$22+RetailDowntime,((1-RetailRenewalProb)*NewLeaseTI+RetailRenewalProb*RenewalTI)*$B$22*INDEX(Cum_TILC,1,Assumptions!N$77)+LeasingCommissionPct*$E$22*$B$22*INDEX(Cum_TILC,1,Assumptions!N$77),0))*Assumptions!N$74</f>
        <v/>
      </c>
      <c r="O41" s="52">
        <f>(IF(Assumptions!O$72=$D$17+RetailDowntime,((1-RetailRenewalProb)*NewLeaseTI+RetailRenewalProb*RenewalTI)*$B$17*INDEX(Cum_TILC,1,Assumptions!O$77)+LeasingCommissionPct*$E$17*$B$17*INDEX(Cum_TILC,1,Assumptions!O$77),0)+IF(Assumptions!O$72=$D$18+RetailDowntime,((1-RetailRenewalProb)*NewLeaseTI+RetailRenewalProb*RenewalTI)*$B$18*INDEX(Cum_TILC,1,Assumptions!O$77)+LeasingCommissionPct*$E$18*$B$18*INDEX(Cum_TILC,1,Assumptions!O$77),0)+IF(Assumptions!O$72=$D$19+RetailDowntime,((1-RetailRenewalProb)*NewLeaseTI+RetailRenewalProb*RenewalTI)*$B$19*INDEX(Cum_TILC,1,Assumptions!O$77)+LeasingCommissionPct*$E$19*$B$19*INDEX(Cum_TILC,1,Assumptions!O$77),0)+IF(Assumptions!O$72=$D$20+RetailDowntime,((1-RetailRenewalProb)*NewLeaseTI+RetailRenewalProb*RenewalTI)*$B$20*INDEX(Cum_TILC,1,Assumptions!O$77)+LeasingCommissionPct*$E$20*$B$20*INDEX(Cum_TILC,1,Assumptions!O$77),0)+IF(Assumptions!O$72=$D$21+RetailDowntime,((1-RetailRenewalProb)*NewLeaseTI+RetailRenewalProb*RenewalTI)*$B$21*INDEX(Cum_TILC,1,Assumptions!O$77)+LeasingCommissionPct*$E$21*$B$21*INDEX(Cum_TILC,1,Assumptions!O$77),0)+IF(Assumptions!O$72=$D$22+RetailDowntime,((1-RetailRenewalProb)*NewLeaseTI+RetailRenewalProb*RenewalTI)*$B$22*INDEX(Cum_TILC,1,Assumptions!O$77)+LeasingCommissionPct*$E$22*$B$22*INDEX(Cum_TILC,1,Assumptions!O$77),0))*Assumptions!O$74</f>
        <v/>
      </c>
      <c r="P41" s="52">
        <f>(IF(Assumptions!P$72=$D$17+RetailDowntime,((1-RetailRenewalProb)*NewLeaseTI+RetailRenewalProb*RenewalTI)*$B$17*INDEX(Cum_TILC,1,Assumptions!P$77)+LeasingCommissionPct*$E$17*$B$17*INDEX(Cum_TILC,1,Assumptions!P$77),0)+IF(Assumptions!P$72=$D$18+RetailDowntime,((1-RetailRenewalProb)*NewLeaseTI+RetailRenewalProb*RenewalTI)*$B$18*INDEX(Cum_TILC,1,Assumptions!P$77)+LeasingCommissionPct*$E$18*$B$18*INDEX(Cum_TILC,1,Assumptions!P$77),0)+IF(Assumptions!P$72=$D$19+RetailDowntime,((1-RetailRenewalProb)*NewLeaseTI+RetailRenewalProb*RenewalTI)*$B$19*INDEX(Cum_TILC,1,Assumptions!P$77)+LeasingCommissionPct*$E$19*$B$19*INDEX(Cum_TILC,1,Assumptions!P$77),0)+IF(Assumptions!P$72=$D$20+RetailDowntime,((1-RetailRenewalProb)*NewLeaseTI+RetailRenewalProb*RenewalTI)*$B$20*INDEX(Cum_TILC,1,Assumptions!P$77)+LeasingCommissionPct*$E$20*$B$20*INDEX(Cum_TILC,1,Assumptions!P$77),0)+IF(Assumptions!P$72=$D$21+RetailDowntime,((1-RetailRenewalProb)*NewLeaseTI+RetailRenewalProb*RenewalTI)*$B$21*INDEX(Cum_TILC,1,Assumptions!P$77)+LeasingCommissionPct*$E$21*$B$21*INDEX(Cum_TILC,1,Assumptions!P$77),0)+IF(Assumptions!P$72=$D$22+RetailDowntime,((1-RetailRenewalProb)*NewLeaseTI+RetailRenewalProb*RenewalTI)*$B$22*INDEX(Cum_TILC,1,Assumptions!P$77)+LeasingCommissionPct*$E$22*$B$22*INDEX(Cum_TILC,1,Assumptions!P$77),0))*Assumptions!P$74</f>
        <v/>
      </c>
      <c r="Q41" s="52">
        <f>(IF(Assumptions!Q$72=$D$17+RetailDowntime,((1-RetailRenewalProb)*NewLeaseTI+RetailRenewalProb*RenewalTI)*$B$17*INDEX(Cum_TILC,1,Assumptions!Q$77)+LeasingCommissionPct*$E$17*$B$17*INDEX(Cum_TILC,1,Assumptions!Q$77),0)+IF(Assumptions!Q$72=$D$18+RetailDowntime,((1-RetailRenewalProb)*NewLeaseTI+RetailRenewalProb*RenewalTI)*$B$18*INDEX(Cum_TILC,1,Assumptions!Q$77)+LeasingCommissionPct*$E$18*$B$18*INDEX(Cum_TILC,1,Assumptions!Q$77),0)+IF(Assumptions!Q$72=$D$19+RetailDowntime,((1-RetailRenewalProb)*NewLeaseTI+RetailRenewalProb*RenewalTI)*$B$19*INDEX(Cum_TILC,1,Assumptions!Q$77)+LeasingCommissionPct*$E$19*$B$19*INDEX(Cum_TILC,1,Assumptions!Q$77),0)+IF(Assumptions!Q$72=$D$20+RetailDowntime,((1-RetailRenewalProb)*NewLeaseTI+RetailRenewalProb*RenewalTI)*$B$20*INDEX(Cum_TILC,1,Assumptions!Q$77)+LeasingCommissionPct*$E$20*$B$20*INDEX(Cum_TILC,1,Assumptions!Q$77),0)+IF(Assumptions!Q$72=$D$21+RetailDowntime,((1-RetailRenewalProb)*NewLeaseTI+RetailRenewalProb*RenewalTI)*$B$21*INDEX(Cum_TILC,1,Assumptions!Q$77)+LeasingCommissionPct*$E$21*$B$21*INDEX(Cum_TILC,1,Assumptions!Q$77),0)+IF(Assumptions!Q$72=$D$22+RetailDowntime,((1-RetailRenewalProb)*NewLeaseTI+RetailRenewalProb*RenewalTI)*$B$22*INDEX(Cum_TILC,1,Assumptions!Q$77)+LeasingCommissionPct*$E$22*$B$22*INDEX(Cum_TILC,1,Assumptions!Q$77),0))*Assumptions!Q$74</f>
        <v/>
      </c>
      <c r="R41" s="52">
        <f>(IF(Assumptions!R$72=$D$17+RetailDowntime,((1-RetailRenewalProb)*NewLeaseTI+RetailRenewalProb*RenewalTI)*$B$17*INDEX(Cum_TILC,1,Assumptions!R$77)+LeasingCommissionPct*$E$17*$B$17*INDEX(Cum_TILC,1,Assumptions!R$77),0)+IF(Assumptions!R$72=$D$18+RetailDowntime,((1-RetailRenewalProb)*NewLeaseTI+RetailRenewalProb*RenewalTI)*$B$18*INDEX(Cum_TILC,1,Assumptions!R$77)+LeasingCommissionPct*$E$18*$B$18*INDEX(Cum_TILC,1,Assumptions!R$77),0)+IF(Assumptions!R$72=$D$19+RetailDowntime,((1-RetailRenewalProb)*NewLeaseTI+RetailRenewalProb*RenewalTI)*$B$19*INDEX(Cum_TILC,1,Assumptions!R$77)+LeasingCommissionPct*$E$19*$B$19*INDEX(Cum_TILC,1,Assumptions!R$77),0)+IF(Assumptions!R$72=$D$20+RetailDowntime,((1-RetailRenewalProb)*NewLeaseTI+RetailRenewalProb*RenewalTI)*$B$20*INDEX(Cum_TILC,1,Assumptions!R$77)+LeasingCommissionPct*$E$20*$B$20*INDEX(Cum_TILC,1,Assumptions!R$77),0)+IF(Assumptions!R$72=$D$21+RetailDowntime,((1-RetailRenewalProb)*NewLeaseTI+RetailRenewalProb*RenewalTI)*$B$21*INDEX(Cum_TILC,1,Assumptions!R$77)+LeasingCommissionPct*$E$21*$B$21*INDEX(Cum_TILC,1,Assumptions!R$77),0)+IF(Assumptions!R$72=$D$22+RetailDowntime,((1-RetailRenewalProb)*NewLeaseTI+RetailRenewalProb*RenewalTI)*$B$22*INDEX(Cum_TILC,1,Assumptions!R$77)+LeasingCommissionPct*$E$22*$B$22*INDEX(Cum_TILC,1,Assumptions!R$77),0))*Assumptions!R$74</f>
        <v/>
      </c>
      <c r="S41" s="52">
        <f>(IF(Assumptions!S$72=$D$17+RetailDowntime,((1-RetailRenewalProb)*NewLeaseTI+RetailRenewalProb*RenewalTI)*$B$17*INDEX(Cum_TILC,1,Assumptions!S$77)+LeasingCommissionPct*$E$17*$B$17*INDEX(Cum_TILC,1,Assumptions!S$77),0)+IF(Assumptions!S$72=$D$18+RetailDowntime,((1-RetailRenewalProb)*NewLeaseTI+RetailRenewalProb*RenewalTI)*$B$18*INDEX(Cum_TILC,1,Assumptions!S$77)+LeasingCommissionPct*$E$18*$B$18*INDEX(Cum_TILC,1,Assumptions!S$77),0)+IF(Assumptions!S$72=$D$19+RetailDowntime,((1-RetailRenewalProb)*NewLeaseTI+RetailRenewalProb*RenewalTI)*$B$19*INDEX(Cum_TILC,1,Assumptions!S$77)+LeasingCommissionPct*$E$19*$B$19*INDEX(Cum_TILC,1,Assumptions!S$77),0)+IF(Assumptions!S$72=$D$20+RetailDowntime,((1-RetailRenewalProb)*NewLeaseTI+RetailRenewalProb*RenewalTI)*$B$20*INDEX(Cum_TILC,1,Assumptions!S$77)+LeasingCommissionPct*$E$20*$B$20*INDEX(Cum_TILC,1,Assumptions!S$77),0)+IF(Assumptions!S$72=$D$21+RetailDowntime,((1-RetailRenewalProb)*NewLeaseTI+RetailRenewalProb*RenewalTI)*$B$21*INDEX(Cum_TILC,1,Assumptions!S$77)+LeasingCommissionPct*$E$21*$B$21*INDEX(Cum_TILC,1,Assumptions!S$77),0)+IF(Assumptions!S$72=$D$22+RetailDowntime,((1-RetailRenewalProb)*NewLeaseTI+RetailRenewalProb*RenewalTI)*$B$22*INDEX(Cum_TILC,1,Assumptions!S$77)+LeasingCommissionPct*$E$22*$B$22*INDEX(Cum_TILC,1,Assumptions!S$77),0))*Assumptions!S$74</f>
        <v/>
      </c>
      <c r="T41" s="52">
        <f>(IF(Assumptions!T$72=$D$17+RetailDowntime,((1-RetailRenewalProb)*NewLeaseTI+RetailRenewalProb*RenewalTI)*$B$17*INDEX(Cum_TILC,1,Assumptions!T$77)+LeasingCommissionPct*$E$17*$B$17*INDEX(Cum_TILC,1,Assumptions!T$77),0)+IF(Assumptions!T$72=$D$18+RetailDowntime,((1-RetailRenewalProb)*NewLeaseTI+RetailRenewalProb*RenewalTI)*$B$18*INDEX(Cum_TILC,1,Assumptions!T$77)+LeasingCommissionPct*$E$18*$B$18*INDEX(Cum_TILC,1,Assumptions!T$77),0)+IF(Assumptions!T$72=$D$19+RetailDowntime,((1-RetailRenewalProb)*NewLeaseTI+RetailRenewalProb*RenewalTI)*$B$19*INDEX(Cum_TILC,1,Assumptions!T$77)+LeasingCommissionPct*$E$19*$B$19*INDEX(Cum_TILC,1,Assumptions!T$77),0)+IF(Assumptions!T$72=$D$20+RetailDowntime,((1-RetailRenewalProb)*NewLeaseTI+RetailRenewalProb*RenewalTI)*$B$20*INDEX(Cum_TILC,1,Assumptions!T$77)+LeasingCommissionPct*$E$20*$B$20*INDEX(Cum_TILC,1,Assumptions!T$77),0)+IF(Assumptions!T$72=$D$21+RetailDowntime,((1-RetailRenewalProb)*NewLeaseTI+RetailRenewalProb*RenewalTI)*$B$21*INDEX(Cum_TILC,1,Assumptions!T$77)+LeasingCommissionPct*$E$21*$B$21*INDEX(Cum_TILC,1,Assumptions!T$77),0)+IF(Assumptions!T$72=$D$22+RetailDowntime,((1-RetailRenewalProb)*NewLeaseTI+RetailRenewalProb*RenewalTI)*$B$22*INDEX(Cum_TILC,1,Assumptions!T$77)+LeasingCommissionPct*$E$22*$B$22*INDEX(Cum_TILC,1,Assumptions!T$77),0))*Assumptions!T$74</f>
        <v/>
      </c>
      <c r="U41" s="52">
        <f>(IF(Assumptions!U$72=$D$17+RetailDowntime,((1-RetailRenewalProb)*NewLeaseTI+RetailRenewalProb*RenewalTI)*$B$17*INDEX(Cum_TILC,1,Assumptions!U$77)+LeasingCommissionPct*$E$17*$B$17*INDEX(Cum_TILC,1,Assumptions!U$77),0)+IF(Assumptions!U$72=$D$18+RetailDowntime,((1-RetailRenewalProb)*NewLeaseTI+RetailRenewalProb*RenewalTI)*$B$18*INDEX(Cum_TILC,1,Assumptions!U$77)+LeasingCommissionPct*$E$18*$B$18*INDEX(Cum_TILC,1,Assumptions!U$77),0)+IF(Assumptions!U$72=$D$19+RetailDowntime,((1-RetailRenewalProb)*NewLeaseTI+RetailRenewalProb*RenewalTI)*$B$19*INDEX(Cum_TILC,1,Assumptions!U$77)+LeasingCommissionPct*$E$19*$B$19*INDEX(Cum_TILC,1,Assumptions!U$77),0)+IF(Assumptions!U$72=$D$20+RetailDowntime,((1-RetailRenewalProb)*NewLeaseTI+RetailRenewalProb*RenewalTI)*$B$20*INDEX(Cum_TILC,1,Assumptions!U$77)+LeasingCommissionPct*$E$20*$B$20*INDEX(Cum_TILC,1,Assumptions!U$77),0)+IF(Assumptions!U$72=$D$21+RetailDowntime,((1-RetailRenewalProb)*NewLeaseTI+RetailRenewalProb*RenewalTI)*$B$21*INDEX(Cum_TILC,1,Assumptions!U$77)+LeasingCommissionPct*$E$21*$B$21*INDEX(Cum_TILC,1,Assumptions!U$77),0)+IF(Assumptions!U$72=$D$22+RetailDowntime,((1-RetailRenewalProb)*NewLeaseTI+RetailRenewalProb*RenewalTI)*$B$22*INDEX(Cum_TILC,1,Assumptions!U$77)+LeasingCommissionPct*$E$22*$B$22*INDEX(Cum_TILC,1,Assumptions!U$77),0))*Assumptions!U$74</f>
        <v/>
      </c>
      <c r="V41" s="52">
        <f>(IF(Assumptions!V$72=$D$17+RetailDowntime,((1-RetailRenewalProb)*NewLeaseTI+RetailRenewalProb*RenewalTI)*$B$17*INDEX(Cum_TILC,1,Assumptions!V$77)+LeasingCommissionPct*$E$17*$B$17*INDEX(Cum_TILC,1,Assumptions!V$77),0)+IF(Assumptions!V$72=$D$18+RetailDowntime,((1-RetailRenewalProb)*NewLeaseTI+RetailRenewalProb*RenewalTI)*$B$18*INDEX(Cum_TILC,1,Assumptions!V$77)+LeasingCommissionPct*$E$18*$B$18*INDEX(Cum_TILC,1,Assumptions!V$77),0)+IF(Assumptions!V$72=$D$19+RetailDowntime,((1-RetailRenewalProb)*NewLeaseTI+RetailRenewalProb*RenewalTI)*$B$19*INDEX(Cum_TILC,1,Assumptions!V$77)+LeasingCommissionPct*$E$19*$B$19*INDEX(Cum_TILC,1,Assumptions!V$77),0)+IF(Assumptions!V$72=$D$20+RetailDowntime,((1-RetailRenewalProb)*NewLeaseTI+RetailRenewalProb*RenewalTI)*$B$20*INDEX(Cum_TILC,1,Assumptions!V$77)+LeasingCommissionPct*$E$20*$B$20*INDEX(Cum_TILC,1,Assumptions!V$77),0)+IF(Assumptions!V$72=$D$21+RetailDowntime,((1-RetailRenewalProb)*NewLeaseTI+RetailRenewalProb*RenewalTI)*$B$21*INDEX(Cum_TILC,1,Assumptions!V$77)+LeasingCommissionPct*$E$21*$B$21*INDEX(Cum_TILC,1,Assumptions!V$77),0)+IF(Assumptions!V$72=$D$22+RetailDowntime,((1-RetailRenewalProb)*NewLeaseTI+RetailRenewalProb*RenewalTI)*$B$22*INDEX(Cum_TILC,1,Assumptions!V$77)+LeasingCommissionPct*$E$22*$B$22*INDEX(Cum_TILC,1,Assumptions!V$77),0))*Assumptions!V$74</f>
        <v/>
      </c>
      <c r="W41" s="52">
        <f>(IF(Assumptions!W$72=$D$17+RetailDowntime,((1-RetailRenewalProb)*NewLeaseTI+RetailRenewalProb*RenewalTI)*$B$17*INDEX(Cum_TILC,1,Assumptions!W$77)+LeasingCommissionPct*$E$17*$B$17*INDEX(Cum_TILC,1,Assumptions!W$77),0)+IF(Assumptions!W$72=$D$18+RetailDowntime,((1-RetailRenewalProb)*NewLeaseTI+RetailRenewalProb*RenewalTI)*$B$18*INDEX(Cum_TILC,1,Assumptions!W$77)+LeasingCommissionPct*$E$18*$B$18*INDEX(Cum_TILC,1,Assumptions!W$77),0)+IF(Assumptions!W$72=$D$19+RetailDowntime,((1-RetailRenewalProb)*NewLeaseTI+RetailRenewalProb*RenewalTI)*$B$19*INDEX(Cum_TILC,1,Assumptions!W$77)+LeasingCommissionPct*$E$19*$B$19*INDEX(Cum_TILC,1,Assumptions!W$77),0)+IF(Assumptions!W$72=$D$20+RetailDowntime,((1-RetailRenewalProb)*NewLeaseTI+RetailRenewalProb*RenewalTI)*$B$20*INDEX(Cum_TILC,1,Assumptions!W$77)+LeasingCommissionPct*$E$20*$B$20*INDEX(Cum_TILC,1,Assumptions!W$77),0)+IF(Assumptions!W$72=$D$21+RetailDowntime,((1-RetailRenewalProb)*NewLeaseTI+RetailRenewalProb*RenewalTI)*$B$21*INDEX(Cum_TILC,1,Assumptions!W$77)+LeasingCommissionPct*$E$21*$B$21*INDEX(Cum_TILC,1,Assumptions!W$77),0)+IF(Assumptions!W$72=$D$22+RetailDowntime,((1-RetailRenewalProb)*NewLeaseTI+RetailRenewalProb*RenewalTI)*$B$22*INDEX(Cum_TILC,1,Assumptions!W$77)+LeasingCommissionPct*$E$22*$B$22*INDEX(Cum_TILC,1,Assumptions!W$77),0))*Assumptions!W$74</f>
        <v/>
      </c>
      <c r="X41" s="52">
        <f>(IF(Assumptions!X$72=$D$17+RetailDowntime,((1-RetailRenewalProb)*NewLeaseTI+RetailRenewalProb*RenewalTI)*$B$17*INDEX(Cum_TILC,1,Assumptions!X$77)+LeasingCommissionPct*$E$17*$B$17*INDEX(Cum_TILC,1,Assumptions!X$77),0)+IF(Assumptions!X$72=$D$18+RetailDowntime,((1-RetailRenewalProb)*NewLeaseTI+RetailRenewalProb*RenewalTI)*$B$18*INDEX(Cum_TILC,1,Assumptions!X$77)+LeasingCommissionPct*$E$18*$B$18*INDEX(Cum_TILC,1,Assumptions!X$77),0)+IF(Assumptions!X$72=$D$19+RetailDowntime,((1-RetailRenewalProb)*NewLeaseTI+RetailRenewalProb*RenewalTI)*$B$19*INDEX(Cum_TILC,1,Assumptions!X$77)+LeasingCommissionPct*$E$19*$B$19*INDEX(Cum_TILC,1,Assumptions!X$77),0)+IF(Assumptions!X$72=$D$20+RetailDowntime,((1-RetailRenewalProb)*NewLeaseTI+RetailRenewalProb*RenewalTI)*$B$20*INDEX(Cum_TILC,1,Assumptions!X$77)+LeasingCommissionPct*$E$20*$B$20*INDEX(Cum_TILC,1,Assumptions!X$77),0)+IF(Assumptions!X$72=$D$21+RetailDowntime,((1-RetailRenewalProb)*NewLeaseTI+RetailRenewalProb*RenewalTI)*$B$21*INDEX(Cum_TILC,1,Assumptions!X$77)+LeasingCommissionPct*$E$21*$B$21*INDEX(Cum_TILC,1,Assumptions!X$77),0)+IF(Assumptions!X$72=$D$22+RetailDowntime,((1-RetailRenewalProb)*NewLeaseTI+RetailRenewalProb*RenewalTI)*$B$22*INDEX(Cum_TILC,1,Assumptions!X$77)+LeasingCommissionPct*$E$22*$B$22*INDEX(Cum_TILC,1,Assumptions!X$77),0))*Assumptions!X$74</f>
        <v/>
      </c>
      <c r="Y41" s="52">
        <f>(IF(Assumptions!Y$72=$D$17+RetailDowntime,((1-RetailRenewalProb)*NewLeaseTI+RetailRenewalProb*RenewalTI)*$B$17*INDEX(Cum_TILC,1,Assumptions!Y$77)+LeasingCommissionPct*$E$17*$B$17*INDEX(Cum_TILC,1,Assumptions!Y$77),0)+IF(Assumptions!Y$72=$D$18+RetailDowntime,((1-RetailRenewalProb)*NewLeaseTI+RetailRenewalProb*RenewalTI)*$B$18*INDEX(Cum_TILC,1,Assumptions!Y$77)+LeasingCommissionPct*$E$18*$B$18*INDEX(Cum_TILC,1,Assumptions!Y$77),0)+IF(Assumptions!Y$72=$D$19+RetailDowntime,((1-RetailRenewalProb)*NewLeaseTI+RetailRenewalProb*RenewalTI)*$B$19*INDEX(Cum_TILC,1,Assumptions!Y$77)+LeasingCommissionPct*$E$19*$B$19*INDEX(Cum_TILC,1,Assumptions!Y$77),0)+IF(Assumptions!Y$72=$D$20+RetailDowntime,((1-RetailRenewalProb)*NewLeaseTI+RetailRenewalProb*RenewalTI)*$B$20*INDEX(Cum_TILC,1,Assumptions!Y$77)+LeasingCommissionPct*$E$20*$B$20*INDEX(Cum_TILC,1,Assumptions!Y$77),0)+IF(Assumptions!Y$72=$D$21+RetailDowntime,((1-RetailRenewalProb)*NewLeaseTI+RetailRenewalProb*RenewalTI)*$B$21*INDEX(Cum_TILC,1,Assumptions!Y$77)+LeasingCommissionPct*$E$21*$B$21*INDEX(Cum_TILC,1,Assumptions!Y$77),0)+IF(Assumptions!Y$72=$D$22+RetailDowntime,((1-RetailRenewalProb)*NewLeaseTI+RetailRenewalProb*RenewalTI)*$B$22*INDEX(Cum_TILC,1,Assumptions!Y$77)+LeasingCommissionPct*$E$22*$B$22*INDEX(Cum_TILC,1,Assumptions!Y$77),0))*Assumptions!Y$74</f>
        <v/>
      </c>
      <c r="Z41" s="52">
        <f>(IF(Assumptions!Z$72=$D$17+RetailDowntime,((1-RetailRenewalProb)*NewLeaseTI+RetailRenewalProb*RenewalTI)*$B$17*INDEX(Cum_TILC,1,Assumptions!Z$77)+LeasingCommissionPct*$E$17*$B$17*INDEX(Cum_TILC,1,Assumptions!Z$77),0)+IF(Assumptions!Z$72=$D$18+RetailDowntime,((1-RetailRenewalProb)*NewLeaseTI+RetailRenewalProb*RenewalTI)*$B$18*INDEX(Cum_TILC,1,Assumptions!Z$77)+LeasingCommissionPct*$E$18*$B$18*INDEX(Cum_TILC,1,Assumptions!Z$77),0)+IF(Assumptions!Z$72=$D$19+RetailDowntime,((1-RetailRenewalProb)*NewLeaseTI+RetailRenewalProb*RenewalTI)*$B$19*INDEX(Cum_TILC,1,Assumptions!Z$77)+LeasingCommissionPct*$E$19*$B$19*INDEX(Cum_TILC,1,Assumptions!Z$77),0)+IF(Assumptions!Z$72=$D$20+RetailDowntime,((1-RetailRenewalProb)*NewLeaseTI+RetailRenewalProb*RenewalTI)*$B$20*INDEX(Cum_TILC,1,Assumptions!Z$77)+LeasingCommissionPct*$E$20*$B$20*INDEX(Cum_TILC,1,Assumptions!Z$77),0)+IF(Assumptions!Z$72=$D$21+RetailDowntime,((1-RetailRenewalProb)*NewLeaseTI+RetailRenewalProb*RenewalTI)*$B$21*INDEX(Cum_TILC,1,Assumptions!Z$77)+LeasingCommissionPct*$E$21*$B$21*INDEX(Cum_TILC,1,Assumptions!Z$77),0)+IF(Assumptions!Z$72=$D$22+RetailDowntime,((1-RetailRenewalProb)*NewLeaseTI+RetailRenewalProb*RenewalTI)*$B$22*INDEX(Cum_TILC,1,Assumptions!Z$77)+LeasingCommissionPct*$E$22*$B$22*INDEX(Cum_TILC,1,Assumptions!Z$77),0))*Assumptions!Z$74</f>
        <v/>
      </c>
      <c r="AA41" s="52">
        <f>(IF(Assumptions!AA$72=$D$17+RetailDowntime,((1-RetailRenewalProb)*NewLeaseTI+RetailRenewalProb*RenewalTI)*$B$17*INDEX(Cum_TILC,1,Assumptions!AA$77)+LeasingCommissionPct*$E$17*$B$17*INDEX(Cum_TILC,1,Assumptions!AA$77),0)+IF(Assumptions!AA$72=$D$18+RetailDowntime,((1-RetailRenewalProb)*NewLeaseTI+RetailRenewalProb*RenewalTI)*$B$18*INDEX(Cum_TILC,1,Assumptions!AA$77)+LeasingCommissionPct*$E$18*$B$18*INDEX(Cum_TILC,1,Assumptions!AA$77),0)+IF(Assumptions!AA$72=$D$19+RetailDowntime,((1-RetailRenewalProb)*NewLeaseTI+RetailRenewalProb*RenewalTI)*$B$19*INDEX(Cum_TILC,1,Assumptions!AA$77)+LeasingCommissionPct*$E$19*$B$19*INDEX(Cum_TILC,1,Assumptions!AA$77),0)+IF(Assumptions!AA$72=$D$20+RetailDowntime,((1-RetailRenewalProb)*NewLeaseTI+RetailRenewalProb*RenewalTI)*$B$20*INDEX(Cum_TILC,1,Assumptions!AA$77)+LeasingCommissionPct*$E$20*$B$20*INDEX(Cum_TILC,1,Assumptions!AA$77),0)+IF(Assumptions!AA$72=$D$21+RetailDowntime,((1-RetailRenewalProb)*NewLeaseTI+RetailRenewalProb*RenewalTI)*$B$21*INDEX(Cum_TILC,1,Assumptions!AA$77)+LeasingCommissionPct*$E$21*$B$21*INDEX(Cum_TILC,1,Assumptions!AA$77),0)+IF(Assumptions!AA$72=$D$22+RetailDowntime,((1-RetailRenewalProb)*NewLeaseTI+RetailRenewalProb*RenewalTI)*$B$22*INDEX(Cum_TILC,1,Assumptions!AA$77)+LeasingCommissionPct*$E$22*$B$22*INDEX(Cum_TILC,1,Assumptions!AA$77),0))*Assumptions!AA$74</f>
        <v/>
      </c>
      <c r="AB41" s="52">
        <f>(IF(Assumptions!AB$72=$D$17+RetailDowntime,((1-RetailRenewalProb)*NewLeaseTI+RetailRenewalProb*RenewalTI)*$B$17*INDEX(Cum_TILC,1,Assumptions!AB$77)+LeasingCommissionPct*$E$17*$B$17*INDEX(Cum_TILC,1,Assumptions!AB$77),0)+IF(Assumptions!AB$72=$D$18+RetailDowntime,((1-RetailRenewalProb)*NewLeaseTI+RetailRenewalProb*RenewalTI)*$B$18*INDEX(Cum_TILC,1,Assumptions!AB$77)+LeasingCommissionPct*$E$18*$B$18*INDEX(Cum_TILC,1,Assumptions!AB$77),0)+IF(Assumptions!AB$72=$D$19+RetailDowntime,((1-RetailRenewalProb)*NewLeaseTI+RetailRenewalProb*RenewalTI)*$B$19*INDEX(Cum_TILC,1,Assumptions!AB$77)+LeasingCommissionPct*$E$19*$B$19*INDEX(Cum_TILC,1,Assumptions!AB$77),0)+IF(Assumptions!AB$72=$D$20+RetailDowntime,((1-RetailRenewalProb)*NewLeaseTI+RetailRenewalProb*RenewalTI)*$B$20*INDEX(Cum_TILC,1,Assumptions!AB$77)+LeasingCommissionPct*$E$20*$B$20*INDEX(Cum_TILC,1,Assumptions!AB$77),0)+IF(Assumptions!AB$72=$D$21+RetailDowntime,((1-RetailRenewalProb)*NewLeaseTI+RetailRenewalProb*RenewalTI)*$B$21*INDEX(Cum_TILC,1,Assumptions!AB$77)+LeasingCommissionPct*$E$21*$B$21*INDEX(Cum_TILC,1,Assumptions!AB$77),0)+IF(Assumptions!AB$72=$D$22+RetailDowntime,((1-RetailRenewalProb)*NewLeaseTI+RetailRenewalProb*RenewalTI)*$B$22*INDEX(Cum_TILC,1,Assumptions!AB$77)+LeasingCommissionPct*$E$22*$B$22*INDEX(Cum_TILC,1,Assumptions!AB$77),0))*Assumptions!AB$74</f>
        <v/>
      </c>
      <c r="AC41" s="52">
        <f>(IF(Assumptions!AC$72=$D$17+RetailDowntime,((1-RetailRenewalProb)*NewLeaseTI+RetailRenewalProb*RenewalTI)*$B$17*INDEX(Cum_TILC,1,Assumptions!AC$77)+LeasingCommissionPct*$E$17*$B$17*INDEX(Cum_TILC,1,Assumptions!AC$77),0)+IF(Assumptions!AC$72=$D$18+RetailDowntime,((1-RetailRenewalProb)*NewLeaseTI+RetailRenewalProb*RenewalTI)*$B$18*INDEX(Cum_TILC,1,Assumptions!AC$77)+LeasingCommissionPct*$E$18*$B$18*INDEX(Cum_TILC,1,Assumptions!AC$77),0)+IF(Assumptions!AC$72=$D$19+RetailDowntime,((1-RetailRenewalProb)*NewLeaseTI+RetailRenewalProb*RenewalTI)*$B$19*INDEX(Cum_TILC,1,Assumptions!AC$77)+LeasingCommissionPct*$E$19*$B$19*INDEX(Cum_TILC,1,Assumptions!AC$77),0)+IF(Assumptions!AC$72=$D$20+RetailDowntime,((1-RetailRenewalProb)*NewLeaseTI+RetailRenewalProb*RenewalTI)*$B$20*INDEX(Cum_TILC,1,Assumptions!AC$77)+LeasingCommissionPct*$E$20*$B$20*INDEX(Cum_TILC,1,Assumptions!AC$77),0)+IF(Assumptions!AC$72=$D$21+RetailDowntime,((1-RetailRenewalProb)*NewLeaseTI+RetailRenewalProb*RenewalTI)*$B$21*INDEX(Cum_TILC,1,Assumptions!AC$77)+LeasingCommissionPct*$E$21*$B$21*INDEX(Cum_TILC,1,Assumptions!AC$77),0)+IF(Assumptions!AC$72=$D$22+RetailDowntime,((1-RetailRenewalProb)*NewLeaseTI+RetailRenewalProb*RenewalTI)*$B$22*INDEX(Cum_TILC,1,Assumptions!AC$77)+LeasingCommissionPct*$E$22*$B$22*INDEX(Cum_TILC,1,Assumptions!AC$77),0))*Assumptions!AC$74</f>
        <v/>
      </c>
      <c r="AD41" s="52">
        <f>(IF(Assumptions!AD$72=$D$17+RetailDowntime,((1-RetailRenewalProb)*NewLeaseTI+RetailRenewalProb*RenewalTI)*$B$17*INDEX(Cum_TILC,1,Assumptions!AD$77)+LeasingCommissionPct*$E$17*$B$17*INDEX(Cum_TILC,1,Assumptions!AD$77),0)+IF(Assumptions!AD$72=$D$18+RetailDowntime,((1-RetailRenewalProb)*NewLeaseTI+RetailRenewalProb*RenewalTI)*$B$18*INDEX(Cum_TILC,1,Assumptions!AD$77)+LeasingCommissionPct*$E$18*$B$18*INDEX(Cum_TILC,1,Assumptions!AD$77),0)+IF(Assumptions!AD$72=$D$19+RetailDowntime,((1-RetailRenewalProb)*NewLeaseTI+RetailRenewalProb*RenewalTI)*$B$19*INDEX(Cum_TILC,1,Assumptions!AD$77)+LeasingCommissionPct*$E$19*$B$19*INDEX(Cum_TILC,1,Assumptions!AD$77),0)+IF(Assumptions!AD$72=$D$20+RetailDowntime,((1-RetailRenewalProb)*NewLeaseTI+RetailRenewalProb*RenewalTI)*$B$20*INDEX(Cum_TILC,1,Assumptions!AD$77)+LeasingCommissionPct*$E$20*$B$20*INDEX(Cum_TILC,1,Assumptions!AD$77),0)+IF(Assumptions!AD$72=$D$21+RetailDowntime,((1-RetailRenewalProb)*NewLeaseTI+RetailRenewalProb*RenewalTI)*$B$21*INDEX(Cum_TILC,1,Assumptions!AD$77)+LeasingCommissionPct*$E$21*$B$21*INDEX(Cum_TILC,1,Assumptions!AD$77),0)+IF(Assumptions!AD$72=$D$22+RetailDowntime,((1-RetailRenewalProb)*NewLeaseTI+RetailRenewalProb*RenewalTI)*$B$22*INDEX(Cum_TILC,1,Assumptions!AD$77)+LeasingCommissionPct*$E$22*$B$22*INDEX(Cum_TILC,1,Assumptions!AD$77),0))*Assumptions!AD$74</f>
        <v/>
      </c>
      <c r="AE41" s="52">
        <f>(IF(Assumptions!AE$72=$D$17+RetailDowntime,((1-RetailRenewalProb)*NewLeaseTI+RetailRenewalProb*RenewalTI)*$B$17*INDEX(Cum_TILC,1,Assumptions!AE$77)+LeasingCommissionPct*$E$17*$B$17*INDEX(Cum_TILC,1,Assumptions!AE$77),0)+IF(Assumptions!AE$72=$D$18+RetailDowntime,((1-RetailRenewalProb)*NewLeaseTI+RetailRenewalProb*RenewalTI)*$B$18*INDEX(Cum_TILC,1,Assumptions!AE$77)+LeasingCommissionPct*$E$18*$B$18*INDEX(Cum_TILC,1,Assumptions!AE$77),0)+IF(Assumptions!AE$72=$D$19+RetailDowntime,((1-RetailRenewalProb)*NewLeaseTI+RetailRenewalProb*RenewalTI)*$B$19*INDEX(Cum_TILC,1,Assumptions!AE$77)+LeasingCommissionPct*$E$19*$B$19*INDEX(Cum_TILC,1,Assumptions!AE$77),0)+IF(Assumptions!AE$72=$D$20+RetailDowntime,((1-RetailRenewalProb)*NewLeaseTI+RetailRenewalProb*RenewalTI)*$B$20*INDEX(Cum_TILC,1,Assumptions!AE$77)+LeasingCommissionPct*$E$20*$B$20*INDEX(Cum_TILC,1,Assumptions!AE$77),0)+IF(Assumptions!AE$72=$D$21+RetailDowntime,((1-RetailRenewalProb)*NewLeaseTI+RetailRenewalProb*RenewalTI)*$B$21*INDEX(Cum_TILC,1,Assumptions!AE$77)+LeasingCommissionPct*$E$21*$B$21*INDEX(Cum_TILC,1,Assumptions!AE$77),0)+IF(Assumptions!AE$72=$D$22+RetailDowntime,((1-RetailRenewalProb)*NewLeaseTI+RetailRenewalProb*RenewalTI)*$B$22*INDEX(Cum_TILC,1,Assumptions!AE$77)+LeasingCommissionPct*$E$22*$B$22*INDEX(Cum_TILC,1,Assumptions!AE$77),0))*Assumptions!AE$74</f>
        <v/>
      </c>
      <c r="AF41" s="52">
        <f>(IF(Assumptions!AF$72=$D$17+RetailDowntime,((1-RetailRenewalProb)*NewLeaseTI+RetailRenewalProb*RenewalTI)*$B$17*INDEX(Cum_TILC,1,Assumptions!AF$77)+LeasingCommissionPct*$E$17*$B$17*INDEX(Cum_TILC,1,Assumptions!AF$77),0)+IF(Assumptions!AF$72=$D$18+RetailDowntime,((1-RetailRenewalProb)*NewLeaseTI+RetailRenewalProb*RenewalTI)*$B$18*INDEX(Cum_TILC,1,Assumptions!AF$77)+LeasingCommissionPct*$E$18*$B$18*INDEX(Cum_TILC,1,Assumptions!AF$77),0)+IF(Assumptions!AF$72=$D$19+RetailDowntime,((1-RetailRenewalProb)*NewLeaseTI+RetailRenewalProb*RenewalTI)*$B$19*INDEX(Cum_TILC,1,Assumptions!AF$77)+LeasingCommissionPct*$E$19*$B$19*INDEX(Cum_TILC,1,Assumptions!AF$77),0)+IF(Assumptions!AF$72=$D$20+RetailDowntime,((1-RetailRenewalProb)*NewLeaseTI+RetailRenewalProb*RenewalTI)*$B$20*INDEX(Cum_TILC,1,Assumptions!AF$77)+LeasingCommissionPct*$E$20*$B$20*INDEX(Cum_TILC,1,Assumptions!AF$77),0)+IF(Assumptions!AF$72=$D$21+RetailDowntime,((1-RetailRenewalProb)*NewLeaseTI+RetailRenewalProb*RenewalTI)*$B$21*INDEX(Cum_TILC,1,Assumptions!AF$77)+LeasingCommissionPct*$E$21*$B$21*INDEX(Cum_TILC,1,Assumptions!AF$77),0)+IF(Assumptions!AF$72=$D$22+RetailDowntime,((1-RetailRenewalProb)*NewLeaseTI+RetailRenewalProb*RenewalTI)*$B$22*INDEX(Cum_TILC,1,Assumptions!AF$77)+LeasingCommissionPct*$E$22*$B$22*INDEX(Cum_TILC,1,Assumptions!AF$77),0))*Assumptions!AF$74</f>
        <v/>
      </c>
      <c r="AG41" s="52">
        <f>(IF(Assumptions!AG$72=$D$17+RetailDowntime,((1-RetailRenewalProb)*NewLeaseTI+RetailRenewalProb*RenewalTI)*$B$17*INDEX(Cum_TILC,1,Assumptions!AG$77)+LeasingCommissionPct*$E$17*$B$17*INDEX(Cum_TILC,1,Assumptions!AG$77),0)+IF(Assumptions!AG$72=$D$18+RetailDowntime,((1-RetailRenewalProb)*NewLeaseTI+RetailRenewalProb*RenewalTI)*$B$18*INDEX(Cum_TILC,1,Assumptions!AG$77)+LeasingCommissionPct*$E$18*$B$18*INDEX(Cum_TILC,1,Assumptions!AG$77),0)+IF(Assumptions!AG$72=$D$19+RetailDowntime,((1-RetailRenewalProb)*NewLeaseTI+RetailRenewalProb*RenewalTI)*$B$19*INDEX(Cum_TILC,1,Assumptions!AG$77)+LeasingCommissionPct*$E$19*$B$19*INDEX(Cum_TILC,1,Assumptions!AG$77),0)+IF(Assumptions!AG$72=$D$20+RetailDowntime,((1-RetailRenewalProb)*NewLeaseTI+RetailRenewalProb*RenewalTI)*$B$20*INDEX(Cum_TILC,1,Assumptions!AG$77)+LeasingCommissionPct*$E$20*$B$20*INDEX(Cum_TILC,1,Assumptions!AG$77),0)+IF(Assumptions!AG$72=$D$21+RetailDowntime,((1-RetailRenewalProb)*NewLeaseTI+RetailRenewalProb*RenewalTI)*$B$21*INDEX(Cum_TILC,1,Assumptions!AG$77)+LeasingCommissionPct*$E$21*$B$21*INDEX(Cum_TILC,1,Assumptions!AG$77),0)+IF(Assumptions!AG$72=$D$22+RetailDowntime,((1-RetailRenewalProb)*NewLeaseTI+RetailRenewalProb*RenewalTI)*$B$22*INDEX(Cum_TILC,1,Assumptions!AG$77)+LeasingCommissionPct*$E$22*$B$22*INDEX(Cum_TILC,1,Assumptions!AG$77),0))*Assumptions!AG$74</f>
        <v/>
      </c>
      <c r="AH41" s="52">
        <f>(IF(Assumptions!AH$72=$D$17+RetailDowntime,((1-RetailRenewalProb)*NewLeaseTI+RetailRenewalProb*RenewalTI)*$B$17*INDEX(Cum_TILC,1,Assumptions!AH$77)+LeasingCommissionPct*$E$17*$B$17*INDEX(Cum_TILC,1,Assumptions!AH$77),0)+IF(Assumptions!AH$72=$D$18+RetailDowntime,((1-RetailRenewalProb)*NewLeaseTI+RetailRenewalProb*RenewalTI)*$B$18*INDEX(Cum_TILC,1,Assumptions!AH$77)+LeasingCommissionPct*$E$18*$B$18*INDEX(Cum_TILC,1,Assumptions!AH$77),0)+IF(Assumptions!AH$72=$D$19+RetailDowntime,((1-RetailRenewalProb)*NewLeaseTI+RetailRenewalProb*RenewalTI)*$B$19*INDEX(Cum_TILC,1,Assumptions!AH$77)+LeasingCommissionPct*$E$19*$B$19*INDEX(Cum_TILC,1,Assumptions!AH$77),0)+IF(Assumptions!AH$72=$D$20+RetailDowntime,((1-RetailRenewalProb)*NewLeaseTI+RetailRenewalProb*RenewalTI)*$B$20*INDEX(Cum_TILC,1,Assumptions!AH$77)+LeasingCommissionPct*$E$20*$B$20*INDEX(Cum_TILC,1,Assumptions!AH$77),0)+IF(Assumptions!AH$72=$D$21+RetailDowntime,((1-RetailRenewalProb)*NewLeaseTI+RetailRenewalProb*RenewalTI)*$B$21*INDEX(Cum_TILC,1,Assumptions!AH$77)+LeasingCommissionPct*$E$21*$B$21*INDEX(Cum_TILC,1,Assumptions!AH$77),0)+IF(Assumptions!AH$72=$D$22+RetailDowntime,((1-RetailRenewalProb)*NewLeaseTI+RetailRenewalProb*RenewalTI)*$B$22*INDEX(Cum_TILC,1,Assumptions!AH$77)+LeasingCommissionPct*$E$22*$B$22*INDEX(Cum_TILC,1,Assumptions!AH$77),0))*Assumptions!AH$74</f>
        <v/>
      </c>
      <c r="AI41" s="52">
        <f>(IF(Assumptions!AI$72=$D$17+RetailDowntime,((1-RetailRenewalProb)*NewLeaseTI+RetailRenewalProb*RenewalTI)*$B$17*INDEX(Cum_TILC,1,Assumptions!AI$77)+LeasingCommissionPct*$E$17*$B$17*INDEX(Cum_TILC,1,Assumptions!AI$77),0)+IF(Assumptions!AI$72=$D$18+RetailDowntime,((1-RetailRenewalProb)*NewLeaseTI+RetailRenewalProb*RenewalTI)*$B$18*INDEX(Cum_TILC,1,Assumptions!AI$77)+LeasingCommissionPct*$E$18*$B$18*INDEX(Cum_TILC,1,Assumptions!AI$77),0)+IF(Assumptions!AI$72=$D$19+RetailDowntime,((1-RetailRenewalProb)*NewLeaseTI+RetailRenewalProb*RenewalTI)*$B$19*INDEX(Cum_TILC,1,Assumptions!AI$77)+LeasingCommissionPct*$E$19*$B$19*INDEX(Cum_TILC,1,Assumptions!AI$77),0)+IF(Assumptions!AI$72=$D$20+RetailDowntime,((1-RetailRenewalProb)*NewLeaseTI+RetailRenewalProb*RenewalTI)*$B$20*INDEX(Cum_TILC,1,Assumptions!AI$77)+LeasingCommissionPct*$E$20*$B$20*INDEX(Cum_TILC,1,Assumptions!AI$77),0)+IF(Assumptions!AI$72=$D$21+RetailDowntime,((1-RetailRenewalProb)*NewLeaseTI+RetailRenewalProb*RenewalTI)*$B$21*INDEX(Cum_TILC,1,Assumptions!AI$77)+LeasingCommissionPct*$E$21*$B$21*INDEX(Cum_TILC,1,Assumptions!AI$77),0)+IF(Assumptions!AI$72=$D$22+RetailDowntime,((1-RetailRenewalProb)*NewLeaseTI+RetailRenewalProb*RenewalTI)*$B$22*INDEX(Cum_TILC,1,Assumptions!AI$77)+LeasingCommissionPct*$E$22*$B$22*INDEX(Cum_TILC,1,Assumptions!AI$77),0))*Assumptions!AI$74</f>
        <v/>
      </c>
      <c r="AJ41" s="52">
        <f>(IF(Assumptions!AJ$72=$D$17+RetailDowntime,((1-RetailRenewalProb)*NewLeaseTI+RetailRenewalProb*RenewalTI)*$B$17*INDEX(Cum_TILC,1,Assumptions!AJ$77)+LeasingCommissionPct*$E$17*$B$17*INDEX(Cum_TILC,1,Assumptions!AJ$77),0)+IF(Assumptions!AJ$72=$D$18+RetailDowntime,((1-RetailRenewalProb)*NewLeaseTI+RetailRenewalProb*RenewalTI)*$B$18*INDEX(Cum_TILC,1,Assumptions!AJ$77)+LeasingCommissionPct*$E$18*$B$18*INDEX(Cum_TILC,1,Assumptions!AJ$77),0)+IF(Assumptions!AJ$72=$D$19+RetailDowntime,((1-RetailRenewalProb)*NewLeaseTI+RetailRenewalProb*RenewalTI)*$B$19*INDEX(Cum_TILC,1,Assumptions!AJ$77)+LeasingCommissionPct*$E$19*$B$19*INDEX(Cum_TILC,1,Assumptions!AJ$77),0)+IF(Assumptions!AJ$72=$D$20+RetailDowntime,((1-RetailRenewalProb)*NewLeaseTI+RetailRenewalProb*RenewalTI)*$B$20*INDEX(Cum_TILC,1,Assumptions!AJ$77)+LeasingCommissionPct*$E$20*$B$20*INDEX(Cum_TILC,1,Assumptions!AJ$77),0)+IF(Assumptions!AJ$72=$D$21+RetailDowntime,((1-RetailRenewalProb)*NewLeaseTI+RetailRenewalProb*RenewalTI)*$B$21*INDEX(Cum_TILC,1,Assumptions!AJ$77)+LeasingCommissionPct*$E$21*$B$21*INDEX(Cum_TILC,1,Assumptions!AJ$77),0)+IF(Assumptions!AJ$72=$D$22+RetailDowntime,((1-RetailRenewalProb)*NewLeaseTI+RetailRenewalProb*RenewalTI)*$B$22*INDEX(Cum_TILC,1,Assumptions!AJ$77)+LeasingCommissionPct*$E$22*$B$22*INDEX(Cum_TILC,1,Assumptions!AJ$77),0))*Assumptions!AJ$74</f>
        <v/>
      </c>
      <c r="AK41" s="52">
        <f>(IF(Assumptions!AK$72=$D$17+RetailDowntime,((1-RetailRenewalProb)*NewLeaseTI+RetailRenewalProb*RenewalTI)*$B$17*INDEX(Cum_TILC,1,Assumptions!AK$77)+LeasingCommissionPct*$E$17*$B$17*INDEX(Cum_TILC,1,Assumptions!AK$77),0)+IF(Assumptions!AK$72=$D$18+RetailDowntime,((1-RetailRenewalProb)*NewLeaseTI+RetailRenewalProb*RenewalTI)*$B$18*INDEX(Cum_TILC,1,Assumptions!AK$77)+LeasingCommissionPct*$E$18*$B$18*INDEX(Cum_TILC,1,Assumptions!AK$77),0)+IF(Assumptions!AK$72=$D$19+RetailDowntime,((1-RetailRenewalProb)*NewLeaseTI+RetailRenewalProb*RenewalTI)*$B$19*INDEX(Cum_TILC,1,Assumptions!AK$77)+LeasingCommissionPct*$E$19*$B$19*INDEX(Cum_TILC,1,Assumptions!AK$77),0)+IF(Assumptions!AK$72=$D$20+RetailDowntime,((1-RetailRenewalProb)*NewLeaseTI+RetailRenewalProb*RenewalTI)*$B$20*INDEX(Cum_TILC,1,Assumptions!AK$77)+LeasingCommissionPct*$E$20*$B$20*INDEX(Cum_TILC,1,Assumptions!AK$77),0)+IF(Assumptions!AK$72=$D$21+RetailDowntime,((1-RetailRenewalProb)*NewLeaseTI+RetailRenewalProb*RenewalTI)*$B$21*INDEX(Cum_TILC,1,Assumptions!AK$77)+LeasingCommissionPct*$E$21*$B$21*INDEX(Cum_TILC,1,Assumptions!AK$77),0)+IF(Assumptions!AK$72=$D$22+RetailDowntime,((1-RetailRenewalProb)*NewLeaseTI+RetailRenewalProb*RenewalTI)*$B$22*INDEX(Cum_TILC,1,Assumptions!AK$77)+LeasingCommissionPct*$E$22*$B$22*INDEX(Cum_TILC,1,Assumptions!AK$77),0))*Assumptions!AK$74</f>
        <v/>
      </c>
      <c r="AL41" s="52">
        <f>(IF(Assumptions!AL$72=$D$17+RetailDowntime,((1-RetailRenewalProb)*NewLeaseTI+RetailRenewalProb*RenewalTI)*$B$17*INDEX(Cum_TILC,1,Assumptions!AL$77)+LeasingCommissionPct*$E$17*$B$17*INDEX(Cum_TILC,1,Assumptions!AL$77),0)+IF(Assumptions!AL$72=$D$18+RetailDowntime,((1-RetailRenewalProb)*NewLeaseTI+RetailRenewalProb*RenewalTI)*$B$18*INDEX(Cum_TILC,1,Assumptions!AL$77)+LeasingCommissionPct*$E$18*$B$18*INDEX(Cum_TILC,1,Assumptions!AL$77),0)+IF(Assumptions!AL$72=$D$19+RetailDowntime,((1-RetailRenewalProb)*NewLeaseTI+RetailRenewalProb*RenewalTI)*$B$19*INDEX(Cum_TILC,1,Assumptions!AL$77)+LeasingCommissionPct*$E$19*$B$19*INDEX(Cum_TILC,1,Assumptions!AL$77),0)+IF(Assumptions!AL$72=$D$20+RetailDowntime,((1-RetailRenewalProb)*NewLeaseTI+RetailRenewalProb*RenewalTI)*$B$20*INDEX(Cum_TILC,1,Assumptions!AL$77)+LeasingCommissionPct*$E$20*$B$20*INDEX(Cum_TILC,1,Assumptions!AL$77),0)+IF(Assumptions!AL$72=$D$21+RetailDowntime,((1-RetailRenewalProb)*NewLeaseTI+RetailRenewalProb*RenewalTI)*$B$21*INDEX(Cum_TILC,1,Assumptions!AL$77)+LeasingCommissionPct*$E$21*$B$21*INDEX(Cum_TILC,1,Assumptions!AL$77),0)+IF(Assumptions!AL$72=$D$22+RetailDowntime,((1-RetailRenewalProb)*NewLeaseTI+RetailRenewalProb*RenewalTI)*$B$22*INDEX(Cum_TILC,1,Assumptions!AL$77)+LeasingCommissionPct*$E$22*$B$22*INDEX(Cum_TILC,1,Assumptions!AL$77),0))*Assumptions!AL$74</f>
        <v/>
      </c>
      <c r="AM41" s="52">
        <f>(IF(Assumptions!AM$72=$D$17+RetailDowntime,((1-RetailRenewalProb)*NewLeaseTI+RetailRenewalProb*RenewalTI)*$B$17*INDEX(Cum_TILC,1,Assumptions!AM$77)+LeasingCommissionPct*$E$17*$B$17*INDEX(Cum_TILC,1,Assumptions!AM$77),0)+IF(Assumptions!AM$72=$D$18+RetailDowntime,((1-RetailRenewalProb)*NewLeaseTI+RetailRenewalProb*RenewalTI)*$B$18*INDEX(Cum_TILC,1,Assumptions!AM$77)+LeasingCommissionPct*$E$18*$B$18*INDEX(Cum_TILC,1,Assumptions!AM$77),0)+IF(Assumptions!AM$72=$D$19+RetailDowntime,((1-RetailRenewalProb)*NewLeaseTI+RetailRenewalProb*RenewalTI)*$B$19*INDEX(Cum_TILC,1,Assumptions!AM$77)+LeasingCommissionPct*$E$19*$B$19*INDEX(Cum_TILC,1,Assumptions!AM$77),0)+IF(Assumptions!AM$72=$D$20+RetailDowntime,((1-RetailRenewalProb)*NewLeaseTI+RetailRenewalProb*RenewalTI)*$B$20*INDEX(Cum_TILC,1,Assumptions!AM$77)+LeasingCommissionPct*$E$20*$B$20*INDEX(Cum_TILC,1,Assumptions!AM$77),0)+IF(Assumptions!AM$72=$D$21+RetailDowntime,((1-RetailRenewalProb)*NewLeaseTI+RetailRenewalProb*RenewalTI)*$B$21*INDEX(Cum_TILC,1,Assumptions!AM$77)+LeasingCommissionPct*$E$21*$B$21*INDEX(Cum_TILC,1,Assumptions!AM$77),0)+IF(Assumptions!AM$72=$D$22+RetailDowntime,((1-RetailRenewalProb)*NewLeaseTI+RetailRenewalProb*RenewalTI)*$B$22*INDEX(Cum_TILC,1,Assumptions!AM$77)+LeasingCommissionPct*$E$22*$B$22*INDEX(Cum_TILC,1,Assumptions!AM$77),0))*Assumptions!AM$74</f>
        <v/>
      </c>
      <c r="AN41" s="52">
        <f>(IF(Assumptions!AN$72=$D$17+RetailDowntime,((1-RetailRenewalProb)*NewLeaseTI+RetailRenewalProb*RenewalTI)*$B$17*INDEX(Cum_TILC,1,Assumptions!AN$77)+LeasingCommissionPct*$E$17*$B$17*INDEX(Cum_TILC,1,Assumptions!AN$77),0)+IF(Assumptions!AN$72=$D$18+RetailDowntime,((1-RetailRenewalProb)*NewLeaseTI+RetailRenewalProb*RenewalTI)*$B$18*INDEX(Cum_TILC,1,Assumptions!AN$77)+LeasingCommissionPct*$E$18*$B$18*INDEX(Cum_TILC,1,Assumptions!AN$77),0)+IF(Assumptions!AN$72=$D$19+RetailDowntime,((1-RetailRenewalProb)*NewLeaseTI+RetailRenewalProb*RenewalTI)*$B$19*INDEX(Cum_TILC,1,Assumptions!AN$77)+LeasingCommissionPct*$E$19*$B$19*INDEX(Cum_TILC,1,Assumptions!AN$77),0)+IF(Assumptions!AN$72=$D$20+RetailDowntime,((1-RetailRenewalProb)*NewLeaseTI+RetailRenewalProb*RenewalTI)*$B$20*INDEX(Cum_TILC,1,Assumptions!AN$77)+LeasingCommissionPct*$E$20*$B$20*INDEX(Cum_TILC,1,Assumptions!AN$77),0)+IF(Assumptions!AN$72=$D$21+RetailDowntime,((1-RetailRenewalProb)*NewLeaseTI+RetailRenewalProb*RenewalTI)*$B$21*INDEX(Cum_TILC,1,Assumptions!AN$77)+LeasingCommissionPct*$E$21*$B$21*INDEX(Cum_TILC,1,Assumptions!AN$77),0)+IF(Assumptions!AN$72=$D$22+RetailDowntime,((1-RetailRenewalProb)*NewLeaseTI+RetailRenewalProb*RenewalTI)*$B$22*INDEX(Cum_TILC,1,Assumptions!AN$77)+LeasingCommissionPct*$E$22*$B$22*INDEX(Cum_TILC,1,Assumptions!AN$77),0))*Assumptions!AN$74</f>
        <v/>
      </c>
      <c r="AO41" s="52">
        <f>(IF(Assumptions!AO$72=$D$17+RetailDowntime,((1-RetailRenewalProb)*NewLeaseTI+RetailRenewalProb*RenewalTI)*$B$17*INDEX(Cum_TILC,1,Assumptions!AO$77)+LeasingCommissionPct*$E$17*$B$17*INDEX(Cum_TILC,1,Assumptions!AO$77),0)+IF(Assumptions!AO$72=$D$18+RetailDowntime,((1-RetailRenewalProb)*NewLeaseTI+RetailRenewalProb*RenewalTI)*$B$18*INDEX(Cum_TILC,1,Assumptions!AO$77)+LeasingCommissionPct*$E$18*$B$18*INDEX(Cum_TILC,1,Assumptions!AO$77),0)+IF(Assumptions!AO$72=$D$19+RetailDowntime,((1-RetailRenewalProb)*NewLeaseTI+RetailRenewalProb*RenewalTI)*$B$19*INDEX(Cum_TILC,1,Assumptions!AO$77)+LeasingCommissionPct*$E$19*$B$19*INDEX(Cum_TILC,1,Assumptions!AO$77),0)+IF(Assumptions!AO$72=$D$20+RetailDowntime,((1-RetailRenewalProb)*NewLeaseTI+RetailRenewalProb*RenewalTI)*$B$20*INDEX(Cum_TILC,1,Assumptions!AO$77)+LeasingCommissionPct*$E$20*$B$20*INDEX(Cum_TILC,1,Assumptions!AO$77),0)+IF(Assumptions!AO$72=$D$21+RetailDowntime,((1-RetailRenewalProb)*NewLeaseTI+RetailRenewalProb*RenewalTI)*$B$21*INDEX(Cum_TILC,1,Assumptions!AO$77)+LeasingCommissionPct*$E$21*$B$21*INDEX(Cum_TILC,1,Assumptions!AO$77),0)+IF(Assumptions!AO$72=$D$22+RetailDowntime,((1-RetailRenewalProb)*NewLeaseTI+RetailRenewalProb*RenewalTI)*$B$22*INDEX(Cum_TILC,1,Assumptions!AO$77)+LeasingCommissionPct*$E$22*$B$22*INDEX(Cum_TILC,1,Assumptions!AO$77),0))*Assumptions!AO$74</f>
        <v/>
      </c>
      <c r="AP41" s="52">
        <f>(IF(Assumptions!AP$72=$D$17+RetailDowntime,((1-RetailRenewalProb)*NewLeaseTI+RetailRenewalProb*RenewalTI)*$B$17*INDEX(Cum_TILC,1,Assumptions!AP$77)+LeasingCommissionPct*$E$17*$B$17*INDEX(Cum_TILC,1,Assumptions!AP$77),0)+IF(Assumptions!AP$72=$D$18+RetailDowntime,((1-RetailRenewalProb)*NewLeaseTI+RetailRenewalProb*RenewalTI)*$B$18*INDEX(Cum_TILC,1,Assumptions!AP$77)+LeasingCommissionPct*$E$18*$B$18*INDEX(Cum_TILC,1,Assumptions!AP$77),0)+IF(Assumptions!AP$72=$D$19+RetailDowntime,((1-RetailRenewalProb)*NewLeaseTI+RetailRenewalProb*RenewalTI)*$B$19*INDEX(Cum_TILC,1,Assumptions!AP$77)+LeasingCommissionPct*$E$19*$B$19*INDEX(Cum_TILC,1,Assumptions!AP$77),0)+IF(Assumptions!AP$72=$D$20+RetailDowntime,((1-RetailRenewalProb)*NewLeaseTI+RetailRenewalProb*RenewalTI)*$B$20*INDEX(Cum_TILC,1,Assumptions!AP$77)+LeasingCommissionPct*$E$20*$B$20*INDEX(Cum_TILC,1,Assumptions!AP$77),0)+IF(Assumptions!AP$72=$D$21+RetailDowntime,((1-RetailRenewalProb)*NewLeaseTI+RetailRenewalProb*RenewalTI)*$B$21*INDEX(Cum_TILC,1,Assumptions!AP$77)+LeasingCommissionPct*$E$21*$B$21*INDEX(Cum_TILC,1,Assumptions!AP$77),0)+IF(Assumptions!AP$72=$D$22+RetailDowntime,((1-RetailRenewalProb)*NewLeaseTI+RetailRenewalProb*RenewalTI)*$B$22*INDEX(Cum_TILC,1,Assumptions!AP$77)+LeasingCommissionPct*$E$22*$B$22*INDEX(Cum_TILC,1,Assumptions!AP$77),0))*Assumptions!AP$74</f>
        <v/>
      </c>
      <c r="AQ41" s="52">
        <f>(IF(Assumptions!AQ$72=$D$17+RetailDowntime,((1-RetailRenewalProb)*NewLeaseTI+RetailRenewalProb*RenewalTI)*$B$17*INDEX(Cum_TILC,1,Assumptions!AQ$77)+LeasingCommissionPct*$E$17*$B$17*INDEX(Cum_TILC,1,Assumptions!AQ$77),0)+IF(Assumptions!AQ$72=$D$18+RetailDowntime,((1-RetailRenewalProb)*NewLeaseTI+RetailRenewalProb*RenewalTI)*$B$18*INDEX(Cum_TILC,1,Assumptions!AQ$77)+LeasingCommissionPct*$E$18*$B$18*INDEX(Cum_TILC,1,Assumptions!AQ$77),0)+IF(Assumptions!AQ$72=$D$19+RetailDowntime,((1-RetailRenewalProb)*NewLeaseTI+RetailRenewalProb*RenewalTI)*$B$19*INDEX(Cum_TILC,1,Assumptions!AQ$77)+LeasingCommissionPct*$E$19*$B$19*INDEX(Cum_TILC,1,Assumptions!AQ$77),0)+IF(Assumptions!AQ$72=$D$20+RetailDowntime,((1-RetailRenewalProb)*NewLeaseTI+RetailRenewalProb*RenewalTI)*$B$20*INDEX(Cum_TILC,1,Assumptions!AQ$77)+LeasingCommissionPct*$E$20*$B$20*INDEX(Cum_TILC,1,Assumptions!AQ$77),0)+IF(Assumptions!AQ$72=$D$21+RetailDowntime,((1-RetailRenewalProb)*NewLeaseTI+RetailRenewalProb*RenewalTI)*$B$21*INDEX(Cum_TILC,1,Assumptions!AQ$77)+LeasingCommissionPct*$E$21*$B$21*INDEX(Cum_TILC,1,Assumptions!AQ$77),0)+IF(Assumptions!AQ$72=$D$22+RetailDowntime,((1-RetailRenewalProb)*NewLeaseTI+RetailRenewalProb*RenewalTI)*$B$22*INDEX(Cum_TILC,1,Assumptions!AQ$77)+LeasingCommissionPct*$E$22*$B$22*INDEX(Cum_TILC,1,Assumptions!AQ$77),0))*Assumptions!AQ$74</f>
        <v/>
      </c>
      <c r="AR41" s="52">
        <f>(IF(Assumptions!AR$72=$D$17+RetailDowntime,((1-RetailRenewalProb)*NewLeaseTI+RetailRenewalProb*RenewalTI)*$B$17*INDEX(Cum_TILC,1,Assumptions!AR$77)+LeasingCommissionPct*$E$17*$B$17*INDEX(Cum_TILC,1,Assumptions!AR$77),0)+IF(Assumptions!AR$72=$D$18+RetailDowntime,((1-RetailRenewalProb)*NewLeaseTI+RetailRenewalProb*RenewalTI)*$B$18*INDEX(Cum_TILC,1,Assumptions!AR$77)+LeasingCommissionPct*$E$18*$B$18*INDEX(Cum_TILC,1,Assumptions!AR$77),0)+IF(Assumptions!AR$72=$D$19+RetailDowntime,((1-RetailRenewalProb)*NewLeaseTI+RetailRenewalProb*RenewalTI)*$B$19*INDEX(Cum_TILC,1,Assumptions!AR$77)+LeasingCommissionPct*$E$19*$B$19*INDEX(Cum_TILC,1,Assumptions!AR$77),0)+IF(Assumptions!AR$72=$D$20+RetailDowntime,((1-RetailRenewalProb)*NewLeaseTI+RetailRenewalProb*RenewalTI)*$B$20*INDEX(Cum_TILC,1,Assumptions!AR$77)+LeasingCommissionPct*$E$20*$B$20*INDEX(Cum_TILC,1,Assumptions!AR$77),0)+IF(Assumptions!AR$72=$D$21+RetailDowntime,((1-RetailRenewalProb)*NewLeaseTI+RetailRenewalProb*RenewalTI)*$B$21*INDEX(Cum_TILC,1,Assumptions!AR$77)+LeasingCommissionPct*$E$21*$B$21*INDEX(Cum_TILC,1,Assumptions!AR$77),0)+IF(Assumptions!AR$72=$D$22+RetailDowntime,((1-RetailRenewalProb)*NewLeaseTI+RetailRenewalProb*RenewalTI)*$B$22*INDEX(Cum_TILC,1,Assumptions!AR$77)+LeasingCommissionPct*$E$22*$B$22*INDEX(Cum_TILC,1,Assumptions!AR$77),0))*Assumptions!AR$74</f>
        <v/>
      </c>
      <c r="AS41" s="52">
        <f>(IF(Assumptions!AS$72=$D$17+RetailDowntime,((1-RetailRenewalProb)*NewLeaseTI+RetailRenewalProb*RenewalTI)*$B$17*INDEX(Cum_TILC,1,Assumptions!AS$77)+LeasingCommissionPct*$E$17*$B$17*INDEX(Cum_TILC,1,Assumptions!AS$77),0)+IF(Assumptions!AS$72=$D$18+RetailDowntime,((1-RetailRenewalProb)*NewLeaseTI+RetailRenewalProb*RenewalTI)*$B$18*INDEX(Cum_TILC,1,Assumptions!AS$77)+LeasingCommissionPct*$E$18*$B$18*INDEX(Cum_TILC,1,Assumptions!AS$77),0)+IF(Assumptions!AS$72=$D$19+RetailDowntime,((1-RetailRenewalProb)*NewLeaseTI+RetailRenewalProb*RenewalTI)*$B$19*INDEX(Cum_TILC,1,Assumptions!AS$77)+LeasingCommissionPct*$E$19*$B$19*INDEX(Cum_TILC,1,Assumptions!AS$77),0)+IF(Assumptions!AS$72=$D$20+RetailDowntime,((1-RetailRenewalProb)*NewLeaseTI+RetailRenewalProb*RenewalTI)*$B$20*INDEX(Cum_TILC,1,Assumptions!AS$77)+LeasingCommissionPct*$E$20*$B$20*INDEX(Cum_TILC,1,Assumptions!AS$77),0)+IF(Assumptions!AS$72=$D$21+RetailDowntime,((1-RetailRenewalProb)*NewLeaseTI+RetailRenewalProb*RenewalTI)*$B$21*INDEX(Cum_TILC,1,Assumptions!AS$77)+LeasingCommissionPct*$E$21*$B$21*INDEX(Cum_TILC,1,Assumptions!AS$77),0)+IF(Assumptions!AS$72=$D$22+RetailDowntime,((1-RetailRenewalProb)*NewLeaseTI+RetailRenewalProb*RenewalTI)*$B$22*INDEX(Cum_TILC,1,Assumptions!AS$77)+LeasingCommissionPct*$E$22*$B$22*INDEX(Cum_TILC,1,Assumptions!AS$77),0))*Assumptions!AS$74</f>
        <v/>
      </c>
      <c r="AT41" s="52">
        <f>(IF(Assumptions!AT$72=$D$17+RetailDowntime,((1-RetailRenewalProb)*NewLeaseTI+RetailRenewalProb*RenewalTI)*$B$17*INDEX(Cum_TILC,1,Assumptions!AT$77)+LeasingCommissionPct*$E$17*$B$17*INDEX(Cum_TILC,1,Assumptions!AT$77),0)+IF(Assumptions!AT$72=$D$18+RetailDowntime,((1-RetailRenewalProb)*NewLeaseTI+RetailRenewalProb*RenewalTI)*$B$18*INDEX(Cum_TILC,1,Assumptions!AT$77)+LeasingCommissionPct*$E$18*$B$18*INDEX(Cum_TILC,1,Assumptions!AT$77),0)+IF(Assumptions!AT$72=$D$19+RetailDowntime,((1-RetailRenewalProb)*NewLeaseTI+RetailRenewalProb*RenewalTI)*$B$19*INDEX(Cum_TILC,1,Assumptions!AT$77)+LeasingCommissionPct*$E$19*$B$19*INDEX(Cum_TILC,1,Assumptions!AT$77),0)+IF(Assumptions!AT$72=$D$20+RetailDowntime,((1-RetailRenewalProb)*NewLeaseTI+RetailRenewalProb*RenewalTI)*$B$20*INDEX(Cum_TILC,1,Assumptions!AT$77)+LeasingCommissionPct*$E$20*$B$20*INDEX(Cum_TILC,1,Assumptions!AT$77),0)+IF(Assumptions!AT$72=$D$21+RetailDowntime,((1-RetailRenewalProb)*NewLeaseTI+RetailRenewalProb*RenewalTI)*$B$21*INDEX(Cum_TILC,1,Assumptions!AT$77)+LeasingCommissionPct*$E$21*$B$21*INDEX(Cum_TILC,1,Assumptions!AT$77),0)+IF(Assumptions!AT$72=$D$22+RetailDowntime,((1-RetailRenewalProb)*NewLeaseTI+RetailRenewalProb*RenewalTI)*$B$22*INDEX(Cum_TILC,1,Assumptions!AT$77)+LeasingCommissionPct*$E$22*$B$22*INDEX(Cum_TILC,1,Assumptions!AT$77),0))*Assumptions!AT$74</f>
        <v/>
      </c>
      <c r="AU41" s="52">
        <f>(IF(Assumptions!AU$72=$D$17+RetailDowntime,((1-RetailRenewalProb)*NewLeaseTI+RetailRenewalProb*RenewalTI)*$B$17*INDEX(Cum_TILC,1,Assumptions!AU$77)+LeasingCommissionPct*$E$17*$B$17*INDEX(Cum_TILC,1,Assumptions!AU$77),0)+IF(Assumptions!AU$72=$D$18+RetailDowntime,((1-RetailRenewalProb)*NewLeaseTI+RetailRenewalProb*RenewalTI)*$B$18*INDEX(Cum_TILC,1,Assumptions!AU$77)+LeasingCommissionPct*$E$18*$B$18*INDEX(Cum_TILC,1,Assumptions!AU$77),0)+IF(Assumptions!AU$72=$D$19+RetailDowntime,((1-RetailRenewalProb)*NewLeaseTI+RetailRenewalProb*RenewalTI)*$B$19*INDEX(Cum_TILC,1,Assumptions!AU$77)+LeasingCommissionPct*$E$19*$B$19*INDEX(Cum_TILC,1,Assumptions!AU$77),0)+IF(Assumptions!AU$72=$D$20+RetailDowntime,((1-RetailRenewalProb)*NewLeaseTI+RetailRenewalProb*RenewalTI)*$B$20*INDEX(Cum_TILC,1,Assumptions!AU$77)+LeasingCommissionPct*$E$20*$B$20*INDEX(Cum_TILC,1,Assumptions!AU$77),0)+IF(Assumptions!AU$72=$D$21+RetailDowntime,((1-RetailRenewalProb)*NewLeaseTI+RetailRenewalProb*RenewalTI)*$B$21*INDEX(Cum_TILC,1,Assumptions!AU$77)+LeasingCommissionPct*$E$21*$B$21*INDEX(Cum_TILC,1,Assumptions!AU$77),0)+IF(Assumptions!AU$72=$D$22+RetailDowntime,((1-RetailRenewalProb)*NewLeaseTI+RetailRenewalProb*RenewalTI)*$B$22*INDEX(Cum_TILC,1,Assumptions!AU$77)+LeasingCommissionPct*$E$22*$B$22*INDEX(Cum_TILC,1,Assumptions!AU$77),0))*Assumptions!AU$74</f>
        <v/>
      </c>
      <c r="AV41" s="52">
        <f>(IF(Assumptions!AV$72=$D$17+RetailDowntime,((1-RetailRenewalProb)*NewLeaseTI+RetailRenewalProb*RenewalTI)*$B$17*INDEX(Cum_TILC,1,Assumptions!AV$77)+LeasingCommissionPct*$E$17*$B$17*INDEX(Cum_TILC,1,Assumptions!AV$77),0)+IF(Assumptions!AV$72=$D$18+RetailDowntime,((1-RetailRenewalProb)*NewLeaseTI+RetailRenewalProb*RenewalTI)*$B$18*INDEX(Cum_TILC,1,Assumptions!AV$77)+LeasingCommissionPct*$E$18*$B$18*INDEX(Cum_TILC,1,Assumptions!AV$77),0)+IF(Assumptions!AV$72=$D$19+RetailDowntime,((1-RetailRenewalProb)*NewLeaseTI+RetailRenewalProb*RenewalTI)*$B$19*INDEX(Cum_TILC,1,Assumptions!AV$77)+LeasingCommissionPct*$E$19*$B$19*INDEX(Cum_TILC,1,Assumptions!AV$77),0)+IF(Assumptions!AV$72=$D$20+RetailDowntime,((1-RetailRenewalProb)*NewLeaseTI+RetailRenewalProb*RenewalTI)*$B$20*INDEX(Cum_TILC,1,Assumptions!AV$77)+LeasingCommissionPct*$E$20*$B$20*INDEX(Cum_TILC,1,Assumptions!AV$77),0)+IF(Assumptions!AV$72=$D$21+RetailDowntime,((1-RetailRenewalProb)*NewLeaseTI+RetailRenewalProb*RenewalTI)*$B$21*INDEX(Cum_TILC,1,Assumptions!AV$77)+LeasingCommissionPct*$E$21*$B$21*INDEX(Cum_TILC,1,Assumptions!AV$77),0)+IF(Assumptions!AV$72=$D$22+RetailDowntime,((1-RetailRenewalProb)*NewLeaseTI+RetailRenewalProb*RenewalTI)*$B$22*INDEX(Cum_TILC,1,Assumptions!AV$77)+LeasingCommissionPct*$E$22*$B$22*INDEX(Cum_TILC,1,Assumptions!AV$77),0))*Assumptions!AV$74</f>
        <v/>
      </c>
      <c r="AW41" s="52">
        <f>(IF(Assumptions!AW$72=$D$17+RetailDowntime,((1-RetailRenewalProb)*NewLeaseTI+RetailRenewalProb*RenewalTI)*$B$17*INDEX(Cum_TILC,1,Assumptions!AW$77)+LeasingCommissionPct*$E$17*$B$17*INDEX(Cum_TILC,1,Assumptions!AW$77),0)+IF(Assumptions!AW$72=$D$18+RetailDowntime,((1-RetailRenewalProb)*NewLeaseTI+RetailRenewalProb*RenewalTI)*$B$18*INDEX(Cum_TILC,1,Assumptions!AW$77)+LeasingCommissionPct*$E$18*$B$18*INDEX(Cum_TILC,1,Assumptions!AW$77),0)+IF(Assumptions!AW$72=$D$19+RetailDowntime,((1-RetailRenewalProb)*NewLeaseTI+RetailRenewalProb*RenewalTI)*$B$19*INDEX(Cum_TILC,1,Assumptions!AW$77)+LeasingCommissionPct*$E$19*$B$19*INDEX(Cum_TILC,1,Assumptions!AW$77),0)+IF(Assumptions!AW$72=$D$20+RetailDowntime,((1-RetailRenewalProb)*NewLeaseTI+RetailRenewalProb*RenewalTI)*$B$20*INDEX(Cum_TILC,1,Assumptions!AW$77)+LeasingCommissionPct*$E$20*$B$20*INDEX(Cum_TILC,1,Assumptions!AW$77),0)+IF(Assumptions!AW$72=$D$21+RetailDowntime,((1-RetailRenewalProb)*NewLeaseTI+RetailRenewalProb*RenewalTI)*$B$21*INDEX(Cum_TILC,1,Assumptions!AW$77)+LeasingCommissionPct*$E$21*$B$21*INDEX(Cum_TILC,1,Assumptions!AW$77),0)+IF(Assumptions!AW$72=$D$22+RetailDowntime,((1-RetailRenewalProb)*NewLeaseTI+RetailRenewalProb*RenewalTI)*$B$22*INDEX(Cum_TILC,1,Assumptions!AW$77)+LeasingCommissionPct*$E$22*$B$22*INDEX(Cum_TILC,1,Assumptions!AW$77),0))*Assumptions!AW$74</f>
        <v/>
      </c>
      <c r="AX41" s="52">
        <f>(IF(Assumptions!AX$72=$D$17+RetailDowntime,((1-RetailRenewalProb)*NewLeaseTI+RetailRenewalProb*RenewalTI)*$B$17*INDEX(Cum_TILC,1,Assumptions!AX$77)+LeasingCommissionPct*$E$17*$B$17*INDEX(Cum_TILC,1,Assumptions!AX$77),0)+IF(Assumptions!AX$72=$D$18+RetailDowntime,((1-RetailRenewalProb)*NewLeaseTI+RetailRenewalProb*RenewalTI)*$B$18*INDEX(Cum_TILC,1,Assumptions!AX$77)+LeasingCommissionPct*$E$18*$B$18*INDEX(Cum_TILC,1,Assumptions!AX$77),0)+IF(Assumptions!AX$72=$D$19+RetailDowntime,((1-RetailRenewalProb)*NewLeaseTI+RetailRenewalProb*RenewalTI)*$B$19*INDEX(Cum_TILC,1,Assumptions!AX$77)+LeasingCommissionPct*$E$19*$B$19*INDEX(Cum_TILC,1,Assumptions!AX$77),0)+IF(Assumptions!AX$72=$D$20+RetailDowntime,((1-RetailRenewalProb)*NewLeaseTI+RetailRenewalProb*RenewalTI)*$B$20*INDEX(Cum_TILC,1,Assumptions!AX$77)+LeasingCommissionPct*$E$20*$B$20*INDEX(Cum_TILC,1,Assumptions!AX$77),0)+IF(Assumptions!AX$72=$D$21+RetailDowntime,((1-RetailRenewalProb)*NewLeaseTI+RetailRenewalProb*RenewalTI)*$B$21*INDEX(Cum_TILC,1,Assumptions!AX$77)+LeasingCommissionPct*$E$21*$B$21*INDEX(Cum_TILC,1,Assumptions!AX$77),0)+IF(Assumptions!AX$72=$D$22+RetailDowntime,((1-RetailRenewalProb)*NewLeaseTI+RetailRenewalProb*RenewalTI)*$B$22*INDEX(Cum_TILC,1,Assumptions!AX$77)+LeasingCommissionPct*$E$22*$B$22*INDEX(Cum_TILC,1,Assumptions!AX$77),0))*Assumptions!AX$74</f>
        <v/>
      </c>
      <c r="AY41" s="52">
        <f>(IF(Assumptions!AY$72=$D$17+RetailDowntime,((1-RetailRenewalProb)*NewLeaseTI+RetailRenewalProb*RenewalTI)*$B$17*INDEX(Cum_TILC,1,Assumptions!AY$77)+LeasingCommissionPct*$E$17*$B$17*INDEX(Cum_TILC,1,Assumptions!AY$77),0)+IF(Assumptions!AY$72=$D$18+RetailDowntime,((1-RetailRenewalProb)*NewLeaseTI+RetailRenewalProb*RenewalTI)*$B$18*INDEX(Cum_TILC,1,Assumptions!AY$77)+LeasingCommissionPct*$E$18*$B$18*INDEX(Cum_TILC,1,Assumptions!AY$77),0)+IF(Assumptions!AY$72=$D$19+RetailDowntime,((1-RetailRenewalProb)*NewLeaseTI+RetailRenewalProb*RenewalTI)*$B$19*INDEX(Cum_TILC,1,Assumptions!AY$77)+LeasingCommissionPct*$E$19*$B$19*INDEX(Cum_TILC,1,Assumptions!AY$77),0)+IF(Assumptions!AY$72=$D$20+RetailDowntime,((1-RetailRenewalProb)*NewLeaseTI+RetailRenewalProb*RenewalTI)*$B$20*INDEX(Cum_TILC,1,Assumptions!AY$77)+LeasingCommissionPct*$E$20*$B$20*INDEX(Cum_TILC,1,Assumptions!AY$77),0)+IF(Assumptions!AY$72=$D$21+RetailDowntime,((1-RetailRenewalProb)*NewLeaseTI+RetailRenewalProb*RenewalTI)*$B$21*INDEX(Cum_TILC,1,Assumptions!AY$77)+LeasingCommissionPct*$E$21*$B$21*INDEX(Cum_TILC,1,Assumptions!AY$77),0)+IF(Assumptions!AY$72=$D$22+RetailDowntime,((1-RetailRenewalProb)*NewLeaseTI+RetailRenewalProb*RenewalTI)*$B$22*INDEX(Cum_TILC,1,Assumptions!AY$77)+LeasingCommissionPct*$E$22*$B$22*INDEX(Cum_TILC,1,Assumptions!AY$77),0))*Assumptions!AY$74</f>
        <v/>
      </c>
      <c r="AZ41" s="52">
        <f>(IF(Assumptions!AZ$72=$D$17+RetailDowntime,((1-RetailRenewalProb)*NewLeaseTI+RetailRenewalProb*RenewalTI)*$B$17*INDEX(Cum_TILC,1,Assumptions!AZ$77)+LeasingCommissionPct*$E$17*$B$17*INDEX(Cum_TILC,1,Assumptions!AZ$77),0)+IF(Assumptions!AZ$72=$D$18+RetailDowntime,((1-RetailRenewalProb)*NewLeaseTI+RetailRenewalProb*RenewalTI)*$B$18*INDEX(Cum_TILC,1,Assumptions!AZ$77)+LeasingCommissionPct*$E$18*$B$18*INDEX(Cum_TILC,1,Assumptions!AZ$77),0)+IF(Assumptions!AZ$72=$D$19+RetailDowntime,((1-RetailRenewalProb)*NewLeaseTI+RetailRenewalProb*RenewalTI)*$B$19*INDEX(Cum_TILC,1,Assumptions!AZ$77)+LeasingCommissionPct*$E$19*$B$19*INDEX(Cum_TILC,1,Assumptions!AZ$77),0)+IF(Assumptions!AZ$72=$D$20+RetailDowntime,((1-RetailRenewalProb)*NewLeaseTI+RetailRenewalProb*RenewalTI)*$B$20*INDEX(Cum_TILC,1,Assumptions!AZ$77)+LeasingCommissionPct*$E$20*$B$20*INDEX(Cum_TILC,1,Assumptions!AZ$77),0)+IF(Assumptions!AZ$72=$D$21+RetailDowntime,((1-RetailRenewalProb)*NewLeaseTI+RetailRenewalProb*RenewalTI)*$B$21*INDEX(Cum_TILC,1,Assumptions!AZ$77)+LeasingCommissionPct*$E$21*$B$21*INDEX(Cum_TILC,1,Assumptions!AZ$77),0)+IF(Assumptions!AZ$72=$D$22+RetailDowntime,((1-RetailRenewalProb)*NewLeaseTI+RetailRenewalProb*RenewalTI)*$B$22*INDEX(Cum_TILC,1,Assumptions!AZ$77)+LeasingCommissionPct*$E$22*$B$22*INDEX(Cum_TILC,1,Assumptions!AZ$77),0))*Assumptions!AZ$74</f>
        <v/>
      </c>
      <c r="BA41" s="52">
        <f>(IF(Assumptions!BA$72=$D$17+RetailDowntime,((1-RetailRenewalProb)*NewLeaseTI+RetailRenewalProb*RenewalTI)*$B$17*INDEX(Cum_TILC,1,Assumptions!BA$77)+LeasingCommissionPct*$E$17*$B$17*INDEX(Cum_TILC,1,Assumptions!BA$77),0)+IF(Assumptions!BA$72=$D$18+RetailDowntime,((1-RetailRenewalProb)*NewLeaseTI+RetailRenewalProb*RenewalTI)*$B$18*INDEX(Cum_TILC,1,Assumptions!BA$77)+LeasingCommissionPct*$E$18*$B$18*INDEX(Cum_TILC,1,Assumptions!BA$77),0)+IF(Assumptions!BA$72=$D$19+RetailDowntime,((1-RetailRenewalProb)*NewLeaseTI+RetailRenewalProb*RenewalTI)*$B$19*INDEX(Cum_TILC,1,Assumptions!BA$77)+LeasingCommissionPct*$E$19*$B$19*INDEX(Cum_TILC,1,Assumptions!BA$77),0)+IF(Assumptions!BA$72=$D$20+RetailDowntime,((1-RetailRenewalProb)*NewLeaseTI+RetailRenewalProb*RenewalTI)*$B$20*INDEX(Cum_TILC,1,Assumptions!BA$77)+LeasingCommissionPct*$E$20*$B$20*INDEX(Cum_TILC,1,Assumptions!BA$77),0)+IF(Assumptions!BA$72=$D$21+RetailDowntime,((1-RetailRenewalProb)*NewLeaseTI+RetailRenewalProb*RenewalTI)*$B$21*INDEX(Cum_TILC,1,Assumptions!BA$77)+LeasingCommissionPct*$E$21*$B$21*INDEX(Cum_TILC,1,Assumptions!BA$77),0)+IF(Assumptions!BA$72=$D$22+RetailDowntime,((1-RetailRenewalProb)*NewLeaseTI+RetailRenewalProb*RenewalTI)*$B$22*INDEX(Cum_TILC,1,Assumptions!BA$77)+LeasingCommissionPct*$E$22*$B$22*INDEX(Cum_TILC,1,Assumptions!BA$77),0))*Assumptions!BA$74</f>
        <v/>
      </c>
      <c r="BB41" s="52">
        <f>(IF(Assumptions!BB$72=$D$17+RetailDowntime,((1-RetailRenewalProb)*NewLeaseTI+RetailRenewalProb*RenewalTI)*$B$17*INDEX(Cum_TILC,1,Assumptions!BB$77)+LeasingCommissionPct*$E$17*$B$17*INDEX(Cum_TILC,1,Assumptions!BB$77),0)+IF(Assumptions!BB$72=$D$18+RetailDowntime,((1-RetailRenewalProb)*NewLeaseTI+RetailRenewalProb*RenewalTI)*$B$18*INDEX(Cum_TILC,1,Assumptions!BB$77)+LeasingCommissionPct*$E$18*$B$18*INDEX(Cum_TILC,1,Assumptions!BB$77),0)+IF(Assumptions!BB$72=$D$19+RetailDowntime,((1-RetailRenewalProb)*NewLeaseTI+RetailRenewalProb*RenewalTI)*$B$19*INDEX(Cum_TILC,1,Assumptions!BB$77)+LeasingCommissionPct*$E$19*$B$19*INDEX(Cum_TILC,1,Assumptions!BB$77),0)+IF(Assumptions!BB$72=$D$20+RetailDowntime,((1-RetailRenewalProb)*NewLeaseTI+RetailRenewalProb*RenewalTI)*$B$20*INDEX(Cum_TILC,1,Assumptions!BB$77)+LeasingCommissionPct*$E$20*$B$20*INDEX(Cum_TILC,1,Assumptions!BB$77),0)+IF(Assumptions!BB$72=$D$21+RetailDowntime,((1-RetailRenewalProb)*NewLeaseTI+RetailRenewalProb*RenewalTI)*$B$21*INDEX(Cum_TILC,1,Assumptions!BB$77)+LeasingCommissionPct*$E$21*$B$21*INDEX(Cum_TILC,1,Assumptions!BB$77),0)+IF(Assumptions!BB$72=$D$22+RetailDowntime,((1-RetailRenewalProb)*NewLeaseTI+RetailRenewalProb*RenewalTI)*$B$22*INDEX(Cum_TILC,1,Assumptions!BB$77)+LeasingCommissionPct*$E$22*$B$22*INDEX(Cum_TILC,1,Assumptions!BB$77),0))*Assumptions!BB$74</f>
        <v/>
      </c>
      <c r="BC41" s="52">
        <f>(IF(Assumptions!BC$72=$D$17+RetailDowntime,((1-RetailRenewalProb)*NewLeaseTI+RetailRenewalProb*RenewalTI)*$B$17*INDEX(Cum_TILC,1,Assumptions!BC$77)+LeasingCommissionPct*$E$17*$B$17*INDEX(Cum_TILC,1,Assumptions!BC$77),0)+IF(Assumptions!BC$72=$D$18+RetailDowntime,((1-RetailRenewalProb)*NewLeaseTI+RetailRenewalProb*RenewalTI)*$B$18*INDEX(Cum_TILC,1,Assumptions!BC$77)+LeasingCommissionPct*$E$18*$B$18*INDEX(Cum_TILC,1,Assumptions!BC$77),0)+IF(Assumptions!BC$72=$D$19+RetailDowntime,((1-RetailRenewalProb)*NewLeaseTI+RetailRenewalProb*RenewalTI)*$B$19*INDEX(Cum_TILC,1,Assumptions!BC$77)+LeasingCommissionPct*$E$19*$B$19*INDEX(Cum_TILC,1,Assumptions!BC$77),0)+IF(Assumptions!BC$72=$D$20+RetailDowntime,((1-RetailRenewalProb)*NewLeaseTI+RetailRenewalProb*RenewalTI)*$B$20*INDEX(Cum_TILC,1,Assumptions!BC$77)+LeasingCommissionPct*$E$20*$B$20*INDEX(Cum_TILC,1,Assumptions!BC$77),0)+IF(Assumptions!BC$72=$D$21+RetailDowntime,((1-RetailRenewalProb)*NewLeaseTI+RetailRenewalProb*RenewalTI)*$B$21*INDEX(Cum_TILC,1,Assumptions!BC$77)+LeasingCommissionPct*$E$21*$B$21*INDEX(Cum_TILC,1,Assumptions!BC$77),0)+IF(Assumptions!BC$72=$D$22+RetailDowntime,((1-RetailRenewalProb)*NewLeaseTI+RetailRenewalProb*RenewalTI)*$B$22*INDEX(Cum_TILC,1,Assumptions!BC$77)+LeasingCommissionPct*$E$22*$B$22*INDEX(Cum_TILC,1,Assumptions!BC$77),0))*Assumptions!BC$74</f>
        <v/>
      </c>
      <c r="BD41" s="52">
        <f>(IF(Assumptions!BD$72=$D$17+RetailDowntime,((1-RetailRenewalProb)*NewLeaseTI+RetailRenewalProb*RenewalTI)*$B$17*INDEX(Cum_TILC,1,Assumptions!BD$77)+LeasingCommissionPct*$E$17*$B$17*INDEX(Cum_TILC,1,Assumptions!BD$77),0)+IF(Assumptions!BD$72=$D$18+RetailDowntime,((1-RetailRenewalProb)*NewLeaseTI+RetailRenewalProb*RenewalTI)*$B$18*INDEX(Cum_TILC,1,Assumptions!BD$77)+LeasingCommissionPct*$E$18*$B$18*INDEX(Cum_TILC,1,Assumptions!BD$77),0)+IF(Assumptions!BD$72=$D$19+RetailDowntime,((1-RetailRenewalProb)*NewLeaseTI+RetailRenewalProb*RenewalTI)*$B$19*INDEX(Cum_TILC,1,Assumptions!BD$77)+LeasingCommissionPct*$E$19*$B$19*INDEX(Cum_TILC,1,Assumptions!BD$77),0)+IF(Assumptions!BD$72=$D$20+RetailDowntime,((1-RetailRenewalProb)*NewLeaseTI+RetailRenewalProb*RenewalTI)*$B$20*INDEX(Cum_TILC,1,Assumptions!BD$77)+LeasingCommissionPct*$E$20*$B$20*INDEX(Cum_TILC,1,Assumptions!BD$77),0)+IF(Assumptions!BD$72=$D$21+RetailDowntime,((1-RetailRenewalProb)*NewLeaseTI+RetailRenewalProb*RenewalTI)*$B$21*INDEX(Cum_TILC,1,Assumptions!BD$77)+LeasingCommissionPct*$E$21*$B$21*INDEX(Cum_TILC,1,Assumptions!BD$77),0)+IF(Assumptions!BD$72=$D$22+RetailDowntime,((1-RetailRenewalProb)*NewLeaseTI+RetailRenewalProb*RenewalTI)*$B$22*INDEX(Cum_TILC,1,Assumptions!BD$77)+LeasingCommissionPct*$E$22*$B$22*INDEX(Cum_TILC,1,Assumptions!BD$77),0))*Assumptions!BD$74</f>
        <v/>
      </c>
      <c r="BE41" s="52">
        <f>(IF(Assumptions!BE$72=$D$17+RetailDowntime,((1-RetailRenewalProb)*NewLeaseTI+RetailRenewalProb*RenewalTI)*$B$17*INDEX(Cum_TILC,1,Assumptions!BE$77)+LeasingCommissionPct*$E$17*$B$17*INDEX(Cum_TILC,1,Assumptions!BE$77),0)+IF(Assumptions!BE$72=$D$18+RetailDowntime,((1-RetailRenewalProb)*NewLeaseTI+RetailRenewalProb*RenewalTI)*$B$18*INDEX(Cum_TILC,1,Assumptions!BE$77)+LeasingCommissionPct*$E$18*$B$18*INDEX(Cum_TILC,1,Assumptions!BE$77),0)+IF(Assumptions!BE$72=$D$19+RetailDowntime,((1-RetailRenewalProb)*NewLeaseTI+RetailRenewalProb*RenewalTI)*$B$19*INDEX(Cum_TILC,1,Assumptions!BE$77)+LeasingCommissionPct*$E$19*$B$19*INDEX(Cum_TILC,1,Assumptions!BE$77),0)+IF(Assumptions!BE$72=$D$20+RetailDowntime,((1-RetailRenewalProb)*NewLeaseTI+RetailRenewalProb*RenewalTI)*$B$20*INDEX(Cum_TILC,1,Assumptions!BE$77)+LeasingCommissionPct*$E$20*$B$20*INDEX(Cum_TILC,1,Assumptions!BE$77),0)+IF(Assumptions!BE$72=$D$21+RetailDowntime,((1-RetailRenewalProb)*NewLeaseTI+RetailRenewalProb*RenewalTI)*$B$21*INDEX(Cum_TILC,1,Assumptions!BE$77)+LeasingCommissionPct*$E$21*$B$21*INDEX(Cum_TILC,1,Assumptions!BE$77),0)+IF(Assumptions!BE$72=$D$22+RetailDowntime,((1-RetailRenewalProb)*NewLeaseTI+RetailRenewalProb*RenewalTI)*$B$22*INDEX(Cum_TILC,1,Assumptions!BE$77)+LeasingCommissionPct*$E$22*$B$22*INDEX(Cum_TILC,1,Assumptions!BE$77),0))*Assumptions!BE$74</f>
        <v/>
      </c>
      <c r="BF41" s="52">
        <f>(IF(Assumptions!BF$72=$D$17+RetailDowntime,((1-RetailRenewalProb)*NewLeaseTI+RetailRenewalProb*RenewalTI)*$B$17*INDEX(Cum_TILC,1,Assumptions!BF$77)+LeasingCommissionPct*$E$17*$B$17*INDEX(Cum_TILC,1,Assumptions!BF$77),0)+IF(Assumptions!BF$72=$D$18+RetailDowntime,((1-RetailRenewalProb)*NewLeaseTI+RetailRenewalProb*RenewalTI)*$B$18*INDEX(Cum_TILC,1,Assumptions!BF$77)+LeasingCommissionPct*$E$18*$B$18*INDEX(Cum_TILC,1,Assumptions!BF$77),0)+IF(Assumptions!BF$72=$D$19+RetailDowntime,((1-RetailRenewalProb)*NewLeaseTI+RetailRenewalProb*RenewalTI)*$B$19*INDEX(Cum_TILC,1,Assumptions!BF$77)+LeasingCommissionPct*$E$19*$B$19*INDEX(Cum_TILC,1,Assumptions!BF$77),0)+IF(Assumptions!BF$72=$D$20+RetailDowntime,((1-RetailRenewalProb)*NewLeaseTI+RetailRenewalProb*RenewalTI)*$B$20*INDEX(Cum_TILC,1,Assumptions!BF$77)+LeasingCommissionPct*$E$20*$B$20*INDEX(Cum_TILC,1,Assumptions!BF$77),0)+IF(Assumptions!BF$72=$D$21+RetailDowntime,((1-RetailRenewalProb)*NewLeaseTI+RetailRenewalProb*RenewalTI)*$B$21*INDEX(Cum_TILC,1,Assumptions!BF$77)+LeasingCommissionPct*$E$21*$B$21*INDEX(Cum_TILC,1,Assumptions!BF$77),0)+IF(Assumptions!BF$72=$D$22+RetailDowntime,((1-RetailRenewalProb)*NewLeaseTI+RetailRenewalProb*RenewalTI)*$B$22*INDEX(Cum_TILC,1,Assumptions!BF$77)+LeasingCommissionPct*$E$22*$B$22*INDEX(Cum_TILC,1,Assumptions!BF$77),0))*Assumptions!BF$74</f>
        <v/>
      </c>
      <c r="BG41" s="52">
        <f>(IF(Assumptions!BG$72=$D$17+RetailDowntime,((1-RetailRenewalProb)*NewLeaseTI+RetailRenewalProb*RenewalTI)*$B$17*INDEX(Cum_TILC,1,Assumptions!BG$77)+LeasingCommissionPct*$E$17*$B$17*INDEX(Cum_TILC,1,Assumptions!BG$77),0)+IF(Assumptions!BG$72=$D$18+RetailDowntime,((1-RetailRenewalProb)*NewLeaseTI+RetailRenewalProb*RenewalTI)*$B$18*INDEX(Cum_TILC,1,Assumptions!BG$77)+LeasingCommissionPct*$E$18*$B$18*INDEX(Cum_TILC,1,Assumptions!BG$77),0)+IF(Assumptions!BG$72=$D$19+RetailDowntime,((1-RetailRenewalProb)*NewLeaseTI+RetailRenewalProb*RenewalTI)*$B$19*INDEX(Cum_TILC,1,Assumptions!BG$77)+LeasingCommissionPct*$E$19*$B$19*INDEX(Cum_TILC,1,Assumptions!BG$77),0)+IF(Assumptions!BG$72=$D$20+RetailDowntime,((1-RetailRenewalProb)*NewLeaseTI+RetailRenewalProb*RenewalTI)*$B$20*INDEX(Cum_TILC,1,Assumptions!BG$77)+LeasingCommissionPct*$E$20*$B$20*INDEX(Cum_TILC,1,Assumptions!BG$77),0)+IF(Assumptions!BG$72=$D$21+RetailDowntime,((1-RetailRenewalProb)*NewLeaseTI+RetailRenewalProb*RenewalTI)*$B$21*INDEX(Cum_TILC,1,Assumptions!BG$77)+LeasingCommissionPct*$E$21*$B$21*INDEX(Cum_TILC,1,Assumptions!BG$77),0)+IF(Assumptions!BG$72=$D$22+RetailDowntime,((1-RetailRenewalProb)*NewLeaseTI+RetailRenewalProb*RenewalTI)*$B$22*INDEX(Cum_TILC,1,Assumptions!BG$77)+LeasingCommissionPct*$E$22*$B$22*INDEX(Cum_TILC,1,Assumptions!BG$77),0))*Assumptions!BG$74</f>
        <v/>
      </c>
      <c r="BH41" s="52">
        <f>(IF(Assumptions!BH$72=$D$17+RetailDowntime,((1-RetailRenewalProb)*NewLeaseTI+RetailRenewalProb*RenewalTI)*$B$17*INDEX(Cum_TILC,1,Assumptions!BH$77)+LeasingCommissionPct*$E$17*$B$17*INDEX(Cum_TILC,1,Assumptions!BH$77),0)+IF(Assumptions!BH$72=$D$18+RetailDowntime,((1-RetailRenewalProb)*NewLeaseTI+RetailRenewalProb*RenewalTI)*$B$18*INDEX(Cum_TILC,1,Assumptions!BH$77)+LeasingCommissionPct*$E$18*$B$18*INDEX(Cum_TILC,1,Assumptions!BH$77),0)+IF(Assumptions!BH$72=$D$19+RetailDowntime,((1-RetailRenewalProb)*NewLeaseTI+RetailRenewalProb*RenewalTI)*$B$19*INDEX(Cum_TILC,1,Assumptions!BH$77)+LeasingCommissionPct*$E$19*$B$19*INDEX(Cum_TILC,1,Assumptions!BH$77),0)+IF(Assumptions!BH$72=$D$20+RetailDowntime,((1-RetailRenewalProb)*NewLeaseTI+RetailRenewalProb*RenewalTI)*$B$20*INDEX(Cum_TILC,1,Assumptions!BH$77)+LeasingCommissionPct*$E$20*$B$20*INDEX(Cum_TILC,1,Assumptions!BH$77),0)+IF(Assumptions!BH$72=$D$21+RetailDowntime,((1-RetailRenewalProb)*NewLeaseTI+RetailRenewalProb*RenewalTI)*$B$21*INDEX(Cum_TILC,1,Assumptions!BH$77)+LeasingCommissionPct*$E$21*$B$21*INDEX(Cum_TILC,1,Assumptions!BH$77),0)+IF(Assumptions!BH$72=$D$22+RetailDowntime,((1-RetailRenewalProb)*NewLeaseTI+RetailRenewalProb*RenewalTI)*$B$22*INDEX(Cum_TILC,1,Assumptions!BH$77)+LeasingCommissionPct*$E$22*$B$22*INDEX(Cum_TILC,1,Assumptions!BH$77),0))*Assumptions!BH$74</f>
        <v/>
      </c>
      <c r="BI41" s="52">
        <f>(IF(Assumptions!BI$72=$D$17+RetailDowntime,((1-RetailRenewalProb)*NewLeaseTI+RetailRenewalProb*RenewalTI)*$B$17*INDEX(Cum_TILC,1,Assumptions!BI$77)+LeasingCommissionPct*$E$17*$B$17*INDEX(Cum_TILC,1,Assumptions!BI$77),0)+IF(Assumptions!BI$72=$D$18+RetailDowntime,((1-RetailRenewalProb)*NewLeaseTI+RetailRenewalProb*RenewalTI)*$B$18*INDEX(Cum_TILC,1,Assumptions!BI$77)+LeasingCommissionPct*$E$18*$B$18*INDEX(Cum_TILC,1,Assumptions!BI$77),0)+IF(Assumptions!BI$72=$D$19+RetailDowntime,((1-RetailRenewalProb)*NewLeaseTI+RetailRenewalProb*RenewalTI)*$B$19*INDEX(Cum_TILC,1,Assumptions!BI$77)+LeasingCommissionPct*$E$19*$B$19*INDEX(Cum_TILC,1,Assumptions!BI$77),0)+IF(Assumptions!BI$72=$D$20+RetailDowntime,((1-RetailRenewalProb)*NewLeaseTI+RetailRenewalProb*RenewalTI)*$B$20*INDEX(Cum_TILC,1,Assumptions!BI$77)+LeasingCommissionPct*$E$20*$B$20*INDEX(Cum_TILC,1,Assumptions!BI$77),0)+IF(Assumptions!BI$72=$D$21+RetailDowntime,((1-RetailRenewalProb)*NewLeaseTI+RetailRenewalProb*RenewalTI)*$B$21*INDEX(Cum_TILC,1,Assumptions!BI$77)+LeasingCommissionPct*$E$21*$B$21*INDEX(Cum_TILC,1,Assumptions!BI$77),0)+IF(Assumptions!BI$72=$D$22+RetailDowntime,((1-RetailRenewalProb)*NewLeaseTI+RetailRenewalProb*RenewalTI)*$B$22*INDEX(Cum_TILC,1,Assumptions!BI$77)+LeasingCommissionPct*$E$22*$B$22*INDEX(Cum_TILC,1,Assumptions!BI$77),0))*Assumptions!BI$74</f>
        <v/>
      </c>
      <c r="BJ41" s="52">
        <f>(IF(Assumptions!BJ$72=$D$17+RetailDowntime,((1-RetailRenewalProb)*NewLeaseTI+RetailRenewalProb*RenewalTI)*$B$17*INDEX(Cum_TILC,1,Assumptions!BJ$77)+LeasingCommissionPct*$E$17*$B$17*INDEX(Cum_TILC,1,Assumptions!BJ$77),0)+IF(Assumptions!BJ$72=$D$18+RetailDowntime,((1-RetailRenewalProb)*NewLeaseTI+RetailRenewalProb*RenewalTI)*$B$18*INDEX(Cum_TILC,1,Assumptions!BJ$77)+LeasingCommissionPct*$E$18*$B$18*INDEX(Cum_TILC,1,Assumptions!BJ$77),0)+IF(Assumptions!BJ$72=$D$19+RetailDowntime,((1-RetailRenewalProb)*NewLeaseTI+RetailRenewalProb*RenewalTI)*$B$19*INDEX(Cum_TILC,1,Assumptions!BJ$77)+LeasingCommissionPct*$E$19*$B$19*INDEX(Cum_TILC,1,Assumptions!BJ$77),0)+IF(Assumptions!BJ$72=$D$20+RetailDowntime,((1-RetailRenewalProb)*NewLeaseTI+RetailRenewalProb*RenewalTI)*$B$20*INDEX(Cum_TILC,1,Assumptions!BJ$77)+LeasingCommissionPct*$E$20*$B$20*INDEX(Cum_TILC,1,Assumptions!BJ$77),0)+IF(Assumptions!BJ$72=$D$21+RetailDowntime,((1-RetailRenewalProb)*NewLeaseTI+RetailRenewalProb*RenewalTI)*$B$21*INDEX(Cum_TILC,1,Assumptions!BJ$77)+LeasingCommissionPct*$E$21*$B$21*INDEX(Cum_TILC,1,Assumptions!BJ$77),0)+IF(Assumptions!BJ$72=$D$22+RetailDowntime,((1-RetailRenewalProb)*NewLeaseTI+RetailRenewalProb*RenewalTI)*$B$22*INDEX(Cum_TILC,1,Assumptions!BJ$77)+LeasingCommissionPct*$E$22*$B$22*INDEX(Cum_TILC,1,Assumptions!BJ$77),0))*Assumptions!BJ$74</f>
        <v/>
      </c>
      <c r="BK41" s="52">
        <f>(IF(Assumptions!BK$72=$D$17+RetailDowntime,((1-RetailRenewalProb)*NewLeaseTI+RetailRenewalProb*RenewalTI)*$B$17*INDEX(Cum_TILC,1,Assumptions!BK$77)+LeasingCommissionPct*$E$17*$B$17*INDEX(Cum_TILC,1,Assumptions!BK$77),0)+IF(Assumptions!BK$72=$D$18+RetailDowntime,((1-RetailRenewalProb)*NewLeaseTI+RetailRenewalProb*RenewalTI)*$B$18*INDEX(Cum_TILC,1,Assumptions!BK$77)+LeasingCommissionPct*$E$18*$B$18*INDEX(Cum_TILC,1,Assumptions!BK$77),0)+IF(Assumptions!BK$72=$D$19+RetailDowntime,((1-RetailRenewalProb)*NewLeaseTI+RetailRenewalProb*RenewalTI)*$B$19*INDEX(Cum_TILC,1,Assumptions!BK$77)+LeasingCommissionPct*$E$19*$B$19*INDEX(Cum_TILC,1,Assumptions!BK$77),0)+IF(Assumptions!BK$72=$D$20+RetailDowntime,((1-RetailRenewalProb)*NewLeaseTI+RetailRenewalProb*RenewalTI)*$B$20*INDEX(Cum_TILC,1,Assumptions!BK$77)+LeasingCommissionPct*$E$20*$B$20*INDEX(Cum_TILC,1,Assumptions!BK$77),0)+IF(Assumptions!BK$72=$D$21+RetailDowntime,((1-RetailRenewalProb)*NewLeaseTI+RetailRenewalProb*RenewalTI)*$B$21*INDEX(Cum_TILC,1,Assumptions!BK$77)+LeasingCommissionPct*$E$21*$B$21*INDEX(Cum_TILC,1,Assumptions!BK$77),0)+IF(Assumptions!BK$72=$D$22+RetailDowntime,((1-RetailRenewalProb)*NewLeaseTI+RetailRenewalProb*RenewalTI)*$B$22*INDEX(Cum_TILC,1,Assumptions!BK$77)+LeasingCommissionPct*$E$22*$B$22*INDEX(Cum_TILC,1,Assumptions!BK$77),0))*Assumptions!BK$74</f>
        <v/>
      </c>
      <c r="BL41" s="52">
        <f>(IF(Assumptions!BL$72=$D$17+RetailDowntime,((1-RetailRenewalProb)*NewLeaseTI+RetailRenewalProb*RenewalTI)*$B$17*INDEX(Cum_TILC,1,Assumptions!BL$77)+LeasingCommissionPct*$E$17*$B$17*INDEX(Cum_TILC,1,Assumptions!BL$77),0)+IF(Assumptions!BL$72=$D$18+RetailDowntime,((1-RetailRenewalProb)*NewLeaseTI+RetailRenewalProb*RenewalTI)*$B$18*INDEX(Cum_TILC,1,Assumptions!BL$77)+LeasingCommissionPct*$E$18*$B$18*INDEX(Cum_TILC,1,Assumptions!BL$77),0)+IF(Assumptions!BL$72=$D$19+RetailDowntime,((1-RetailRenewalProb)*NewLeaseTI+RetailRenewalProb*RenewalTI)*$B$19*INDEX(Cum_TILC,1,Assumptions!BL$77)+LeasingCommissionPct*$E$19*$B$19*INDEX(Cum_TILC,1,Assumptions!BL$77),0)+IF(Assumptions!BL$72=$D$20+RetailDowntime,((1-RetailRenewalProb)*NewLeaseTI+RetailRenewalProb*RenewalTI)*$B$20*INDEX(Cum_TILC,1,Assumptions!BL$77)+LeasingCommissionPct*$E$20*$B$20*INDEX(Cum_TILC,1,Assumptions!BL$77),0)+IF(Assumptions!BL$72=$D$21+RetailDowntime,((1-RetailRenewalProb)*NewLeaseTI+RetailRenewalProb*RenewalTI)*$B$21*INDEX(Cum_TILC,1,Assumptions!BL$77)+LeasingCommissionPct*$E$21*$B$21*INDEX(Cum_TILC,1,Assumptions!BL$77),0)+IF(Assumptions!BL$72=$D$22+RetailDowntime,((1-RetailRenewalProb)*NewLeaseTI+RetailRenewalProb*RenewalTI)*$B$22*INDEX(Cum_TILC,1,Assumptions!BL$77)+LeasingCommissionPct*$E$22*$B$22*INDEX(Cum_TILC,1,Assumptions!BL$77),0))*Assumptions!BL$74</f>
        <v/>
      </c>
      <c r="BM41" s="52">
        <f>(IF(Assumptions!BM$72=$D$17+RetailDowntime,((1-RetailRenewalProb)*NewLeaseTI+RetailRenewalProb*RenewalTI)*$B$17*INDEX(Cum_TILC,1,Assumptions!BM$77)+LeasingCommissionPct*$E$17*$B$17*INDEX(Cum_TILC,1,Assumptions!BM$77),0)+IF(Assumptions!BM$72=$D$18+RetailDowntime,((1-RetailRenewalProb)*NewLeaseTI+RetailRenewalProb*RenewalTI)*$B$18*INDEX(Cum_TILC,1,Assumptions!BM$77)+LeasingCommissionPct*$E$18*$B$18*INDEX(Cum_TILC,1,Assumptions!BM$77),0)+IF(Assumptions!BM$72=$D$19+RetailDowntime,((1-RetailRenewalProb)*NewLeaseTI+RetailRenewalProb*RenewalTI)*$B$19*INDEX(Cum_TILC,1,Assumptions!BM$77)+LeasingCommissionPct*$E$19*$B$19*INDEX(Cum_TILC,1,Assumptions!BM$77),0)+IF(Assumptions!BM$72=$D$20+RetailDowntime,((1-RetailRenewalProb)*NewLeaseTI+RetailRenewalProb*RenewalTI)*$B$20*INDEX(Cum_TILC,1,Assumptions!BM$77)+LeasingCommissionPct*$E$20*$B$20*INDEX(Cum_TILC,1,Assumptions!BM$77),0)+IF(Assumptions!BM$72=$D$21+RetailDowntime,((1-RetailRenewalProb)*NewLeaseTI+RetailRenewalProb*RenewalTI)*$B$21*INDEX(Cum_TILC,1,Assumptions!BM$77)+LeasingCommissionPct*$E$21*$B$21*INDEX(Cum_TILC,1,Assumptions!BM$77),0)+IF(Assumptions!BM$72=$D$22+RetailDowntime,((1-RetailRenewalProb)*NewLeaseTI+RetailRenewalProb*RenewalTI)*$B$22*INDEX(Cum_TILC,1,Assumptions!BM$77)+LeasingCommissionPct*$E$22*$B$22*INDEX(Cum_TILC,1,Assumptions!BM$77),0))*Assumptions!BM$74</f>
        <v/>
      </c>
      <c r="BN41" s="52">
        <f>(IF(Assumptions!BN$72=$D$17+RetailDowntime,((1-RetailRenewalProb)*NewLeaseTI+RetailRenewalProb*RenewalTI)*$B$17*INDEX(Cum_TILC,1,Assumptions!BN$77)+LeasingCommissionPct*$E$17*$B$17*INDEX(Cum_TILC,1,Assumptions!BN$77),0)+IF(Assumptions!BN$72=$D$18+RetailDowntime,((1-RetailRenewalProb)*NewLeaseTI+RetailRenewalProb*RenewalTI)*$B$18*INDEX(Cum_TILC,1,Assumptions!BN$77)+LeasingCommissionPct*$E$18*$B$18*INDEX(Cum_TILC,1,Assumptions!BN$77),0)+IF(Assumptions!BN$72=$D$19+RetailDowntime,((1-RetailRenewalProb)*NewLeaseTI+RetailRenewalProb*RenewalTI)*$B$19*INDEX(Cum_TILC,1,Assumptions!BN$77)+LeasingCommissionPct*$E$19*$B$19*INDEX(Cum_TILC,1,Assumptions!BN$77),0)+IF(Assumptions!BN$72=$D$20+RetailDowntime,((1-RetailRenewalProb)*NewLeaseTI+RetailRenewalProb*RenewalTI)*$B$20*INDEX(Cum_TILC,1,Assumptions!BN$77)+LeasingCommissionPct*$E$20*$B$20*INDEX(Cum_TILC,1,Assumptions!BN$77),0)+IF(Assumptions!BN$72=$D$21+RetailDowntime,((1-RetailRenewalProb)*NewLeaseTI+RetailRenewalProb*RenewalTI)*$B$21*INDEX(Cum_TILC,1,Assumptions!BN$77)+LeasingCommissionPct*$E$21*$B$21*INDEX(Cum_TILC,1,Assumptions!BN$77),0)+IF(Assumptions!BN$72=$D$22+RetailDowntime,((1-RetailRenewalProb)*NewLeaseTI+RetailRenewalProb*RenewalTI)*$B$22*INDEX(Cum_TILC,1,Assumptions!BN$77)+LeasingCommissionPct*$E$22*$B$22*INDEX(Cum_TILC,1,Assumptions!BN$77),0))*Assumptions!BN$74</f>
        <v/>
      </c>
      <c r="BO41" s="52">
        <f>(IF(Assumptions!BO$72=$D$17+RetailDowntime,((1-RetailRenewalProb)*NewLeaseTI+RetailRenewalProb*RenewalTI)*$B$17*INDEX(Cum_TILC,1,Assumptions!BO$77)+LeasingCommissionPct*$E$17*$B$17*INDEX(Cum_TILC,1,Assumptions!BO$77),0)+IF(Assumptions!BO$72=$D$18+RetailDowntime,((1-RetailRenewalProb)*NewLeaseTI+RetailRenewalProb*RenewalTI)*$B$18*INDEX(Cum_TILC,1,Assumptions!BO$77)+LeasingCommissionPct*$E$18*$B$18*INDEX(Cum_TILC,1,Assumptions!BO$77),0)+IF(Assumptions!BO$72=$D$19+RetailDowntime,((1-RetailRenewalProb)*NewLeaseTI+RetailRenewalProb*RenewalTI)*$B$19*INDEX(Cum_TILC,1,Assumptions!BO$77)+LeasingCommissionPct*$E$19*$B$19*INDEX(Cum_TILC,1,Assumptions!BO$77),0)+IF(Assumptions!BO$72=$D$20+RetailDowntime,((1-RetailRenewalProb)*NewLeaseTI+RetailRenewalProb*RenewalTI)*$B$20*INDEX(Cum_TILC,1,Assumptions!BO$77)+LeasingCommissionPct*$E$20*$B$20*INDEX(Cum_TILC,1,Assumptions!BO$77),0)+IF(Assumptions!BO$72=$D$21+RetailDowntime,((1-RetailRenewalProb)*NewLeaseTI+RetailRenewalProb*RenewalTI)*$B$21*INDEX(Cum_TILC,1,Assumptions!BO$77)+LeasingCommissionPct*$E$21*$B$21*INDEX(Cum_TILC,1,Assumptions!BO$77),0)+IF(Assumptions!BO$72=$D$22+RetailDowntime,((1-RetailRenewalProb)*NewLeaseTI+RetailRenewalProb*RenewalTI)*$B$22*INDEX(Cum_TILC,1,Assumptions!BO$77)+LeasingCommissionPct*$E$22*$B$22*INDEX(Cum_TILC,1,Assumptions!BO$77),0))*Assumptions!BO$74</f>
        <v/>
      </c>
      <c r="BP41" s="52">
        <f>(IF(Assumptions!BP$72=$D$17+RetailDowntime,((1-RetailRenewalProb)*NewLeaseTI+RetailRenewalProb*RenewalTI)*$B$17*INDEX(Cum_TILC,1,Assumptions!BP$77)+LeasingCommissionPct*$E$17*$B$17*INDEX(Cum_TILC,1,Assumptions!BP$77),0)+IF(Assumptions!BP$72=$D$18+RetailDowntime,((1-RetailRenewalProb)*NewLeaseTI+RetailRenewalProb*RenewalTI)*$B$18*INDEX(Cum_TILC,1,Assumptions!BP$77)+LeasingCommissionPct*$E$18*$B$18*INDEX(Cum_TILC,1,Assumptions!BP$77),0)+IF(Assumptions!BP$72=$D$19+RetailDowntime,((1-RetailRenewalProb)*NewLeaseTI+RetailRenewalProb*RenewalTI)*$B$19*INDEX(Cum_TILC,1,Assumptions!BP$77)+LeasingCommissionPct*$E$19*$B$19*INDEX(Cum_TILC,1,Assumptions!BP$77),0)+IF(Assumptions!BP$72=$D$20+RetailDowntime,((1-RetailRenewalProb)*NewLeaseTI+RetailRenewalProb*RenewalTI)*$B$20*INDEX(Cum_TILC,1,Assumptions!BP$77)+LeasingCommissionPct*$E$20*$B$20*INDEX(Cum_TILC,1,Assumptions!BP$77),0)+IF(Assumptions!BP$72=$D$21+RetailDowntime,((1-RetailRenewalProb)*NewLeaseTI+RetailRenewalProb*RenewalTI)*$B$21*INDEX(Cum_TILC,1,Assumptions!BP$77)+LeasingCommissionPct*$E$21*$B$21*INDEX(Cum_TILC,1,Assumptions!BP$77),0)+IF(Assumptions!BP$72=$D$22+RetailDowntime,((1-RetailRenewalProb)*NewLeaseTI+RetailRenewalProb*RenewalTI)*$B$22*INDEX(Cum_TILC,1,Assumptions!BP$77)+LeasingCommissionPct*$E$22*$B$22*INDEX(Cum_TILC,1,Assumptions!BP$77),0))*Assumptions!BP$74</f>
        <v/>
      </c>
      <c r="BQ41" s="52">
        <f>(IF(Assumptions!BQ$72=$D$17+RetailDowntime,((1-RetailRenewalProb)*NewLeaseTI+RetailRenewalProb*RenewalTI)*$B$17*INDEX(Cum_TILC,1,Assumptions!BQ$77)+LeasingCommissionPct*$E$17*$B$17*INDEX(Cum_TILC,1,Assumptions!BQ$77),0)+IF(Assumptions!BQ$72=$D$18+RetailDowntime,((1-RetailRenewalProb)*NewLeaseTI+RetailRenewalProb*RenewalTI)*$B$18*INDEX(Cum_TILC,1,Assumptions!BQ$77)+LeasingCommissionPct*$E$18*$B$18*INDEX(Cum_TILC,1,Assumptions!BQ$77),0)+IF(Assumptions!BQ$72=$D$19+RetailDowntime,((1-RetailRenewalProb)*NewLeaseTI+RetailRenewalProb*RenewalTI)*$B$19*INDEX(Cum_TILC,1,Assumptions!BQ$77)+LeasingCommissionPct*$E$19*$B$19*INDEX(Cum_TILC,1,Assumptions!BQ$77),0)+IF(Assumptions!BQ$72=$D$20+RetailDowntime,((1-RetailRenewalProb)*NewLeaseTI+RetailRenewalProb*RenewalTI)*$B$20*INDEX(Cum_TILC,1,Assumptions!BQ$77)+LeasingCommissionPct*$E$20*$B$20*INDEX(Cum_TILC,1,Assumptions!BQ$77),0)+IF(Assumptions!BQ$72=$D$21+RetailDowntime,((1-RetailRenewalProb)*NewLeaseTI+RetailRenewalProb*RenewalTI)*$B$21*INDEX(Cum_TILC,1,Assumptions!BQ$77)+LeasingCommissionPct*$E$21*$B$21*INDEX(Cum_TILC,1,Assumptions!BQ$77),0)+IF(Assumptions!BQ$72=$D$22+RetailDowntime,((1-RetailRenewalProb)*NewLeaseTI+RetailRenewalProb*RenewalTI)*$B$22*INDEX(Cum_TILC,1,Assumptions!BQ$77)+LeasingCommissionPct*$E$22*$B$22*INDEX(Cum_TILC,1,Assumptions!BQ$77),0))*Assumptions!BQ$74</f>
        <v/>
      </c>
      <c r="BR41" s="52">
        <f>(IF(Assumptions!BR$72=$D$17+RetailDowntime,((1-RetailRenewalProb)*NewLeaseTI+RetailRenewalProb*RenewalTI)*$B$17*INDEX(Cum_TILC,1,Assumptions!BR$77)+LeasingCommissionPct*$E$17*$B$17*INDEX(Cum_TILC,1,Assumptions!BR$77),0)+IF(Assumptions!BR$72=$D$18+RetailDowntime,((1-RetailRenewalProb)*NewLeaseTI+RetailRenewalProb*RenewalTI)*$B$18*INDEX(Cum_TILC,1,Assumptions!BR$77)+LeasingCommissionPct*$E$18*$B$18*INDEX(Cum_TILC,1,Assumptions!BR$77),0)+IF(Assumptions!BR$72=$D$19+RetailDowntime,((1-RetailRenewalProb)*NewLeaseTI+RetailRenewalProb*RenewalTI)*$B$19*INDEX(Cum_TILC,1,Assumptions!BR$77)+LeasingCommissionPct*$E$19*$B$19*INDEX(Cum_TILC,1,Assumptions!BR$77),0)+IF(Assumptions!BR$72=$D$20+RetailDowntime,((1-RetailRenewalProb)*NewLeaseTI+RetailRenewalProb*RenewalTI)*$B$20*INDEX(Cum_TILC,1,Assumptions!BR$77)+LeasingCommissionPct*$E$20*$B$20*INDEX(Cum_TILC,1,Assumptions!BR$77),0)+IF(Assumptions!BR$72=$D$21+RetailDowntime,((1-RetailRenewalProb)*NewLeaseTI+RetailRenewalProb*RenewalTI)*$B$21*INDEX(Cum_TILC,1,Assumptions!BR$77)+LeasingCommissionPct*$E$21*$B$21*INDEX(Cum_TILC,1,Assumptions!BR$77),0)+IF(Assumptions!BR$72=$D$22+RetailDowntime,((1-RetailRenewalProb)*NewLeaseTI+RetailRenewalProb*RenewalTI)*$B$22*INDEX(Cum_TILC,1,Assumptions!BR$77)+LeasingCommissionPct*$E$22*$B$22*INDEX(Cum_TILC,1,Assumptions!BR$77),0))*Assumptions!BR$74</f>
        <v/>
      </c>
      <c r="BS41" s="52">
        <f>(IF(Assumptions!BS$72=$D$17+RetailDowntime,((1-RetailRenewalProb)*NewLeaseTI+RetailRenewalProb*RenewalTI)*$B$17*INDEX(Cum_TILC,1,Assumptions!BS$77)+LeasingCommissionPct*$E$17*$B$17*INDEX(Cum_TILC,1,Assumptions!BS$77),0)+IF(Assumptions!BS$72=$D$18+RetailDowntime,((1-RetailRenewalProb)*NewLeaseTI+RetailRenewalProb*RenewalTI)*$B$18*INDEX(Cum_TILC,1,Assumptions!BS$77)+LeasingCommissionPct*$E$18*$B$18*INDEX(Cum_TILC,1,Assumptions!BS$77),0)+IF(Assumptions!BS$72=$D$19+RetailDowntime,((1-RetailRenewalProb)*NewLeaseTI+RetailRenewalProb*RenewalTI)*$B$19*INDEX(Cum_TILC,1,Assumptions!BS$77)+LeasingCommissionPct*$E$19*$B$19*INDEX(Cum_TILC,1,Assumptions!BS$77),0)+IF(Assumptions!BS$72=$D$20+RetailDowntime,((1-RetailRenewalProb)*NewLeaseTI+RetailRenewalProb*RenewalTI)*$B$20*INDEX(Cum_TILC,1,Assumptions!BS$77)+LeasingCommissionPct*$E$20*$B$20*INDEX(Cum_TILC,1,Assumptions!BS$77),0)+IF(Assumptions!BS$72=$D$21+RetailDowntime,((1-RetailRenewalProb)*NewLeaseTI+RetailRenewalProb*RenewalTI)*$B$21*INDEX(Cum_TILC,1,Assumptions!BS$77)+LeasingCommissionPct*$E$21*$B$21*INDEX(Cum_TILC,1,Assumptions!BS$77),0)+IF(Assumptions!BS$72=$D$22+RetailDowntime,((1-RetailRenewalProb)*NewLeaseTI+RetailRenewalProb*RenewalTI)*$B$22*INDEX(Cum_TILC,1,Assumptions!BS$77)+LeasingCommissionPct*$E$22*$B$22*INDEX(Cum_TILC,1,Assumptions!BS$77),0))*Assumptions!BS$74</f>
        <v/>
      </c>
      <c r="BT41" s="52">
        <f>(IF(Assumptions!BT$72=$D$17+RetailDowntime,((1-RetailRenewalProb)*NewLeaseTI+RetailRenewalProb*RenewalTI)*$B$17*INDEX(Cum_TILC,1,Assumptions!BT$77)+LeasingCommissionPct*$E$17*$B$17*INDEX(Cum_TILC,1,Assumptions!BT$77),0)+IF(Assumptions!BT$72=$D$18+RetailDowntime,((1-RetailRenewalProb)*NewLeaseTI+RetailRenewalProb*RenewalTI)*$B$18*INDEX(Cum_TILC,1,Assumptions!BT$77)+LeasingCommissionPct*$E$18*$B$18*INDEX(Cum_TILC,1,Assumptions!BT$77),0)+IF(Assumptions!BT$72=$D$19+RetailDowntime,((1-RetailRenewalProb)*NewLeaseTI+RetailRenewalProb*RenewalTI)*$B$19*INDEX(Cum_TILC,1,Assumptions!BT$77)+LeasingCommissionPct*$E$19*$B$19*INDEX(Cum_TILC,1,Assumptions!BT$77),0)+IF(Assumptions!BT$72=$D$20+RetailDowntime,((1-RetailRenewalProb)*NewLeaseTI+RetailRenewalProb*RenewalTI)*$B$20*INDEX(Cum_TILC,1,Assumptions!BT$77)+LeasingCommissionPct*$E$20*$B$20*INDEX(Cum_TILC,1,Assumptions!BT$77),0)+IF(Assumptions!BT$72=$D$21+RetailDowntime,((1-RetailRenewalProb)*NewLeaseTI+RetailRenewalProb*RenewalTI)*$B$21*INDEX(Cum_TILC,1,Assumptions!BT$77)+LeasingCommissionPct*$E$21*$B$21*INDEX(Cum_TILC,1,Assumptions!BT$77),0)+IF(Assumptions!BT$72=$D$22+RetailDowntime,((1-RetailRenewalProb)*NewLeaseTI+RetailRenewalProb*RenewalTI)*$B$22*INDEX(Cum_TILC,1,Assumptions!BT$77)+LeasingCommissionPct*$E$22*$B$22*INDEX(Cum_TILC,1,Assumptions!BT$77),0))*Assumptions!BT$74</f>
        <v/>
      </c>
      <c r="BU41" s="52">
        <f>(IF(Assumptions!BU$72=$D$17+RetailDowntime,((1-RetailRenewalProb)*NewLeaseTI+RetailRenewalProb*RenewalTI)*$B$17*INDEX(Cum_TILC,1,Assumptions!BU$77)+LeasingCommissionPct*$E$17*$B$17*INDEX(Cum_TILC,1,Assumptions!BU$77),0)+IF(Assumptions!BU$72=$D$18+RetailDowntime,((1-RetailRenewalProb)*NewLeaseTI+RetailRenewalProb*RenewalTI)*$B$18*INDEX(Cum_TILC,1,Assumptions!BU$77)+LeasingCommissionPct*$E$18*$B$18*INDEX(Cum_TILC,1,Assumptions!BU$77),0)+IF(Assumptions!BU$72=$D$19+RetailDowntime,((1-RetailRenewalProb)*NewLeaseTI+RetailRenewalProb*RenewalTI)*$B$19*INDEX(Cum_TILC,1,Assumptions!BU$77)+LeasingCommissionPct*$E$19*$B$19*INDEX(Cum_TILC,1,Assumptions!BU$77),0)+IF(Assumptions!BU$72=$D$20+RetailDowntime,((1-RetailRenewalProb)*NewLeaseTI+RetailRenewalProb*RenewalTI)*$B$20*INDEX(Cum_TILC,1,Assumptions!BU$77)+LeasingCommissionPct*$E$20*$B$20*INDEX(Cum_TILC,1,Assumptions!BU$77),0)+IF(Assumptions!BU$72=$D$21+RetailDowntime,((1-RetailRenewalProb)*NewLeaseTI+RetailRenewalProb*RenewalTI)*$B$21*INDEX(Cum_TILC,1,Assumptions!BU$77)+LeasingCommissionPct*$E$21*$B$21*INDEX(Cum_TILC,1,Assumptions!BU$77),0)+IF(Assumptions!BU$72=$D$22+RetailDowntime,((1-RetailRenewalProb)*NewLeaseTI+RetailRenewalProb*RenewalTI)*$B$22*INDEX(Cum_TILC,1,Assumptions!BU$77)+LeasingCommissionPct*$E$22*$B$22*INDEX(Cum_TILC,1,Assumptions!BU$77),0))*Assumptions!BU$74</f>
        <v/>
      </c>
      <c r="BV41" s="52">
        <f>(IF(Assumptions!BV$72=$D$17+RetailDowntime,((1-RetailRenewalProb)*NewLeaseTI+RetailRenewalProb*RenewalTI)*$B$17*INDEX(Cum_TILC,1,Assumptions!BV$77)+LeasingCommissionPct*$E$17*$B$17*INDEX(Cum_TILC,1,Assumptions!BV$77),0)+IF(Assumptions!BV$72=$D$18+RetailDowntime,((1-RetailRenewalProb)*NewLeaseTI+RetailRenewalProb*RenewalTI)*$B$18*INDEX(Cum_TILC,1,Assumptions!BV$77)+LeasingCommissionPct*$E$18*$B$18*INDEX(Cum_TILC,1,Assumptions!BV$77),0)+IF(Assumptions!BV$72=$D$19+RetailDowntime,((1-RetailRenewalProb)*NewLeaseTI+RetailRenewalProb*RenewalTI)*$B$19*INDEX(Cum_TILC,1,Assumptions!BV$77)+LeasingCommissionPct*$E$19*$B$19*INDEX(Cum_TILC,1,Assumptions!BV$77),0)+IF(Assumptions!BV$72=$D$20+RetailDowntime,((1-RetailRenewalProb)*NewLeaseTI+RetailRenewalProb*RenewalTI)*$B$20*INDEX(Cum_TILC,1,Assumptions!BV$77)+LeasingCommissionPct*$E$20*$B$20*INDEX(Cum_TILC,1,Assumptions!BV$77),0)+IF(Assumptions!BV$72=$D$21+RetailDowntime,((1-RetailRenewalProb)*NewLeaseTI+RetailRenewalProb*RenewalTI)*$B$21*INDEX(Cum_TILC,1,Assumptions!BV$77)+LeasingCommissionPct*$E$21*$B$21*INDEX(Cum_TILC,1,Assumptions!BV$77),0)+IF(Assumptions!BV$72=$D$22+RetailDowntime,((1-RetailRenewalProb)*NewLeaseTI+RetailRenewalProb*RenewalTI)*$B$22*INDEX(Cum_TILC,1,Assumptions!BV$77)+LeasingCommissionPct*$E$22*$B$22*INDEX(Cum_TILC,1,Assumptions!BV$77),0))*Assumptions!BV$74</f>
        <v/>
      </c>
      <c r="BW41" s="52">
        <f>(IF(Assumptions!BW$72=$D$17+RetailDowntime,((1-RetailRenewalProb)*NewLeaseTI+RetailRenewalProb*RenewalTI)*$B$17*INDEX(Cum_TILC,1,Assumptions!BW$77)+LeasingCommissionPct*$E$17*$B$17*INDEX(Cum_TILC,1,Assumptions!BW$77),0)+IF(Assumptions!BW$72=$D$18+RetailDowntime,((1-RetailRenewalProb)*NewLeaseTI+RetailRenewalProb*RenewalTI)*$B$18*INDEX(Cum_TILC,1,Assumptions!BW$77)+LeasingCommissionPct*$E$18*$B$18*INDEX(Cum_TILC,1,Assumptions!BW$77),0)+IF(Assumptions!BW$72=$D$19+RetailDowntime,((1-RetailRenewalProb)*NewLeaseTI+RetailRenewalProb*RenewalTI)*$B$19*INDEX(Cum_TILC,1,Assumptions!BW$77)+LeasingCommissionPct*$E$19*$B$19*INDEX(Cum_TILC,1,Assumptions!BW$77),0)+IF(Assumptions!BW$72=$D$20+RetailDowntime,((1-RetailRenewalProb)*NewLeaseTI+RetailRenewalProb*RenewalTI)*$B$20*INDEX(Cum_TILC,1,Assumptions!BW$77)+LeasingCommissionPct*$E$20*$B$20*INDEX(Cum_TILC,1,Assumptions!BW$77),0)+IF(Assumptions!BW$72=$D$21+RetailDowntime,((1-RetailRenewalProb)*NewLeaseTI+RetailRenewalProb*RenewalTI)*$B$21*INDEX(Cum_TILC,1,Assumptions!BW$77)+LeasingCommissionPct*$E$21*$B$21*INDEX(Cum_TILC,1,Assumptions!BW$77),0)+IF(Assumptions!BW$72=$D$22+RetailDowntime,((1-RetailRenewalProb)*NewLeaseTI+RetailRenewalProb*RenewalTI)*$B$22*INDEX(Cum_TILC,1,Assumptions!BW$77)+LeasingCommissionPct*$E$22*$B$22*INDEX(Cum_TILC,1,Assumptions!BW$77),0))*Assumptions!BW$74</f>
        <v/>
      </c>
      <c r="BX41" s="52">
        <f>(IF(Assumptions!BX$72=$D$17+RetailDowntime,((1-RetailRenewalProb)*NewLeaseTI+RetailRenewalProb*RenewalTI)*$B$17*INDEX(Cum_TILC,1,Assumptions!BX$77)+LeasingCommissionPct*$E$17*$B$17*INDEX(Cum_TILC,1,Assumptions!BX$77),0)+IF(Assumptions!BX$72=$D$18+RetailDowntime,((1-RetailRenewalProb)*NewLeaseTI+RetailRenewalProb*RenewalTI)*$B$18*INDEX(Cum_TILC,1,Assumptions!BX$77)+LeasingCommissionPct*$E$18*$B$18*INDEX(Cum_TILC,1,Assumptions!BX$77),0)+IF(Assumptions!BX$72=$D$19+RetailDowntime,((1-RetailRenewalProb)*NewLeaseTI+RetailRenewalProb*RenewalTI)*$B$19*INDEX(Cum_TILC,1,Assumptions!BX$77)+LeasingCommissionPct*$E$19*$B$19*INDEX(Cum_TILC,1,Assumptions!BX$77),0)+IF(Assumptions!BX$72=$D$20+RetailDowntime,((1-RetailRenewalProb)*NewLeaseTI+RetailRenewalProb*RenewalTI)*$B$20*INDEX(Cum_TILC,1,Assumptions!BX$77)+LeasingCommissionPct*$E$20*$B$20*INDEX(Cum_TILC,1,Assumptions!BX$77),0)+IF(Assumptions!BX$72=$D$21+RetailDowntime,((1-RetailRenewalProb)*NewLeaseTI+RetailRenewalProb*RenewalTI)*$B$21*INDEX(Cum_TILC,1,Assumptions!BX$77)+LeasingCommissionPct*$E$21*$B$21*INDEX(Cum_TILC,1,Assumptions!BX$77),0)+IF(Assumptions!BX$72=$D$22+RetailDowntime,((1-RetailRenewalProb)*NewLeaseTI+RetailRenewalProb*RenewalTI)*$B$22*INDEX(Cum_TILC,1,Assumptions!BX$77)+LeasingCommissionPct*$E$22*$B$22*INDEX(Cum_TILC,1,Assumptions!BX$77),0))*Assumptions!BX$74</f>
        <v/>
      </c>
      <c r="BY41" s="52">
        <f>(IF(Assumptions!BY$72=$D$17+RetailDowntime,((1-RetailRenewalProb)*NewLeaseTI+RetailRenewalProb*RenewalTI)*$B$17*INDEX(Cum_TILC,1,Assumptions!BY$77)+LeasingCommissionPct*$E$17*$B$17*INDEX(Cum_TILC,1,Assumptions!BY$77),0)+IF(Assumptions!BY$72=$D$18+RetailDowntime,((1-RetailRenewalProb)*NewLeaseTI+RetailRenewalProb*RenewalTI)*$B$18*INDEX(Cum_TILC,1,Assumptions!BY$77)+LeasingCommissionPct*$E$18*$B$18*INDEX(Cum_TILC,1,Assumptions!BY$77),0)+IF(Assumptions!BY$72=$D$19+RetailDowntime,((1-RetailRenewalProb)*NewLeaseTI+RetailRenewalProb*RenewalTI)*$B$19*INDEX(Cum_TILC,1,Assumptions!BY$77)+LeasingCommissionPct*$E$19*$B$19*INDEX(Cum_TILC,1,Assumptions!BY$77),0)+IF(Assumptions!BY$72=$D$20+RetailDowntime,((1-RetailRenewalProb)*NewLeaseTI+RetailRenewalProb*RenewalTI)*$B$20*INDEX(Cum_TILC,1,Assumptions!BY$77)+LeasingCommissionPct*$E$20*$B$20*INDEX(Cum_TILC,1,Assumptions!BY$77),0)+IF(Assumptions!BY$72=$D$21+RetailDowntime,((1-RetailRenewalProb)*NewLeaseTI+RetailRenewalProb*RenewalTI)*$B$21*INDEX(Cum_TILC,1,Assumptions!BY$77)+LeasingCommissionPct*$E$21*$B$21*INDEX(Cum_TILC,1,Assumptions!BY$77),0)+IF(Assumptions!BY$72=$D$22+RetailDowntime,((1-RetailRenewalProb)*NewLeaseTI+RetailRenewalProb*RenewalTI)*$B$22*INDEX(Cum_TILC,1,Assumptions!BY$77)+LeasingCommissionPct*$E$22*$B$22*INDEX(Cum_TILC,1,Assumptions!BY$77),0))*Assumptions!BY$74</f>
        <v/>
      </c>
      <c r="BZ41" s="52">
        <f>(IF(Assumptions!BZ$72=$D$17+RetailDowntime,((1-RetailRenewalProb)*NewLeaseTI+RetailRenewalProb*RenewalTI)*$B$17*INDEX(Cum_TILC,1,Assumptions!BZ$77)+LeasingCommissionPct*$E$17*$B$17*INDEX(Cum_TILC,1,Assumptions!BZ$77),0)+IF(Assumptions!BZ$72=$D$18+RetailDowntime,((1-RetailRenewalProb)*NewLeaseTI+RetailRenewalProb*RenewalTI)*$B$18*INDEX(Cum_TILC,1,Assumptions!BZ$77)+LeasingCommissionPct*$E$18*$B$18*INDEX(Cum_TILC,1,Assumptions!BZ$77),0)+IF(Assumptions!BZ$72=$D$19+RetailDowntime,((1-RetailRenewalProb)*NewLeaseTI+RetailRenewalProb*RenewalTI)*$B$19*INDEX(Cum_TILC,1,Assumptions!BZ$77)+LeasingCommissionPct*$E$19*$B$19*INDEX(Cum_TILC,1,Assumptions!BZ$77),0)+IF(Assumptions!BZ$72=$D$20+RetailDowntime,((1-RetailRenewalProb)*NewLeaseTI+RetailRenewalProb*RenewalTI)*$B$20*INDEX(Cum_TILC,1,Assumptions!BZ$77)+LeasingCommissionPct*$E$20*$B$20*INDEX(Cum_TILC,1,Assumptions!BZ$77),0)+IF(Assumptions!BZ$72=$D$21+RetailDowntime,((1-RetailRenewalProb)*NewLeaseTI+RetailRenewalProb*RenewalTI)*$B$21*INDEX(Cum_TILC,1,Assumptions!BZ$77)+LeasingCommissionPct*$E$21*$B$21*INDEX(Cum_TILC,1,Assumptions!BZ$77),0)+IF(Assumptions!BZ$72=$D$22+RetailDowntime,((1-RetailRenewalProb)*NewLeaseTI+RetailRenewalProb*RenewalTI)*$B$22*INDEX(Cum_TILC,1,Assumptions!BZ$77)+LeasingCommissionPct*$E$22*$B$22*INDEX(Cum_TILC,1,Assumptions!BZ$77),0))*Assumptions!BZ$74</f>
        <v/>
      </c>
      <c r="CA41" s="52">
        <f>(IF(Assumptions!CA$72=$D$17+RetailDowntime,((1-RetailRenewalProb)*NewLeaseTI+RetailRenewalProb*RenewalTI)*$B$17*INDEX(Cum_TILC,1,Assumptions!CA$77)+LeasingCommissionPct*$E$17*$B$17*INDEX(Cum_TILC,1,Assumptions!CA$77),0)+IF(Assumptions!CA$72=$D$18+RetailDowntime,((1-RetailRenewalProb)*NewLeaseTI+RetailRenewalProb*RenewalTI)*$B$18*INDEX(Cum_TILC,1,Assumptions!CA$77)+LeasingCommissionPct*$E$18*$B$18*INDEX(Cum_TILC,1,Assumptions!CA$77),0)+IF(Assumptions!CA$72=$D$19+RetailDowntime,((1-RetailRenewalProb)*NewLeaseTI+RetailRenewalProb*RenewalTI)*$B$19*INDEX(Cum_TILC,1,Assumptions!CA$77)+LeasingCommissionPct*$E$19*$B$19*INDEX(Cum_TILC,1,Assumptions!CA$77),0)+IF(Assumptions!CA$72=$D$20+RetailDowntime,((1-RetailRenewalProb)*NewLeaseTI+RetailRenewalProb*RenewalTI)*$B$20*INDEX(Cum_TILC,1,Assumptions!CA$77)+LeasingCommissionPct*$E$20*$B$20*INDEX(Cum_TILC,1,Assumptions!CA$77),0)+IF(Assumptions!CA$72=$D$21+RetailDowntime,((1-RetailRenewalProb)*NewLeaseTI+RetailRenewalProb*RenewalTI)*$B$21*INDEX(Cum_TILC,1,Assumptions!CA$77)+LeasingCommissionPct*$E$21*$B$21*INDEX(Cum_TILC,1,Assumptions!CA$77),0)+IF(Assumptions!CA$72=$D$22+RetailDowntime,((1-RetailRenewalProb)*NewLeaseTI+RetailRenewalProb*RenewalTI)*$B$22*INDEX(Cum_TILC,1,Assumptions!CA$77)+LeasingCommissionPct*$E$22*$B$22*INDEX(Cum_TILC,1,Assumptions!CA$77),0))*Assumptions!CA$74</f>
        <v/>
      </c>
      <c r="CB41" s="52">
        <f>(IF(Assumptions!CB$72=$D$17+RetailDowntime,((1-RetailRenewalProb)*NewLeaseTI+RetailRenewalProb*RenewalTI)*$B$17*INDEX(Cum_TILC,1,Assumptions!CB$77)+LeasingCommissionPct*$E$17*$B$17*INDEX(Cum_TILC,1,Assumptions!CB$77),0)+IF(Assumptions!CB$72=$D$18+RetailDowntime,((1-RetailRenewalProb)*NewLeaseTI+RetailRenewalProb*RenewalTI)*$B$18*INDEX(Cum_TILC,1,Assumptions!CB$77)+LeasingCommissionPct*$E$18*$B$18*INDEX(Cum_TILC,1,Assumptions!CB$77),0)+IF(Assumptions!CB$72=$D$19+RetailDowntime,((1-RetailRenewalProb)*NewLeaseTI+RetailRenewalProb*RenewalTI)*$B$19*INDEX(Cum_TILC,1,Assumptions!CB$77)+LeasingCommissionPct*$E$19*$B$19*INDEX(Cum_TILC,1,Assumptions!CB$77),0)+IF(Assumptions!CB$72=$D$20+RetailDowntime,((1-RetailRenewalProb)*NewLeaseTI+RetailRenewalProb*RenewalTI)*$B$20*INDEX(Cum_TILC,1,Assumptions!CB$77)+LeasingCommissionPct*$E$20*$B$20*INDEX(Cum_TILC,1,Assumptions!CB$77),0)+IF(Assumptions!CB$72=$D$21+RetailDowntime,((1-RetailRenewalProb)*NewLeaseTI+RetailRenewalProb*RenewalTI)*$B$21*INDEX(Cum_TILC,1,Assumptions!CB$77)+LeasingCommissionPct*$E$21*$B$21*INDEX(Cum_TILC,1,Assumptions!CB$77),0)+IF(Assumptions!CB$72=$D$22+RetailDowntime,((1-RetailRenewalProb)*NewLeaseTI+RetailRenewalProb*RenewalTI)*$B$22*INDEX(Cum_TILC,1,Assumptions!CB$77)+LeasingCommissionPct*$E$22*$B$22*INDEX(Cum_TILC,1,Assumptions!CB$77),0))*Assumptions!CB$74</f>
        <v/>
      </c>
      <c r="CC41" s="52">
        <f>(IF(Assumptions!CC$72=$D$17+RetailDowntime,((1-RetailRenewalProb)*NewLeaseTI+RetailRenewalProb*RenewalTI)*$B$17*INDEX(Cum_TILC,1,Assumptions!CC$77)+LeasingCommissionPct*$E$17*$B$17*INDEX(Cum_TILC,1,Assumptions!CC$77),0)+IF(Assumptions!CC$72=$D$18+RetailDowntime,((1-RetailRenewalProb)*NewLeaseTI+RetailRenewalProb*RenewalTI)*$B$18*INDEX(Cum_TILC,1,Assumptions!CC$77)+LeasingCommissionPct*$E$18*$B$18*INDEX(Cum_TILC,1,Assumptions!CC$77),0)+IF(Assumptions!CC$72=$D$19+RetailDowntime,((1-RetailRenewalProb)*NewLeaseTI+RetailRenewalProb*RenewalTI)*$B$19*INDEX(Cum_TILC,1,Assumptions!CC$77)+LeasingCommissionPct*$E$19*$B$19*INDEX(Cum_TILC,1,Assumptions!CC$77),0)+IF(Assumptions!CC$72=$D$20+RetailDowntime,((1-RetailRenewalProb)*NewLeaseTI+RetailRenewalProb*RenewalTI)*$B$20*INDEX(Cum_TILC,1,Assumptions!CC$77)+LeasingCommissionPct*$E$20*$B$20*INDEX(Cum_TILC,1,Assumptions!CC$77),0)+IF(Assumptions!CC$72=$D$21+RetailDowntime,((1-RetailRenewalProb)*NewLeaseTI+RetailRenewalProb*RenewalTI)*$B$21*INDEX(Cum_TILC,1,Assumptions!CC$77)+LeasingCommissionPct*$E$21*$B$21*INDEX(Cum_TILC,1,Assumptions!CC$77),0)+IF(Assumptions!CC$72=$D$22+RetailDowntime,((1-RetailRenewalProb)*NewLeaseTI+RetailRenewalProb*RenewalTI)*$B$22*INDEX(Cum_TILC,1,Assumptions!CC$77)+LeasingCommissionPct*$E$22*$B$22*INDEX(Cum_TILC,1,Assumptions!CC$77),0))*Assumptions!CC$74</f>
        <v/>
      </c>
      <c r="CD41" s="52">
        <f>(IF(Assumptions!CD$72=$D$17+RetailDowntime,((1-RetailRenewalProb)*NewLeaseTI+RetailRenewalProb*RenewalTI)*$B$17*INDEX(Cum_TILC,1,Assumptions!CD$77)+LeasingCommissionPct*$E$17*$B$17*INDEX(Cum_TILC,1,Assumptions!CD$77),0)+IF(Assumptions!CD$72=$D$18+RetailDowntime,((1-RetailRenewalProb)*NewLeaseTI+RetailRenewalProb*RenewalTI)*$B$18*INDEX(Cum_TILC,1,Assumptions!CD$77)+LeasingCommissionPct*$E$18*$B$18*INDEX(Cum_TILC,1,Assumptions!CD$77),0)+IF(Assumptions!CD$72=$D$19+RetailDowntime,((1-RetailRenewalProb)*NewLeaseTI+RetailRenewalProb*RenewalTI)*$B$19*INDEX(Cum_TILC,1,Assumptions!CD$77)+LeasingCommissionPct*$E$19*$B$19*INDEX(Cum_TILC,1,Assumptions!CD$77),0)+IF(Assumptions!CD$72=$D$20+RetailDowntime,((1-RetailRenewalProb)*NewLeaseTI+RetailRenewalProb*RenewalTI)*$B$20*INDEX(Cum_TILC,1,Assumptions!CD$77)+LeasingCommissionPct*$E$20*$B$20*INDEX(Cum_TILC,1,Assumptions!CD$77),0)+IF(Assumptions!CD$72=$D$21+RetailDowntime,((1-RetailRenewalProb)*NewLeaseTI+RetailRenewalProb*RenewalTI)*$B$21*INDEX(Cum_TILC,1,Assumptions!CD$77)+LeasingCommissionPct*$E$21*$B$21*INDEX(Cum_TILC,1,Assumptions!CD$77),0)+IF(Assumptions!CD$72=$D$22+RetailDowntime,((1-RetailRenewalProb)*NewLeaseTI+RetailRenewalProb*RenewalTI)*$B$22*INDEX(Cum_TILC,1,Assumptions!CD$77)+LeasingCommissionPct*$E$22*$B$22*INDEX(Cum_TILC,1,Assumptions!CD$77),0))*Assumptions!CD$74</f>
        <v/>
      </c>
      <c r="CE41" s="52">
        <f>(IF(Assumptions!CE$72=$D$17+RetailDowntime,((1-RetailRenewalProb)*NewLeaseTI+RetailRenewalProb*RenewalTI)*$B$17*INDEX(Cum_TILC,1,Assumptions!CE$77)+LeasingCommissionPct*$E$17*$B$17*INDEX(Cum_TILC,1,Assumptions!CE$77),0)+IF(Assumptions!CE$72=$D$18+RetailDowntime,((1-RetailRenewalProb)*NewLeaseTI+RetailRenewalProb*RenewalTI)*$B$18*INDEX(Cum_TILC,1,Assumptions!CE$77)+LeasingCommissionPct*$E$18*$B$18*INDEX(Cum_TILC,1,Assumptions!CE$77),0)+IF(Assumptions!CE$72=$D$19+RetailDowntime,((1-RetailRenewalProb)*NewLeaseTI+RetailRenewalProb*RenewalTI)*$B$19*INDEX(Cum_TILC,1,Assumptions!CE$77)+LeasingCommissionPct*$E$19*$B$19*INDEX(Cum_TILC,1,Assumptions!CE$77),0)+IF(Assumptions!CE$72=$D$20+RetailDowntime,((1-RetailRenewalProb)*NewLeaseTI+RetailRenewalProb*RenewalTI)*$B$20*INDEX(Cum_TILC,1,Assumptions!CE$77)+LeasingCommissionPct*$E$20*$B$20*INDEX(Cum_TILC,1,Assumptions!CE$77),0)+IF(Assumptions!CE$72=$D$21+RetailDowntime,((1-RetailRenewalProb)*NewLeaseTI+RetailRenewalProb*RenewalTI)*$B$21*INDEX(Cum_TILC,1,Assumptions!CE$77)+LeasingCommissionPct*$E$21*$B$21*INDEX(Cum_TILC,1,Assumptions!CE$77),0)+IF(Assumptions!CE$72=$D$22+RetailDowntime,((1-RetailRenewalProb)*NewLeaseTI+RetailRenewalProb*RenewalTI)*$B$22*INDEX(Cum_TILC,1,Assumptions!CE$77)+LeasingCommissionPct*$E$22*$B$22*INDEX(Cum_TILC,1,Assumptions!CE$77),0))*Assumptions!CE$74</f>
        <v/>
      </c>
      <c r="CF41" s="52">
        <f>(IF(Assumptions!CF$72=$D$17+RetailDowntime,((1-RetailRenewalProb)*NewLeaseTI+RetailRenewalProb*RenewalTI)*$B$17*INDEX(Cum_TILC,1,Assumptions!CF$77)+LeasingCommissionPct*$E$17*$B$17*INDEX(Cum_TILC,1,Assumptions!CF$77),0)+IF(Assumptions!CF$72=$D$18+RetailDowntime,((1-RetailRenewalProb)*NewLeaseTI+RetailRenewalProb*RenewalTI)*$B$18*INDEX(Cum_TILC,1,Assumptions!CF$77)+LeasingCommissionPct*$E$18*$B$18*INDEX(Cum_TILC,1,Assumptions!CF$77),0)+IF(Assumptions!CF$72=$D$19+RetailDowntime,((1-RetailRenewalProb)*NewLeaseTI+RetailRenewalProb*RenewalTI)*$B$19*INDEX(Cum_TILC,1,Assumptions!CF$77)+LeasingCommissionPct*$E$19*$B$19*INDEX(Cum_TILC,1,Assumptions!CF$77),0)+IF(Assumptions!CF$72=$D$20+RetailDowntime,((1-RetailRenewalProb)*NewLeaseTI+RetailRenewalProb*RenewalTI)*$B$20*INDEX(Cum_TILC,1,Assumptions!CF$77)+LeasingCommissionPct*$E$20*$B$20*INDEX(Cum_TILC,1,Assumptions!CF$77),0)+IF(Assumptions!CF$72=$D$21+RetailDowntime,((1-RetailRenewalProb)*NewLeaseTI+RetailRenewalProb*RenewalTI)*$B$21*INDEX(Cum_TILC,1,Assumptions!CF$77)+LeasingCommissionPct*$E$21*$B$21*INDEX(Cum_TILC,1,Assumptions!CF$77),0)+IF(Assumptions!CF$72=$D$22+RetailDowntime,((1-RetailRenewalProb)*NewLeaseTI+RetailRenewalProb*RenewalTI)*$B$22*INDEX(Cum_TILC,1,Assumptions!CF$77)+LeasingCommissionPct*$E$22*$B$22*INDEX(Cum_TILC,1,Assumptions!CF$77),0))*Assumptions!CF$74</f>
        <v/>
      </c>
      <c r="CG41" s="52">
        <f>(IF(Assumptions!CG$72=$D$17+RetailDowntime,((1-RetailRenewalProb)*NewLeaseTI+RetailRenewalProb*RenewalTI)*$B$17*INDEX(Cum_TILC,1,Assumptions!CG$77)+LeasingCommissionPct*$E$17*$B$17*INDEX(Cum_TILC,1,Assumptions!CG$77),0)+IF(Assumptions!CG$72=$D$18+RetailDowntime,((1-RetailRenewalProb)*NewLeaseTI+RetailRenewalProb*RenewalTI)*$B$18*INDEX(Cum_TILC,1,Assumptions!CG$77)+LeasingCommissionPct*$E$18*$B$18*INDEX(Cum_TILC,1,Assumptions!CG$77),0)+IF(Assumptions!CG$72=$D$19+RetailDowntime,((1-RetailRenewalProb)*NewLeaseTI+RetailRenewalProb*RenewalTI)*$B$19*INDEX(Cum_TILC,1,Assumptions!CG$77)+LeasingCommissionPct*$E$19*$B$19*INDEX(Cum_TILC,1,Assumptions!CG$77),0)+IF(Assumptions!CG$72=$D$20+RetailDowntime,((1-RetailRenewalProb)*NewLeaseTI+RetailRenewalProb*RenewalTI)*$B$20*INDEX(Cum_TILC,1,Assumptions!CG$77)+LeasingCommissionPct*$E$20*$B$20*INDEX(Cum_TILC,1,Assumptions!CG$77),0)+IF(Assumptions!CG$72=$D$21+RetailDowntime,((1-RetailRenewalProb)*NewLeaseTI+RetailRenewalProb*RenewalTI)*$B$21*INDEX(Cum_TILC,1,Assumptions!CG$77)+LeasingCommissionPct*$E$21*$B$21*INDEX(Cum_TILC,1,Assumptions!CG$77),0)+IF(Assumptions!CG$72=$D$22+RetailDowntime,((1-RetailRenewalProb)*NewLeaseTI+RetailRenewalProb*RenewalTI)*$B$22*INDEX(Cum_TILC,1,Assumptions!CG$77)+LeasingCommissionPct*$E$22*$B$22*INDEX(Cum_TILC,1,Assumptions!CG$77),0))*Assumptions!CG$74</f>
        <v/>
      </c>
      <c r="CH41" s="52">
        <f>(IF(Assumptions!CH$72=$D$17+RetailDowntime,((1-RetailRenewalProb)*NewLeaseTI+RetailRenewalProb*RenewalTI)*$B$17*INDEX(Cum_TILC,1,Assumptions!CH$77)+LeasingCommissionPct*$E$17*$B$17*INDEX(Cum_TILC,1,Assumptions!CH$77),0)+IF(Assumptions!CH$72=$D$18+RetailDowntime,((1-RetailRenewalProb)*NewLeaseTI+RetailRenewalProb*RenewalTI)*$B$18*INDEX(Cum_TILC,1,Assumptions!CH$77)+LeasingCommissionPct*$E$18*$B$18*INDEX(Cum_TILC,1,Assumptions!CH$77),0)+IF(Assumptions!CH$72=$D$19+RetailDowntime,((1-RetailRenewalProb)*NewLeaseTI+RetailRenewalProb*RenewalTI)*$B$19*INDEX(Cum_TILC,1,Assumptions!CH$77)+LeasingCommissionPct*$E$19*$B$19*INDEX(Cum_TILC,1,Assumptions!CH$77),0)+IF(Assumptions!CH$72=$D$20+RetailDowntime,((1-RetailRenewalProb)*NewLeaseTI+RetailRenewalProb*RenewalTI)*$B$20*INDEX(Cum_TILC,1,Assumptions!CH$77)+LeasingCommissionPct*$E$20*$B$20*INDEX(Cum_TILC,1,Assumptions!CH$77),0)+IF(Assumptions!CH$72=$D$21+RetailDowntime,((1-RetailRenewalProb)*NewLeaseTI+RetailRenewalProb*RenewalTI)*$B$21*INDEX(Cum_TILC,1,Assumptions!CH$77)+LeasingCommissionPct*$E$21*$B$21*INDEX(Cum_TILC,1,Assumptions!CH$77),0)+IF(Assumptions!CH$72=$D$22+RetailDowntime,((1-RetailRenewalProb)*NewLeaseTI+RetailRenewalProb*RenewalTI)*$B$22*INDEX(Cum_TILC,1,Assumptions!CH$77)+LeasingCommissionPct*$E$22*$B$22*INDEX(Cum_TILC,1,Assumptions!CH$77),0))*Assumptions!CH$74</f>
        <v/>
      </c>
      <c r="CI41" s="52">
        <f>(IF(Assumptions!CI$72=$D$17+RetailDowntime,((1-RetailRenewalProb)*NewLeaseTI+RetailRenewalProb*RenewalTI)*$B$17*INDEX(Cum_TILC,1,Assumptions!CI$77)+LeasingCommissionPct*$E$17*$B$17*INDEX(Cum_TILC,1,Assumptions!CI$77),0)+IF(Assumptions!CI$72=$D$18+RetailDowntime,((1-RetailRenewalProb)*NewLeaseTI+RetailRenewalProb*RenewalTI)*$B$18*INDEX(Cum_TILC,1,Assumptions!CI$77)+LeasingCommissionPct*$E$18*$B$18*INDEX(Cum_TILC,1,Assumptions!CI$77),0)+IF(Assumptions!CI$72=$D$19+RetailDowntime,((1-RetailRenewalProb)*NewLeaseTI+RetailRenewalProb*RenewalTI)*$B$19*INDEX(Cum_TILC,1,Assumptions!CI$77)+LeasingCommissionPct*$E$19*$B$19*INDEX(Cum_TILC,1,Assumptions!CI$77),0)+IF(Assumptions!CI$72=$D$20+RetailDowntime,((1-RetailRenewalProb)*NewLeaseTI+RetailRenewalProb*RenewalTI)*$B$20*INDEX(Cum_TILC,1,Assumptions!CI$77)+LeasingCommissionPct*$E$20*$B$20*INDEX(Cum_TILC,1,Assumptions!CI$77),0)+IF(Assumptions!CI$72=$D$21+RetailDowntime,((1-RetailRenewalProb)*NewLeaseTI+RetailRenewalProb*RenewalTI)*$B$21*INDEX(Cum_TILC,1,Assumptions!CI$77)+LeasingCommissionPct*$E$21*$B$21*INDEX(Cum_TILC,1,Assumptions!CI$77),0)+IF(Assumptions!CI$72=$D$22+RetailDowntime,((1-RetailRenewalProb)*NewLeaseTI+RetailRenewalProb*RenewalTI)*$B$22*INDEX(Cum_TILC,1,Assumptions!CI$77)+LeasingCommissionPct*$E$22*$B$22*INDEX(Cum_TILC,1,Assumptions!CI$77),0))*Assumptions!CI$74</f>
        <v/>
      </c>
      <c r="CJ41" s="52">
        <f>(IF(Assumptions!CJ$72=$D$17+RetailDowntime,((1-RetailRenewalProb)*NewLeaseTI+RetailRenewalProb*RenewalTI)*$B$17*INDEX(Cum_TILC,1,Assumptions!CJ$77)+LeasingCommissionPct*$E$17*$B$17*INDEX(Cum_TILC,1,Assumptions!CJ$77),0)+IF(Assumptions!CJ$72=$D$18+RetailDowntime,((1-RetailRenewalProb)*NewLeaseTI+RetailRenewalProb*RenewalTI)*$B$18*INDEX(Cum_TILC,1,Assumptions!CJ$77)+LeasingCommissionPct*$E$18*$B$18*INDEX(Cum_TILC,1,Assumptions!CJ$77),0)+IF(Assumptions!CJ$72=$D$19+RetailDowntime,((1-RetailRenewalProb)*NewLeaseTI+RetailRenewalProb*RenewalTI)*$B$19*INDEX(Cum_TILC,1,Assumptions!CJ$77)+LeasingCommissionPct*$E$19*$B$19*INDEX(Cum_TILC,1,Assumptions!CJ$77),0)+IF(Assumptions!CJ$72=$D$20+RetailDowntime,((1-RetailRenewalProb)*NewLeaseTI+RetailRenewalProb*RenewalTI)*$B$20*INDEX(Cum_TILC,1,Assumptions!CJ$77)+LeasingCommissionPct*$E$20*$B$20*INDEX(Cum_TILC,1,Assumptions!CJ$77),0)+IF(Assumptions!CJ$72=$D$21+RetailDowntime,((1-RetailRenewalProb)*NewLeaseTI+RetailRenewalProb*RenewalTI)*$B$21*INDEX(Cum_TILC,1,Assumptions!CJ$77)+LeasingCommissionPct*$E$21*$B$21*INDEX(Cum_TILC,1,Assumptions!CJ$77),0)+IF(Assumptions!CJ$72=$D$22+RetailDowntime,((1-RetailRenewalProb)*NewLeaseTI+RetailRenewalProb*RenewalTI)*$B$22*INDEX(Cum_TILC,1,Assumptions!CJ$77)+LeasingCommissionPct*$E$22*$B$22*INDEX(Cum_TILC,1,Assumptions!CJ$77),0))*Assumptions!CJ$74</f>
        <v/>
      </c>
      <c r="CK41" s="52">
        <f>(IF(Assumptions!CK$72=$D$17+RetailDowntime,((1-RetailRenewalProb)*NewLeaseTI+RetailRenewalProb*RenewalTI)*$B$17*INDEX(Cum_TILC,1,Assumptions!CK$77)+LeasingCommissionPct*$E$17*$B$17*INDEX(Cum_TILC,1,Assumptions!CK$77),0)+IF(Assumptions!CK$72=$D$18+RetailDowntime,((1-RetailRenewalProb)*NewLeaseTI+RetailRenewalProb*RenewalTI)*$B$18*INDEX(Cum_TILC,1,Assumptions!CK$77)+LeasingCommissionPct*$E$18*$B$18*INDEX(Cum_TILC,1,Assumptions!CK$77),0)+IF(Assumptions!CK$72=$D$19+RetailDowntime,((1-RetailRenewalProb)*NewLeaseTI+RetailRenewalProb*RenewalTI)*$B$19*INDEX(Cum_TILC,1,Assumptions!CK$77)+LeasingCommissionPct*$E$19*$B$19*INDEX(Cum_TILC,1,Assumptions!CK$77),0)+IF(Assumptions!CK$72=$D$20+RetailDowntime,((1-RetailRenewalProb)*NewLeaseTI+RetailRenewalProb*RenewalTI)*$B$20*INDEX(Cum_TILC,1,Assumptions!CK$77)+LeasingCommissionPct*$E$20*$B$20*INDEX(Cum_TILC,1,Assumptions!CK$77),0)+IF(Assumptions!CK$72=$D$21+RetailDowntime,((1-RetailRenewalProb)*NewLeaseTI+RetailRenewalProb*RenewalTI)*$B$21*INDEX(Cum_TILC,1,Assumptions!CK$77)+LeasingCommissionPct*$E$21*$B$21*INDEX(Cum_TILC,1,Assumptions!CK$77),0)+IF(Assumptions!CK$72=$D$22+RetailDowntime,((1-RetailRenewalProb)*NewLeaseTI+RetailRenewalProb*RenewalTI)*$B$22*INDEX(Cum_TILC,1,Assumptions!CK$77)+LeasingCommissionPct*$E$22*$B$22*INDEX(Cum_TILC,1,Assumptions!CK$77),0))*Assumptions!CK$74</f>
        <v/>
      </c>
      <c r="CL41" s="52">
        <f>(IF(Assumptions!CL$72=$D$17+RetailDowntime,((1-RetailRenewalProb)*NewLeaseTI+RetailRenewalProb*RenewalTI)*$B$17*INDEX(Cum_TILC,1,Assumptions!CL$77)+LeasingCommissionPct*$E$17*$B$17*INDEX(Cum_TILC,1,Assumptions!CL$77),0)+IF(Assumptions!CL$72=$D$18+RetailDowntime,((1-RetailRenewalProb)*NewLeaseTI+RetailRenewalProb*RenewalTI)*$B$18*INDEX(Cum_TILC,1,Assumptions!CL$77)+LeasingCommissionPct*$E$18*$B$18*INDEX(Cum_TILC,1,Assumptions!CL$77),0)+IF(Assumptions!CL$72=$D$19+RetailDowntime,((1-RetailRenewalProb)*NewLeaseTI+RetailRenewalProb*RenewalTI)*$B$19*INDEX(Cum_TILC,1,Assumptions!CL$77)+LeasingCommissionPct*$E$19*$B$19*INDEX(Cum_TILC,1,Assumptions!CL$77),0)+IF(Assumptions!CL$72=$D$20+RetailDowntime,((1-RetailRenewalProb)*NewLeaseTI+RetailRenewalProb*RenewalTI)*$B$20*INDEX(Cum_TILC,1,Assumptions!CL$77)+LeasingCommissionPct*$E$20*$B$20*INDEX(Cum_TILC,1,Assumptions!CL$77),0)+IF(Assumptions!CL$72=$D$21+RetailDowntime,((1-RetailRenewalProb)*NewLeaseTI+RetailRenewalProb*RenewalTI)*$B$21*INDEX(Cum_TILC,1,Assumptions!CL$77)+LeasingCommissionPct*$E$21*$B$21*INDEX(Cum_TILC,1,Assumptions!CL$77),0)+IF(Assumptions!CL$72=$D$22+RetailDowntime,((1-RetailRenewalProb)*NewLeaseTI+RetailRenewalProb*RenewalTI)*$B$22*INDEX(Cum_TILC,1,Assumptions!CL$77)+LeasingCommissionPct*$E$22*$B$22*INDEX(Cum_TILC,1,Assumptions!CL$77),0))*Assumptions!CL$74</f>
        <v/>
      </c>
      <c r="CM41" s="52">
        <f>(IF(Assumptions!CM$72=$D$17+RetailDowntime,((1-RetailRenewalProb)*NewLeaseTI+RetailRenewalProb*RenewalTI)*$B$17*INDEX(Cum_TILC,1,Assumptions!CM$77)+LeasingCommissionPct*$E$17*$B$17*INDEX(Cum_TILC,1,Assumptions!CM$77),0)+IF(Assumptions!CM$72=$D$18+RetailDowntime,((1-RetailRenewalProb)*NewLeaseTI+RetailRenewalProb*RenewalTI)*$B$18*INDEX(Cum_TILC,1,Assumptions!CM$77)+LeasingCommissionPct*$E$18*$B$18*INDEX(Cum_TILC,1,Assumptions!CM$77),0)+IF(Assumptions!CM$72=$D$19+RetailDowntime,((1-RetailRenewalProb)*NewLeaseTI+RetailRenewalProb*RenewalTI)*$B$19*INDEX(Cum_TILC,1,Assumptions!CM$77)+LeasingCommissionPct*$E$19*$B$19*INDEX(Cum_TILC,1,Assumptions!CM$77),0)+IF(Assumptions!CM$72=$D$20+RetailDowntime,((1-RetailRenewalProb)*NewLeaseTI+RetailRenewalProb*RenewalTI)*$B$20*INDEX(Cum_TILC,1,Assumptions!CM$77)+LeasingCommissionPct*$E$20*$B$20*INDEX(Cum_TILC,1,Assumptions!CM$77),0)+IF(Assumptions!CM$72=$D$21+RetailDowntime,((1-RetailRenewalProb)*NewLeaseTI+RetailRenewalProb*RenewalTI)*$B$21*INDEX(Cum_TILC,1,Assumptions!CM$77)+LeasingCommissionPct*$E$21*$B$21*INDEX(Cum_TILC,1,Assumptions!CM$77),0)+IF(Assumptions!CM$72=$D$22+RetailDowntime,((1-RetailRenewalProb)*NewLeaseTI+RetailRenewalProb*RenewalTI)*$B$22*INDEX(Cum_TILC,1,Assumptions!CM$77)+LeasingCommissionPct*$E$22*$B$22*INDEX(Cum_TILC,1,Assumptions!CM$77),0))*Assumptions!CM$74</f>
        <v/>
      </c>
      <c r="CN41" s="52">
        <f>(IF(Assumptions!CN$72=$D$17+RetailDowntime,((1-RetailRenewalProb)*NewLeaseTI+RetailRenewalProb*RenewalTI)*$B$17*INDEX(Cum_TILC,1,Assumptions!CN$77)+LeasingCommissionPct*$E$17*$B$17*INDEX(Cum_TILC,1,Assumptions!CN$77),0)+IF(Assumptions!CN$72=$D$18+RetailDowntime,((1-RetailRenewalProb)*NewLeaseTI+RetailRenewalProb*RenewalTI)*$B$18*INDEX(Cum_TILC,1,Assumptions!CN$77)+LeasingCommissionPct*$E$18*$B$18*INDEX(Cum_TILC,1,Assumptions!CN$77),0)+IF(Assumptions!CN$72=$D$19+RetailDowntime,((1-RetailRenewalProb)*NewLeaseTI+RetailRenewalProb*RenewalTI)*$B$19*INDEX(Cum_TILC,1,Assumptions!CN$77)+LeasingCommissionPct*$E$19*$B$19*INDEX(Cum_TILC,1,Assumptions!CN$77),0)+IF(Assumptions!CN$72=$D$20+RetailDowntime,((1-RetailRenewalProb)*NewLeaseTI+RetailRenewalProb*RenewalTI)*$B$20*INDEX(Cum_TILC,1,Assumptions!CN$77)+LeasingCommissionPct*$E$20*$B$20*INDEX(Cum_TILC,1,Assumptions!CN$77),0)+IF(Assumptions!CN$72=$D$21+RetailDowntime,((1-RetailRenewalProb)*NewLeaseTI+RetailRenewalProb*RenewalTI)*$B$21*INDEX(Cum_TILC,1,Assumptions!CN$77)+LeasingCommissionPct*$E$21*$B$21*INDEX(Cum_TILC,1,Assumptions!CN$77),0)+IF(Assumptions!CN$72=$D$22+RetailDowntime,((1-RetailRenewalProb)*NewLeaseTI+RetailRenewalProb*RenewalTI)*$B$22*INDEX(Cum_TILC,1,Assumptions!CN$77)+LeasingCommissionPct*$E$22*$B$22*INDEX(Cum_TILC,1,Assumptions!CN$77),0))*Assumptions!CN$74</f>
        <v/>
      </c>
      <c r="CO41" s="52">
        <f>(IF(Assumptions!CO$72=$D$17+RetailDowntime,((1-RetailRenewalProb)*NewLeaseTI+RetailRenewalProb*RenewalTI)*$B$17*INDEX(Cum_TILC,1,Assumptions!CO$77)+LeasingCommissionPct*$E$17*$B$17*INDEX(Cum_TILC,1,Assumptions!CO$77),0)+IF(Assumptions!CO$72=$D$18+RetailDowntime,((1-RetailRenewalProb)*NewLeaseTI+RetailRenewalProb*RenewalTI)*$B$18*INDEX(Cum_TILC,1,Assumptions!CO$77)+LeasingCommissionPct*$E$18*$B$18*INDEX(Cum_TILC,1,Assumptions!CO$77),0)+IF(Assumptions!CO$72=$D$19+RetailDowntime,((1-RetailRenewalProb)*NewLeaseTI+RetailRenewalProb*RenewalTI)*$B$19*INDEX(Cum_TILC,1,Assumptions!CO$77)+LeasingCommissionPct*$E$19*$B$19*INDEX(Cum_TILC,1,Assumptions!CO$77),0)+IF(Assumptions!CO$72=$D$20+RetailDowntime,((1-RetailRenewalProb)*NewLeaseTI+RetailRenewalProb*RenewalTI)*$B$20*INDEX(Cum_TILC,1,Assumptions!CO$77)+LeasingCommissionPct*$E$20*$B$20*INDEX(Cum_TILC,1,Assumptions!CO$77),0)+IF(Assumptions!CO$72=$D$21+RetailDowntime,((1-RetailRenewalProb)*NewLeaseTI+RetailRenewalProb*RenewalTI)*$B$21*INDEX(Cum_TILC,1,Assumptions!CO$77)+LeasingCommissionPct*$E$21*$B$21*INDEX(Cum_TILC,1,Assumptions!CO$77),0)+IF(Assumptions!CO$72=$D$22+RetailDowntime,((1-RetailRenewalProb)*NewLeaseTI+RetailRenewalProb*RenewalTI)*$B$22*INDEX(Cum_TILC,1,Assumptions!CO$77)+LeasingCommissionPct*$E$22*$B$22*INDEX(Cum_TILC,1,Assumptions!CO$77),0))*Assumptions!CO$74</f>
        <v/>
      </c>
      <c r="CP41" s="52">
        <f>(IF(Assumptions!CP$72=$D$17+RetailDowntime,((1-RetailRenewalProb)*NewLeaseTI+RetailRenewalProb*RenewalTI)*$B$17*INDEX(Cum_TILC,1,Assumptions!CP$77)+LeasingCommissionPct*$E$17*$B$17*INDEX(Cum_TILC,1,Assumptions!CP$77),0)+IF(Assumptions!CP$72=$D$18+RetailDowntime,((1-RetailRenewalProb)*NewLeaseTI+RetailRenewalProb*RenewalTI)*$B$18*INDEX(Cum_TILC,1,Assumptions!CP$77)+LeasingCommissionPct*$E$18*$B$18*INDEX(Cum_TILC,1,Assumptions!CP$77),0)+IF(Assumptions!CP$72=$D$19+RetailDowntime,((1-RetailRenewalProb)*NewLeaseTI+RetailRenewalProb*RenewalTI)*$B$19*INDEX(Cum_TILC,1,Assumptions!CP$77)+LeasingCommissionPct*$E$19*$B$19*INDEX(Cum_TILC,1,Assumptions!CP$77),0)+IF(Assumptions!CP$72=$D$20+RetailDowntime,((1-RetailRenewalProb)*NewLeaseTI+RetailRenewalProb*RenewalTI)*$B$20*INDEX(Cum_TILC,1,Assumptions!CP$77)+LeasingCommissionPct*$E$20*$B$20*INDEX(Cum_TILC,1,Assumptions!CP$77),0)+IF(Assumptions!CP$72=$D$21+RetailDowntime,((1-RetailRenewalProb)*NewLeaseTI+RetailRenewalProb*RenewalTI)*$B$21*INDEX(Cum_TILC,1,Assumptions!CP$77)+LeasingCommissionPct*$E$21*$B$21*INDEX(Cum_TILC,1,Assumptions!CP$77),0)+IF(Assumptions!CP$72=$D$22+RetailDowntime,((1-RetailRenewalProb)*NewLeaseTI+RetailRenewalProb*RenewalTI)*$B$22*INDEX(Cum_TILC,1,Assumptions!CP$77)+LeasingCommissionPct*$E$22*$B$22*INDEX(Cum_TILC,1,Assumptions!CP$77),0))*Assumptions!CP$74</f>
        <v/>
      </c>
      <c r="CQ41" s="52">
        <f>(IF(Assumptions!CQ$72=$D$17+RetailDowntime,((1-RetailRenewalProb)*NewLeaseTI+RetailRenewalProb*RenewalTI)*$B$17*INDEX(Cum_TILC,1,Assumptions!CQ$77)+LeasingCommissionPct*$E$17*$B$17*INDEX(Cum_TILC,1,Assumptions!CQ$77),0)+IF(Assumptions!CQ$72=$D$18+RetailDowntime,((1-RetailRenewalProb)*NewLeaseTI+RetailRenewalProb*RenewalTI)*$B$18*INDEX(Cum_TILC,1,Assumptions!CQ$77)+LeasingCommissionPct*$E$18*$B$18*INDEX(Cum_TILC,1,Assumptions!CQ$77),0)+IF(Assumptions!CQ$72=$D$19+RetailDowntime,((1-RetailRenewalProb)*NewLeaseTI+RetailRenewalProb*RenewalTI)*$B$19*INDEX(Cum_TILC,1,Assumptions!CQ$77)+LeasingCommissionPct*$E$19*$B$19*INDEX(Cum_TILC,1,Assumptions!CQ$77),0)+IF(Assumptions!CQ$72=$D$20+RetailDowntime,((1-RetailRenewalProb)*NewLeaseTI+RetailRenewalProb*RenewalTI)*$B$20*INDEX(Cum_TILC,1,Assumptions!CQ$77)+LeasingCommissionPct*$E$20*$B$20*INDEX(Cum_TILC,1,Assumptions!CQ$77),0)+IF(Assumptions!CQ$72=$D$21+RetailDowntime,((1-RetailRenewalProb)*NewLeaseTI+RetailRenewalProb*RenewalTI)*$B$21*INDEX(Cum_TILC,1,Assumptions!CQ$77)+LeasingCommissionPct*$E$21*$B$21*INDEX(Cum_TILC,1,Assumptions!CQ$77),0)+IF(Assumptions!CQ$72=$D$22+RetailDowntime,((1-RetailRenewalProb)*NewLeaseTI+RetailRenewalProb*RenewalTI)*$B$22*INDEX(Cum_TILC,1,Assumptions!CQ$77)+LeasingCommissionPct*$E$22*$B$22*INDEX(Cum_TILC,1,Assumptions!CQ$77),0))*Assumptions!CQ$74</f>
        <v/>
      </c>
      <c r="CR41" s="52">
        <f>(IF(Assumptions!CR$72=$D$17+RetailDowntime,((1-RetailRenewalProb)*NewLeaseTI+RetailRenewalProb*RenewalTI)*$B$17*INDEX(Cum_TILC,1,Assumptions!CR$77)+LeasingCommissionPct*$E$17*$B$17*INDEX(Cum_TILC,1,Assumptions!CR$77),0)+IF(Assumptions!CR$72=$D$18+RetailDowntime,((1-RetailRenewalProb)*NewLeaseTI+RetailRenewalProb*RenewalTI)*$B$18*INDEX(Cum_TILC,1,Assumptions!CR$77)+LeasingCommissionPct*$E$18*$B$18*INDEX(Cum_TILC,1,Assumptions!CR$77),0)+IF(Assumptions!CR$72=$D$19+RetailDowntime,((1-RetailRenewalProb)*NewLeaseTI+RetailRenewalProb*RenewalTI)*$B$19*INDEX(Cum_TILC,1,Assumptions!CR$77)+LeasingCommissionPct*$E$19*$B$19*INDEX(Cum_TILC,1,Assumptions!CR$77),0)+IF(Assumptions!CR$72=$D$20+RetailDowntime,((1-RetailRenewalProb)*NewLeaseTI+RetailRenewalProb*RenewalTI)*$B$20*INDEX(Cum_TILC,1,Assumptions!CR$77)+LeasingCommissionPct*$E$20*$B$20*INDEX(Cum_TILC,1,Assumptions!CR$77),0)+IF(Assumptions!CR$72=$D$21+RetailDowntime,((1-RetailRenewalProb)*NewLeaseTI+RetailRenewalProb*RenewalTI)*$B$21*INDEX(Cum_TILC,1,Assumptions!CR$77)+LeasingCommissionPct*$E$21*$B$21*INDEX(Cum_TILC,1,Assumptions!CR$77),0)+IF(Assumptions!CR$72=$D$22+RetailDowntime,((1-RetailRenewalProb)*NewLeaseTI+RetailRenewalProb*RenewalTI)*$B$22*INDEX(Cum_TILC,1,Assumptions!CR$77)+LeasingCommissionPct*$E$22*$B$22*INDEX(Cum_TILC,1,Assumptions!CR$77),0))*Assumptions!CR$74</f>
        <v/>
      </c>
      <c r="CS41" s="52">
        <f>(IF(Assumptions!CS$72=$D$17+RetailDowntime,((1-RetailRenewalProb)*NewLeaseTI+RetailRenewalProb*RenewalTI)*$B$17*INDEX(Cum_TILC,1,Assumptions!CS$77)+LeasingCommissionPct*$E$17*$B$17*INDEX(Cum_TILC,1,Assumptions!CS$77),0)+IF(Assumptions!CS$72=$D$18+RetailDowntime,((1-RetailRenewalProb)*NewLeaseTI+RetailRenewalProb*RenewalTI)*$B$18*INDEX(Cum_TILC,1,Assumptions!CS$77)+LeasingCommissionPct*$E$18*$B$18*INDEX(Cum_TILC,1,Assumptions!CS$77),0)+IF(Assumptions!CS$72=$D$19+RetailDowntime,((1-RetailRenewalProb)*NewLeaseTI+RetailRenewalProb*RenewalTI)*$B$19*INDEX(Cum_TILC,1,Assumptions!CS$77)+LeasingCommissionPct*$E$19*$B$19*INDEX(Cum_TILC,1,Assumptions!CS$77),0)+IF(Assumptions!CS$72=$D$20+RetailDowntime,((1-RetailRenewalProb)*NewLeaseTI+RetailRenewalProb*RenewalTI)*$B$20*INDEX(Cum_TILC,1,Assumptions!CS$77)+LeasingCommissionPct*$E$20*$B$20*INDEX(Cum_TILC,1,Assumptions!CS$77),0)+IF(Assumptions!CS$72=$D$21+RetailDowntime,((1-RetailRenewalProb)*NewLeaseTI+RetailRenewalProb*RenewalTI)*$B$21*INDEX(Cum_TILC,1,Assumptions!CS$77)+LeasingCommissionPct*$E$21*$B$21*INDEX(Cum_TILC,1,Assumptions!CS$77),0)+IF(Assumptions!CS$72=$D$22+RetailDowntime,((1-RetailRenewalProb)*NewLeaseTI+RetailRenewalProb*RenewalTI)*$B$22*INDEX(Cum_TILC,1,Assumptions!CS$77)+LeasingCommissionPct*$E$22*$B$22*INDEX(Cum_TILC,1,Assumptions!CS$77),0))*Assumptions!CS$74</f>
        <v/>
      </c>
      <c r="CT41" s="52">
        <f>(IF(Assumptions!CT$72=$D$17+RetailDowntime,((1-RetailRenewalProb)*NewLeaseTI+RetailRenewalProb*RenewalTI)*$B$17*INDEX(Cum_TILC,1,Assumptions!CT$77)+LeasingCommissionPct*$E$17*$B$17*INDEX(Cum_TILC,1,Assumptions!CT$77),0)+IF(Assumptions!CT$72=$D$18+RetailDowntime,((1-RetailRenewalProb)*NewLeaseTI+RetailRenewalProb*RenewalTI)*$B$18*INDEX(Cum_TILC,1,Assumptions!CT$77)+LeasingCommissionPct*$E$18*$B$18*INDEX(Cum_TILC,1,Assumptions!CT$77),0)+IF(Assumptions!CT$72=$D$19+RetailDowntime,((1-RetailRenewalProb)*NewLeaseTI+RetailRenewalProb*RenewalTI)*$B$19*INDEX(Cum_TILC,1,Assumptions!CT$77)+LeasingCommissionPct*$E$19*$B$19*INDEX(Cum_TILC,1,Assumptions!CT$77),0)+IF(Assumptions!CT$72=$D$20+RetailDowntime,((1-RetailRenewalProb)*NewLeaseTI+RetailRenewalProb*RenewalTI)*$B$20*INDEX(Cum_TILC,1,Assumptions!CT$77)+LeasingCommissionPct*$E$20*$B$20*INDEX(Cum_TILC,1,Assumptions!CT$77),0)+IF(Assumptions!CT$72=$D$21+RetailDowntime,((1-RetailRenewalProb)*NewLeaseTI+RetailRenewalProb*RenewalTI)*$B$21*INDEX(Cum_TILC,1,Assumptions!CT$77)+LeasingCommissionPct*$E$21*$B$21*INDEX(Cum_TILC,1,Assumptions!CT$77),0)+IF(Assumptions!CT$72=$D$22+RetailDowntime,((1-RetailRenewalProb)*NewLeaseTI+RetailRenewalProb*RenewalTI)*$B$22*INDEX(Cum_TILC,1,Assumptions!CT$77)+LeasingCommissionPct*$E$22*$B$22*INDEX(Cum_TILC,1,Assumptions!CT$77),0))*Assumptions!CT$74</f>
        <v/>
      </c>
      <c r="CU41" s="52">
        <f>(IF(Assumptions!CU$72=$D$17+RetailDowntime,((1-RetailRenewalProb)*NewLeaseTI+RetailRenewalProb*RenewalTI)*$B$17*INDEX(Cum_TILC,1,Assumptions!CU$77)+LeasingCommissionPct*$E$17*$B$17*INDEX(Cum_TILC,1,Assumptions!CU$77),0)+IF(Assumptions!CU$72=$D$18+RetailDowntime,((1-RetailRenewalProb)*NewLeaseTI+RetailRenewalProb*RenewalTI)*$B$18*INDEX(Cum_TILC,1,Assumptions!CU$77)+LeasingCommissionPct*$E$18*$B$18*INDEX(Cum_TILC,1,Assumptions!CU$77),0)+IF(Assumptions!CU$72=$D$19+RetailDowntime,((1-RetailRenewalProb)*NewLeaseTI+RetailRenewalProb*RenewalTI)*$B$19*INDEX(Cum_TILC,1,Assumptions!CU$77)+LeasingCommissionPct*$E$19*$B$19*INDEX(Cum_TILC,1,Assumptions!CU$77),0)+IF(Assumptions!CU$72=$D$20+RetailDowntime,((1-RetailRenewalProb)*NewLeaseTI+RetailRenewalProb*RenewalTI)*$B$20*INDEX(Cum_TILC,1,Assumptions!CU$77)+LeasingCommissionPct*$E$20*$B$20*INDEX(Cum_TILC,1,Assumptions!CU$77),0)+IF(Assumptions!CU$72=$D$21+RetailDowntime,((1-RetailRenewalProb)*NewLeaseTI+RetailRenewalProb*RenewalTI)*$B$21*INDEX(Cum_TILC,1,Assumptions!CU$77)+LeasingCommissionPct*$E$21*$B$21*INDEX(Cum_TILC,1,Assumptions!CU$77),0)+IF(Assumptions!CU$72=$D$22+RetailDowntime,((1-RetailRenewalProb)*NewLeaseTI+RetailRenewalProb*RenewalTI)*$B$22*INDEX(Cum_TILC,1,Assumptions!CU$77)+LeasingCommissionPct*$E$22*$B$22*INDEX(Cum_TILC,1,Assumptions!CU$77),0))*Assumptions!CU$74</f>
        <v/>
      </c>
      <c r="CV41" s="52">
        <f>(IF(Assumptions!CV$72=$D$17+RetailDowntime,((1-RetailRenewalProb)*NewLeaseTI+RetailRenewalProb*RenewalTI)*$B$17*INDEX(Cum_TILC,1,Assumptions!CV$77)+LeasingCommissionPct*$E$17*$B$17*INDEX(Cum_TILC,1,Assumptions!CV$77),0)+IF(Assumptions!CV$72=$D$18+RetailDowntime,((1-RetailRenewalProb)*NewLeaseTI+RetailRenewalProb*RenewalTI)*$B$18*INDEX(Cum_TILC,1,Assumptions!CV$77)+LeasingCommissionPct*$E$18*$B$18*INDEX(Cum_TILC,1,Assumptions!CV$77),0)+IF(Assumptions!CV$72=$D$19+RetailDowntime,((1-RetailRenewalProb)*NewLeaseTI+RetailRenewalProb*RenewalTI)*$B$19*INDEX(Cum_TILC,1,Assumptions!CV$77)+LeasingCommissionPct*$E$19*$B$19*INDEX(Cum_TILC,1,Assumptions!CV$77),0)+IF(Assumptions!CV$72=$D$20+RetailDowntime,((1-RetailRenewalProb)*NewLeaseTI+RetailRenewalProb*RenewalTI)*$B$20*INDEX(Cum_TILC,1,Assumptions!CV$77)+LeasingCommissionPct*$E$20*$B$20*INDEX(Cum_TILC,1,Assumptions!CV$77),0)+IF(Assumptions!CV$72=$D$21+RetailDowntime,((1-RetailRenewalProb)*NewLeaseTI+RetailRenewalProb*RenewalTI)*$B$21*INDEX(Cum_TILC,1,Assumptions!CV$77)+LeasingCommissionPct*$E$21*$B$21*INDEX(Cum_TILC,1,Assumptions!CV$77),0)+IF(Assumptions!CV$72=$D$22+RetailDowntime,((1-RetailRenewalProb)*NewLeaseTI+RetailRenewalProb*RenewalTI)*$B$22*INDEX(Cum_TILC,1,Assumptions!CV$77)+LeasingCommissionPct*$E$22*$B$22*INDEX(Cum_TILC,1,Assumptions!CV$77),0))*Assumptions!CV$74</f>
        <v/>
      </c>
      <c r="CW41" s="52">
        <f>(IF(Assumptions!CW$72=$D$17+RetailDowntime,((1-RetailRenewalProb)*NewLeaseTI+RetailRenewalProb*RenewalTI)*$B$17*INDEX(Cum_TILC,1,Assumptions!CW$77)+LeasingCommissionPct*$E$17*$B$17*INDEX(Cum_TILC,1,Assumptions!CW$77),0)+IF(Assumptions!CW$72=$D$18+RetailDowntime,((1-RetailRenewalProb)*NewLeaseTI+RetailRenewalProb*RenewalTI)*$B$18*INDEX(Cum_TILC,1,Assumptions!CW$77)+LeasingCommissionPct*$E$18*$B$18*INDEX(Cum_TILC,1,Assumptions!CW$77),0)+IF(Assumptions!CW$72=$D$19+RetailDowntime,((1-RetailRenewalProb)*NewLeaseTI+RetailRenewalProb*RenewalTI)*$B$19*INDEX(Cum_TILC,1,Assumptions!CW$77)+LeasingCommissionPct*$E$19*$B$19*INDEX(Cum_TILC,1,Assumptions!CW$77),0)+IF(Assumptions!CW$72=$D$20+RetailDowntime,((1-RetailRenewalProb)*NewLeaseTI+RetailRenewalProb*RenewalTI)*$B$20*INDEX(Cum_TILC,1,Assumptions!CW$77)+LeasingCommissionPct*$E$20*$B$20*INDEX(Cum_TILC,1,Assumptions!CW$77),0)+IF(Assumptions!CW$72=$D$21+RetailDowntime,((1-RetailRenewalProb)*NewLeaseTI+RetailRenewalProb*RenewalTI)*$B$21*INDEX(Cum_TILC,1,Assumptions!CW$77)+LeasingCommissionPct*$E$21*$B$21*INDEX(Cum_TILC,1,Assumptions!CW$77),0)+IF(Assumptions!CW$72=$D$22+RetailDowntime,((1-RetailRenewalProb)*NewLeaseTI+RetailRenewalProb*RenewalTI)*$B$22*INDEX(Cum_TILC,1,Assumptions!CW$77)+LeasingCommissionPct*$E$22*$B$22*INDEX(Cum_TILC,1,Assumptions!CW$77),0))*Assumptions!CW$74</f>
        <v/>
      </c>
      <c r="CX41" s="52">
        <f>(IF(Assumptions!CX$72=$D$17+RetailDowntime,((1-RetailRenewalProb)*NewLeaseTI+RetailRenewalProb*RenewalTI)*$B$17*INDEX(Cum_TILC,1,Assumptions!CX$77)+LeasingCommissionPct*$E$17*$B$17*INDEX(Cum_TILC,1,Assumptions!CX$77),0)+IF(Assumptions!CX$72=$D$18+RetailDowntime,((1-RetailRenewalProb)*NewLeaseTI+RetailRenewalProb*RenewalTI)*$B$18*INDEX(Cum_TILC,1,Assumptions!CX$77)+LeasingCommissionPct*$E$18*$B$18*INDEX(Cum_TILC,1,Assumptions!CX$77),0)+IF(Assumptions!CX$72=$D$19+RetailDowntime,((1-RetailRenewalProb)*NewLeaseTI+RetailRenewalProb*RenewalTI)*$B$19*INDEX(Cum_TILC,1,Assumptions!CX$77)+LeasingCommissionPct*$E$19*$B$19*INDEX(Cum_TILC,1,Assumptions!CX$77),0)+IF(Assumptions!CX$72=$D$20+RetailDowntime,((1-RetailRenewalProb)*NewLeaseTI+RetailRenewalProb*RenewalTI)*$B$20*INDEX(Cum_TILC,1,Assumptions!CX$77)+LeasingCommissionPct*$E$20*$B$20*INDEX(Cum_TILC,1,Assumptions!CX$77),0)+IF(Assumptions!CX$72=$D$21+RetailDowntime,((1-RetailRenewalProb)*NewLeaseTI+RetailRenewalProb*RenewalTI)*$B$21*INDEX(Cum_TILC,1,Assumptions!CX$77)+LeasingCommissionPct*$E$21*$B$21*INDEX(Cum_TILC,1,Assumptions!CX$77),0)+IF(Assumptions!CX$72=$D$22+RetailDowntime,((1-RetailRenewalProb)*NewLeaseTI+RetailRenewalProb*RenewalTI)*$B$22*INDEX(Cum_TILC,1,Assumptions!CX$77)+LeasingCommissionPct*$E$22*$B$22*INDEX(Cum_TILC,1,Assumptions!CX$77),0))*Assumptions!CX$74</f>
        <v/>
      </c>
      <c r="CY41" s="52">
        <f>(IF(Assumptions!CY$72=$D$17+RetailDowntime,((1-RetailRenewalProb)*NewLeaseTI+RetailRenewalProb*RenewalTI)*$B$17*INDEX(Cum_TILC,1,Assumptions!CY$77)+LeasingCommissionPct*$E$17*$B$17*INDEX(Cum_TILC,1,Assumptions!CY$77),0)+IF(Assumptions!CY$72=$D$18+RetailDowntime,((1-RetailRenewalProb)*NewLeaseTI+RetailRenewalProb*RenewalTI)*$B$18*INDEX(Cum_TILC,1,Assumptions!CY$77)+LeasingCommissionPct*$E$18*$B$18*INDEX(Cum_TILC,1,Assumptions!CY$77),0)+IF(Assumptions!CY$72=$D$19+RetailDowntime,((1-RetailRenewalProb)*NewLeaseTI+RetailRenewalProb*RenewalTI)*$B$19*INDEX(Cum_TILC,1,Assumptions!CY$77)+LeasingCommissionPct*$E$19*$B$19*INDEX(Cum_TILC,1,Assumptions!CY$77),0)+IF(Assumptions!CY$72=$D$20+RetailDowntime,((1-RetailRenewalProb)*NewLeaseTI+RetailRenewalProb*RenewalTI)*$B$20*INDEX(Cum_TILC,1,Assumptions!CY$77)+LeasingCommissionPct*$E$20*$B$20*INDEX(Cum_TILC,1,Assumptions!CY$77),0)+IF(Assumptions!CY$72=$D$21+RetailDowntime,((1-RetailRenewalProb)*NewLeaseTI+RetailRenewalProb*RenewalTI)*$B$21*INDEX(Cum_TILC,1,Assumptions!CY$77)+LeasingCommissionPct*$E$21*$B$21*INDEX(Cum_TILC,1,Assumptions!CY$77),0)+IF(Assumptions!CY$72=$D$22+RetailDowntime,((1-RetailRenewalProb)*NewLeaseTI+RetailRenewalProb*RenewalTI)*$B$22*INDEX(Cum_TILC,1,Assumptions!CY$77)+LeasingCommissionPct*$E$22*$B$22*INDEX(Cum_TILC,1,Assumptions!CY$77),0))*Assumptions!CY$74</f>
        <v/>
      </c>
      <c r="CZ41" s="52">
        <f>(IF(Assumptions!CZ$72=$D$17+RetailDowntime,((1-RetailRenewalProb)*NewLeaseTI+RetailRenewalProb*RenewalTI)*$B$17*INDEX(Cum_TILC,1,Assumptions!CZ$77)+LeasingCommissionPct*$E$17*$B$17*INDEX(Cum_TILC,1,Assumptions!CZ$77),0)+IF(Assumptions!CZ$72=$D$18+RetailDowntime,((1-RetailRenewalProb)*NewLeaseTI+RetailRenewalProb*RenewalTI)*$B$18*INDEX(Cum_TILC,1,Assumptions!CZ$77)+LeasingCommissionPct*$E$18*$B$18*INDEX(Cum_TILC,1,Assumptions!CZ$77),0)+IF(Assumptions!CZ$72=$D$19+RetailDowntime,((1-RetailRenewalProb)*NewLeaseTI+RetailRenewalProb*RenewalTI)*$B$19*INDEX(Cum_TILC,1,Assumptions!CZ$77)+LeasingCommissionPct*$E$19*$B$19*INDEX(Cum_TILC,1,Assumptions!CZ$77),0)+IF(Assumptions!CZ$72=$D$20+RetailDowntime,((1-RetailRenewalProb)*NewLeaseTI+RetailRenewalProb*RenewalTI)*$B$20*INDEX(Cum_TILC,1,Assumptions!CZ$77)+LeasingCommissionPct*$E$20*$B$20*INDEX(Cum_TILC,1,Assumptions!CZ$77),0)+IF(Assumptions!CZ$72=$D$21+RetailDowntime,((1-RetailRenewalProb)*NewLeaseTI+RetailRenewalProb*RenewalTI)*$B$21*INDEX(Cum_TILC,1,Assumptions!CZ$77)+LeasingCommissionPct*$E$21*$B$21*INDEX(Cum_TILC,1,Assumptions!CZ$77),0)+IF(Assumptions!CZ$72=$D$22+RetailDowntime,((1-RetailRenewalProb)*NewLeaseTI+RetailRenewalProb*RenewalTI)*$B$22*INDEX(Cum_TILC,1,Assumptions!CZ$77)+LeasingCommissionPct*$E$22*$B$22*INDEX(Cum_TILC,1,Assumptions!CZ$77),0))*Assumptions!CZ$74</f>
        <v/>
      </c>
      <c r="DA41" s="52">
        <f>(IF(Assumptions!DA$72=$D$17+RetailDowntime,((1-RetailRenewalProb)*NewLeaseTI+RetailRenewalProb*RenewalTI)*$B$17*INDEX(Cum_TILC,1,Assumptions!DA$77)+LeasingCommissionPct*$E$17*$B$17*INDEX(Cum_TILC,1,Assumptions!DA$77),0)+IF(Assumptions!DA$72=$D$18+RetailDowntime,((1-RetailRenewalProb)*NewLeaseTI+RetailRenewalProb*RenewalTI)*$B$18*INDEX(Cum_TILC,1,Assumptions!DA$77)+LeasingCommissionPct*$E$18*$B$18*INDEX(Cum_TILC,1,Assumptions!DA$77),0)+IF(Assumptions!DA$72=$D$19+RetailDowntime,((1-RetailRenewalProb)*NewLeaseTI+RetailRenewalProb*RenewalTI)*$B$19*INDEX(Cum_TILC,1,Assumptions!DA$77)+LeasingCommissionPct*$E$19*$B$19*INDEX(Cum_TILC,1,Assumptions!DA$77),0)+IF(Assumptions!DA$72=$D$20+RetailDowntime,((1-RetailRenewalProb)*NewLeaseTI+RetailRenewalProb*RenewalTI)*$B$20*INDEX(Cum_TILC,1,Assumptions!DA$77)+LeasingCommissionPct*$E$20*$B$20*INDEX(Cum_TILC,1,Assumptions!DA$77),0)+IF(Assumptions!DA$72=$D$21+RetailDowntime,((1-RetailRenewalProb)*NewLeaseTI+RetailRenewalProb*RenewalTI)*$B$21*INDEX(Cum_TILC,1,Assumptions!DA$77)+LeasingCommissionPct*$E$21*$B$21*INDEX(Cum_TILC,1,Assumptions!DA$77),0)+IF(Assumptions!DA$72=$D$22+RetailDowntime,((1-RetailRenewalProb)*NewLeaseTI+RetailRenewalProb*RenewalTI)*$B$22*INDEX(Cum_TILC,1,Assumptions!DA$77)+LeasingCommissionPct*$E$22*$B$22*INDEX(Cum_TILC,1,Assumptions!DA$77),0))*Assumptions!DA$74</f>
        <v/>
      </c>
      <c r="DB41" s="52">
        <f>(IF(Assumptions!DB$72=$D$17+RetailDowntime,((1-RetailRenewalProb)*NewLeaseTI+RetailRenewalProb*RenewalTI)*$B$17*INDEX(Cum_TILC,1,Assumptions!DB$77)+LeasingCommissionPct*$E$17*$B$17*INDEX(Cum_TILC,1,Assumptions!DB$77),0)+IF(Assumptions!DB$72=$D$18+RetailDowntime,((1-RetailRenewalProb)*NewLeaseTI+RetailRenewalProb*RenewalTI)*$B$18*INDEX(Cum_TILC,1,Assumptions!DB$77)+LeasingCommissionPct*$E$18*$B$18*INDEX(Cum_TILC,1,Assumptions!DB$77),0)+IF(Assumptions!DB$72=$D$19+RetailDowntime,((1-RetailRenewalProb)*NewLeaseTI+RetailRenewalProb*RenewalTI)*$B$19*INDEX(Cum_TILC,1,Assumptions!DB$77)+LeasingCommissionPct*$E$19*$B$19*INDEX(Cum_TILC,1,Assumptions!DB$77),0)+IF(Assumptions!DB$72=$D$20+RetailDowntime,((1-RetailRenewalProb)*NewLeaseTI+RetailRenewalProb*RenewalTI)*$B$20*INDEX(Cum_TILC,1,Assumptions!DB$77)+LeasingCommissionPct*$E$20*$B$20*INDEX(Cum_TILC,1,Assumptions!DB$77),0)+IF(Assumptions!DB$72=$D$21+RetailDowntime,((1-RetailRenewalProb)*NewLeaseTI+RetailRenewalProb*RenewalTI)*$B$21*INDEX(Cum_TILC,1,Assumptions!DB$77)+LeasingCommissionPct*$E$21*$B$21*INDEX(Cum_TILC,1,Assumptions!DB$77),0)+IF(Assumptions!DB$72=$D$22+RetailDowntime,((1-RetailRenewalProb)*NewLeaseTI+RetailRenewalProb*RenewalTI)*$B$22*INDEX(Cum_TILC,1,Assumptions!DB$77)+LeasingCommissionPct*$E$22*$B$22*INDEX(Cum_TILC,1,Assumptions!DB$77),0))*Assumptions!DB$74</f>
        <v/>
      </c>
      <c r="DC41" s="52">
        <f>(IF(Assumptions!DC$72=$D$17+RetailDowntime,((1-RetailRenewalProb)*NewLeaseTI+RetailRenewalProb*RenewalTI)*$B$17*INDEX(Cum_TILC,1,Assumptions!DC$77)+LeasingCommissionPct*$E$17*$B$17*INDEX(Cum_TILC,1,Assumptions!DC$77),0)+IF(Assumptions!DC$72=$D$18+RetailDowntime,((1-RetailRenewalProb)*NewLeaseTI+RetailRenewalProb*RenewalTI)*$B$18*INDEX(Cum_TILC,1,Assumptions!DC$77)+LeasingCommissionPct*$E$18*$B$18*INDEX(Cum_TILC,1,Assumptions!DC$77),0)+IF(Assumptions!DC$72=$D$19+RetailDowntime,((1-RetailRenewalProb)*NewLeaseTI+RetailRenewalProb*RenewalTI)*$B$19*INDEX(Cum_TILC,1,Assumptions!DC$77)+LeasingCommissionPct*$E$19*$B$19*INDEX(Cum_TILC,1,Assumptions!DC$77),0)+IF(Assumptions!DC$72=$D$20+RetailDowntime,((1-RetailRenewalProb)*NewLeaseTI+RetailRenewalProb*RenewalTI)*$B$20*INDEX(Cum_TILC,1,Assumptions!DC$77)+LeasingCommissionPct*$E$20*$B$20*INDEX(Cum_TILC,1,Assumptions!DC$77),0)+IF(Assumptions!DC$72=$D$21+RetailDowntime,((1-RetailRenewalProb)*NewLeaseTI+RetailRenewalProb*RenewalTI)*$B$21*INDEX(Cum_TILC,1,Assumptions!DC$77)+LeasingCommissionPct*$E$21*$B$21*INDEX(Cum_TILC,1,Assumptions!DC$77),0)+IF(Assumptions!DC$72=$D$22+RetailDowntime,((1-RetailRenewalProb)*NewLeaseTI+RetailRenewalProb*RenewalTI)*$B$22*INDEX(Cum_TILC,1,Assumptions!DC$77)+LeasingCommissionPct*$E$22*$B$22*INDEX(Cum_TILC,1,Assumptions!DC$77),0))*Assumptions!DC$74</f>
        <v/>
      </c>
      <c r="DD41" s="52">
        <f>(IF(Assumptions!DD$72=$D$17+RetailDowntime,((1-RetailRenewalProb)*NewLeaseTI+RetailRenewalProb*RenewalTI)*$B$17*INDEX(Cum_TILC,1,Assumptions!DD$77)+LeasingCommissionPct*$E$17*$B$17*INDEX(Cum_TILC,1,Assumptions!DD$77),0)+IF(Assumptions!DD$72=$D$18+RetailDowntime,((1-RetailRenewalProb)*NewLeaseTI+RetailRenewalProb*RenewalTI)*$B$18*INDEX(Cum_TILC,1,Assumptions!DD$77)+LeasingCommissionPct*$E$18*$B$18*INDEX(Cum_TILC,1,Assumptions!DD$77),0)+IF(Assumptions!DD$72=$D$19+RetailDowntime,((1-RetailRenewalProb)*NewLeaseTI+RetailRenewalProb*RenewalTI)*$B$19*INDEX(Cum_TILC,1,Assumptions!DD$77)+LeasingCommissionPct*$E$19*$B$19*INDEX(Cum_TILC,1,Assumptions!DD$77),0)+IF(Assumptions!DD$72=$D$20+RetailDowntime,((1-RetailRenewalProb)*NewLeaseTI+RetailRenewalProb*RenewalTI)*$B$20*INDEX(Cum_TILC,1,Assumptions!DD$77)+LeasingCommissionPct*$E$20*$B$20*INDEX(Cum_TILC,1,Assumptions!DD$77),0)+IF(Assumptions!DD$72=$D$21+RetailDowntime,((1-RetailRenewalProb)*NewLeaseTI+RetailRenewalProb*RenewalTI)*$B$21*INDEX(Cum_TILC,1,Assumptions!DD$77)+LeasingCommissionPct*$E$21*$B$21*INDEX(Cum_TILC,1,Assumptions!DD$77),0)+IF(Assumptions!DD$72=$D$22+RetailDowntime,((1-RetailRenewalProb)*NewLeaseTI+RetailRenewalProb*RenewalTI)*$B$22*INDEX(Cum_TILC,1,Assumptions!DD$77)+LeasingCommissionPct*$E$22*$B$22*INDEX(Cum_TILC,1,Assumptions!DD$77),0))*Assumptions!DD$74</f>
        <v/>
      </c>
      <c r="DE41" s="52">
        <f>(IF(Assumptions!DE$72=$D$17+RetailDowntime,((1-RetailRenewalProb)*NewLeaseTI+RetailRenewalProb*RenewalTI)*$B$17*INDEX(Cum_TILC,1,Assumptions!DE$77)+LeasingCommissionPct*$E$17*$B$17*INDEX(Cum_TILC,1,Assumptions!DE$77),0)+IF(Assumptions!DE$72=$D$18+RetailDowntime,((1-RetailRenewalProb)*NewLeaseTI+RetailRenewalProb*RenewalTI)*$B$18*INDEX(Cum_TILC,1,Assumptions!DE$77)+LeasingCommissionPct*$E$18*$B$18*INDEX(Cum_TILC,1,Assumptions!DE$77),0)+IF(Assumptions!DE$72=$D$19+RetailDowntime,((1-RetailRenewalProb)*NewLeaseTI+RetailRenewalProb*RenewalTI)*$B$19*INDEX(Cum_TILC,1,Assumptions!DE$77)+LeasingCommissionPct*$E$19*$B$19*INDEX(Cum_TILC,1,Assumptions!DE$77),0)+IF(Assumptions!DE$72=$D$20+RetailDowntime,((1-RetailRenewalProb)*NewLeaseTI+RetailRenewalProb*RenewalTI)*$B$20*INDEX(Cum_TILC,1,Assumptions!DE$77)+LeasingCommissionPct*$E$20*$B$20*INDEX(Cum_TILC,1,Assumptions!DE$77),0)+IF(Assumptions!DE$72=$D$21+RetailDowntime,((1-RetailRenewalProb)*NewLeaseTI+RetailRenewalProb*RenewalTI)*$B$21*INDEX(Cum_TILC,1,Assumptions!DE$77)+LeasingCommissionPct*$E$21*$B$21*INDEX(Cum_TILC,1,Assumptions!DE$77),0)+IF(Assumptions!DE$72=$D$22+RetailDowntime,((1-RetailRenewalProb)*NewLeaseTI+RetailRenewalProb*RenewalTI)*$B$22*INDEX(Cum_TILC,1,Assumptions!DE$77)+LeasingCommissionPct*$E$22*$B$22*INDEX(Cum_TILC,1,Assumptions!DE$77),0))*Assumptions!DE$74</f>
        <v/>
      </c>
      <c r="DF41" s="52">
        <f>(IF(Assumptions!DF$72=$D$17+RetailDowntime,((1-RetailRenewalProb)*NewLeaseTI+RetailRenewalProb*RenewalTI)*$B$17*INDEX(Cum_TILC,1,Assumptions!DF$77)+LeasingCommissionPct*$E$17*$B$17*INDEX(Cum_TILC,1,Assumptions!DF$77),0)+IF(Assumptions!DF$72=$D$18+RetailDowntime,((1-RetailRenewalProb)*NewLeaseTI+RetailRenewalProb*RenewalTI)*$B$18*INDEX(Cum_TILC,1,Assumptions!DF$77)+LeasingCommissionPct*$E$18*$B$18*INDEX(Cum_TILC,1,Assumptions!DF$77),0)+IF(Assumptions!DF$72=$D$19+RetailDowntime,((1-RetailRenewalProb)*NewLeaseTI+RetailRenewalProb*RenewalTI)*$B$19*INDEX(Cum_TILC,1,Assumptions!DF$77)+LeasingCommissionPct*$E$19*$B$19*INDEX(Cum_TILC,1,Assumptions!DF$77),0)+IF(Assumptions!DF$72=$D$20+RetailDowntime,((1-RetailRenewalProb)*NewLeaseTI+RetailRenewalProb*RenewalTI)*$B$20*INDEX(Cum_TILC,1,Assumptions!DF$77)+LeasingCommissionPct*$E$20*$B$20*INDEX(Cum_TILC,1,Assumptions!DF$77),0)+IF(Assumptions!DF$72=$D$21+RetailDowntime,((1-RetailRenewalProb)*NewLeaseTI+RetailRenewalProb*RenewalTI)*$B$21*INDEX(Cum_TILC,1,Assumptions!DF$77)+LeasingCommissionPct*$E$21*$B$21*INDEX(Cum_TILC,1,Assumptions!DF$77),0)+IF(Assumptions!DF$72=$D$22+RetailDowntime,((1-RetailRenewalProb)*NewLeaseTI+RetailRenewalProb*RenewalTI)*$B$22*INDEX(Cum_TILC,1,Assumptions!DF$77)+LeasingCommissionPct*$E$22*$B$22*INDEX(Cum_TILC,1,Assumptions!DF$77),0))*Assumptions!DF$74</f>
        <v/>
      </c>
      <c r="DG41" s="52">
        <f>(IF(Assumptions!DG$72=$D$17+RetailDowntime,((1-RetailRenewalProb)*NewLeaseTI+RetailRenewalProb*RenewalTI)*$B$17*INDEX(Cum_TILC,1,Assumptions!DG$77)+LeasingCommissionPct*$E$17*$B$17*INDEX(Cum_TILC,1,Assumptions!DG$77),0)+IF(Assumptions!DG$72=$D$18+RetailDowntime,((1-RetailRenewalProb)*NewLeaseTI+RetailRenewalProb*RenewalTI)*$B$18*INDEX(Cum_TILC,1,Assumptions!DG$77)+LeasingCommissionPct*$E$18*$B$18*INDEX(Cum_TILC,1,Assumptions!DG$77),0)+IF(Assumptions!DG$72=$D$19+RetailDowntime,((1-RetailRenewalProb)*NewLeaseTI+RetailRenewalProb*RenewalTI)*$B$19*INDEX(Cum_TILC,1,Assumptions!DG$77)+LeasingCommissionPct*$E$19*$B$19*INDEX(Cum_TILC,1,Assumptions!DG$77),0)+IF(Assumptions!DG$72=$D$20+RetailDowntime,((1-RetailRenewalProb)*NewLeaseTI+RetailRenewalProb*RenewalTI)*$B$20*INDEX(Cum_TILC,1,Assumptions!DG$77)+LeasingCommissionPct*$E$20*$B$20*INDEX(Cum_TILC,1,Assumptions!DG$77),0)+IF(Assumptions!DG$72=$D$21+RetailDowntime,((1-RetailRenewalProb)*NewLeaseTI+RetailRenewalProb*RenewalTI)*$B$21*INDEX(Cum_TILC,1,Assumptions!DG$77)+LeasingCommissionPct*$E$21*$B$21*INDEX(Cum_TILC,1,Assumptions!DG$77),0)+IF(Assumptions!DG$72=$D$22+RetailDowntime,((1-RetailRenewalProb)*NewLeaseTI+RetailRenewalProb*RenewalTI)*$B$22*INDEX(Cum_TILC,1,Assumptions!DG$77)+LeasingCommissionPct*$E$22*$B$22*INDEX(Cum_TILC,1,Assumptions!DG$77),0))*Assumptions!DG$74</f>
        <v/>
      </c>
      <c r="DH41" s="52">
        <f>(IF(Assumptions!DH$72=$D$17+RetailDowntime,((1-RetailRenewalProb)*NewLeaseTI+RetailRenewalProb*RenewalTI)*$B$17*INDEX(Cum_TILC,1,Assumptions!DH$77)+LeasingCommissionPct*$E$17*$B$17*INDEX(Cum_TILC,1,Assumptions!DH$77),0)+IF(Assumptions!DH$72=$D$18+RetailDowntime,((1-RetailRenewalProb)*NewLeaseTI+RetailRenewalProb*RenewalTI)*$B$18*INDEX(Cum_TILC,1,Assumptions!DH$77)+LeasingCommissionPct*$E$18*$B$18*INDEX(Cum_TILC,1,Assumptions!DH$77),0)+IF(Assumptions!DH$72=$D$19+RetailDowntime,((1-RetailRenewalProb)*NewLeaseTI+RetailRenewalProb*RenewalTI)*$B$19*INDEX(Cum_TILC,1,Assumptions!DH$77)+LeasingCommissionPct*$E$19*$B$19*INDEX(Cum_TILC,1,Assumptions!DH$77),0)+IF(Assumptions!DH$72=$D$20+RetailDowntime,((1-RetailRenewalProb)*NewLeaseTI+RetailRenewalProb*RenewalTI)*$B$20*INDEX(Cum_TILC,1,Assumptions!DH$77)+LeasingCommissionPct*$E$20*$B$20*INDEX(Cum_TILC,1,Assumptions!DH$77),0)+IF(Assumptions!DH$72=$D$21+RetailDowntime,((1-RetailRenewalProb)*NewLeaseTI+RetailRenewalProb*RenewalTI)*$B$21*INDEX(Cum_TILC,1,Assumptions!DH$77)+LeasingCommissionPct*$E$21*$B$21*INDEX(Cum_TILC,1,Assumptions!DH$77),0)+IF(Assumptions!DH$72=$D$22+RetailDowntime,((1-RetailRenewalProb)*NewLeaseTI+RetailRenewalProb*RenewalTI)*$B$22*INDEX(Cum_TILC,1,Assumptions!DH$77)+LeasingCommissionPct*$E$22*$B$22*INDEX(Cum_TILC,1,Assumptions!DH$77),0))*Assumptions!DH$74</f>
        <v/>
      </c>
      <c r="DI41" s="52">
        <f>(IF(Assumptions!DI$72=$D$17+RetailDowntime,((1-RetailRenewalProb)*NewLeaseTI+RetailRenewalProb*RenewalTI)*$B$17*INDEX(Cum_TILC,1,Assumptions!DI$77)+LeasingCommissionPct*$E$17*$B$17*INDEX(Cum_TILC,1,Assumptions!DI$77),0)+IF(Assumptions!DI$72=$D$18+RetailDowntime,((1-RetailRenewalProb)*NewLeaseTI+RetailRenewalProb*RenewalTI)*$B$18*INDEX(Cum_TILC,1,Assumptions!DI$77)+LeasingCommissionPct*$E$18*$B$18*INDEX(Cum_TILC,1,Assumptions!DI$77),0)+IF(Assumptions!DI$72=$D$19+RetailDowntime,((1-RetailRenewalProb)*NewLeaseTI+RetailRenewalProb*RenewalTI)*$B$19*INDEX(Cum_TILC,1,Assumptions!DI$77)+LeasingCommissionPct*$E$19*$B$19*INDEX(Cum_TILC,1,Assumptions!DI$77),0)+IF(Assumptions!DI$72=$D$20+RetailDowntime,((1-RetailRenewalProb)*NewLeaseTI+RetailRenewalProb*RenewalTI)*$B$20*INDEX(Cum_TILC,1,Assumptions!DI$77)+LeasingCommissionPct*$E$20*$B$20*INDEX(Cum_TILC,1,Assumptions!DI$77),0)+IF(Assumptions!DI$72=$D$21+RetailDowntime,((1-RetailRenewalProb)*NewLeaseTI+RetailRenewalProb*RenewalTI)*$B$21*INDEX(Cum_TILC,1,Assumptions!DI$77)+LeasingCommissionPct*$E$21*$B$21*INDEX(Cum_TILC,1,Assumptions!DI$77),0)+IF(Assumptions!DI$72=$D$22+RetailDowntime,((1-RetailRenewalProb)*NewLeaseTI+RetailRenewalProb*RenewalTI)*$B$22*INDEX(Cum_TILC,1,Assumptions!DI$77)+LeasingCommissionPct*$E$22*$B$22*INDEX(Cum_TILC,1,Assumptions!DI$77),0))*Assumptions!DI$74</f>
        <v/>
      </c>
      <c r="DJ41" s="52">
        <f>(IF(Assumptions!DJ$72=$D$17+RetailDowntime,((1-RetailRenewalProb)*NewLeaseTI+RetailRenewalProb*RenewalTI)*$B$17*INDEX(Cum_TILC,1,Assumptions!DJ$77)+LeasingCommissionPct*$E$17*$B$17*INDEX(Cum_TILC,1,Assumptions!DJ$77),0)+IF(Assumptions!DJ$72=$D$18+RetailDowntime,((1-RetailRenewalProb)*NewLeaseTI+RetailRenewalProb*RenewalTI)*$B$18*INDEX(Cum_TILC,1,Assumptions!DJ$77)+LeasingCommissionPct*$E$18*$B$18*INDEX(Cum_TILC,1,Assumptions!DJ$77),0)+IF(Assumptions!DJ$72=$D$19+RetailDowntime,((1-RetailRenewalProb)*NewLeaseTI+RetailRenewalProb*RenewalTI)*$B$19*INDEX(Cum_TILC,1,Assumptions!DJ$77)+LeasingCommissionPct*$E$19*$B$19*INDEX(Cum_TILC,1,Assumptions!DJ$77),0)+IF(Assumptions!DJ$72=$D$20+RetailDowntime,((1-RetailRenewalProb)*NewLeaseTI+RetailRenewalProb*RenewalTI)*$B$20*INDEX(Cum_TILC,1,Assumptions!DJ$77)+LeasingCommissionPct*$E$20*$B$20*INDEX(Cum_TILC,1,Assumptions!DJ$77),0)+IF(Assumptions!DJ$72=$D$21+RetailDowntime,((1-RetailRenewalProb)*NewLeaseTI+RetailRenewalProb*RenewalTI)*$B$21*INDEX(Cum_TILC,1,Assumptions!DJ$77)+LeasingCommissionPct*$E$21*$B$21*INDEX(Cum_TILC,1,Assumptions!DJ$77),0)+IF(Assumptions!DJ$72=$D$22+RetailDowntime,((1-RetailRenewalProb)*NewLeaseTI+RetailRenewalProb*RenewalTI)*$B$22*INDEX(Cum_TILC,1,Assumptions!DJ$77)+LeasingCommissionPct*$E$22*$B$22*INDEX(Cum_TILC,1,Assumptions!DJ$77),0))*Assumptions!DJ$74</f>
        <v/>
      </c>
      <c r="DK41" s="52">
        <f>(IF(Assumptions!DK$72=$D$17+RetailDowntime,((1-RetailRenewalProb)*NewLeaseTI+RetailRenewalProb*RenewalTI)*$B$17*INDEX(Cum_TILC,1,Assumptions!DK$77)+LeasingCommissionPct*$E$17*$B$17*INDEX(Cum_TILC,1,Assumptions!DK$77),0)+IF(Assumptions!DK$72=$D$18+RetailDowntime,((1-RetailRenewalProb)*NewLeaseTI+RetailRenewalProb*RenewalTI)*$B$18*INDEX(Cum_TILC,1,Assumptions!DK$77)+LeasingCommissionPct*$E$18*$B$18*INDEX(Cum_TILC,1,Assumptions!DK$77),0)+IF(Assumptions!DK$72=$D$19+RetailDowntime,((1-RetailRenewalProb)*NewLeaseTI+RetailRenewalProb*RenewalTI)*$B$19*INDEX(Cum_TILC,1,Assumptions!DK$77)+LeasingCommissionPct*$E$19*$B$19*INDEX(Cum_TILC,1,Assumptions!DK$77),0)+IF(Assumptions!DK$72=$D$20+RetailDowntime,((1-RetailRenewalProb)*NewLeaseTI+RetailRenewalProb*RenewalTI)*$B$20*INDEX(Cum_TILC,1,Assumptions!DK$77)+LeasingCommissionPct*$E$20*$B$20*INDEX(Cum_TILC,1,Assumptions!DK$77),0)+IF(Assumptions!DK$72=$D$21+RetailDowntime,((1-RetailRenewalProb)*NewLeaseTI+RetailRenewalProb*RenewalTI)*$B$21*INDEX(Cum_TILC,1,Assumptions!DK$77)+LeasingCommissionPct*$E$21*$B$21*INDEX(Cum_TILC,1,Assumptions!DK$77),0)+IF(Assumptions!DK$72=$D$22+RetailDowntime,((1-RetailRenewalProb)*NewLeaseTI+RetailRenewalProb*RenewalTI)*$B$22*INDEX(Cum_TILC,1,Assumptions!DK$77)+LeasingCommissionPct*$E$22*$B$22*INDEX(Cum_TILC,1,Assumptions!DK$77),0))*Assumptions!DK$74</f>
        <v/>
      </c>
      <c r="DL41" s="52">
        <f>(IF(Assumptions!DL$72=$D$17+RetailDowntime,((1-RetailRenewalProb)*NewLeaseTI+RetailRenewalProb*RenewalTI)*$B$17*INDEX(Cum_TILC,1,Assumptions!DL$77)+LeasingCommissionPct*$E$17*$B$17*INDEX(Cum_TILC,1,Assumptions!DL$77),0)+IF(Assumptions!DL$72=$D$18+RetailDowntime,((1-RetailRenewalProb)*NewLeaseTI+RetailRenewalProb*RenewalTI)*$B$18*INDEX(Cum_TILC,1,Assumptions!DL$77)+LeasingCommissionPct*$E$18*$B$18*INDEX(Cum_TILC,1,Assumptions!DL$77),0)+IF(Assumptions!DL$72=$D$19+RetailDowntime,((1-RetailRenewalProb)*NewLeaseTI+RetailRenewalProb*RenewalTI)*$B$19*INDEX(Cum_TILC,1,Assumptions!DL$77)+LeasingCommissionPct*$E$19*$B$19*INDEX(Cum_TILC,1,Assumptions!DL$77),0)+IF(Assumptions!DL$72=$D$20+RetailDowntime,((1-RetailRenewalProb)*NewLeaseTI+RetailRenewalProb*RenewalTI)*$B$20*INDEX(Cum_TILC,1,Assumptions!DL$77)+LeasingCommissionPct*$E$20*$B$20*INDEX(Cum_TILC,1,Assumptions!DL$77),0)+IF(Assumptions!DL$72=$D$21+RetailDowntime,((1-RetailRenewalProb)*NewLeaseTI+RetailRenewalProb*RenewalTI)*$B$21*INDEX(Cum_TILC,1,Assumptions!DL$77)+LeasingCommissionPct*$E$21*$B$21*INDEX(Cum_TILC,1,Assumptions!DL$77),0)+IF(Assumptions!DL$72=$D$22+RetailDowntime,((1-RetailRenewalProb)*NewLeaseTI+RetailRenewalProb*RenewalTI)*$B$22*INDEX(Cum_TILC,1,Assumptions!DL$77)+LeasingCommissionPct*$E$22*$B$22*INDEX(Cum_TILC,1,Assumptions!DL$77),0))*Assumptions!DL$74</f>
        <v/>
      </c>
      <c r="DM41" s="52">
        <f>(IF(Assumptions!DM$72=$D$17+RetailDowntime,((1-RetailRenewalProb)*NewLeaseTI+RetailRenewalProb*RenewalTI)*$B$17*INDEX(Cum_TILC,1,Assumptions!DM$77)+LeasingCommissionPct*$E$17*$B$17*INDEX(Cum_TILC,1,Assumptions!DM$77),0)+IF(Assumptions!DM$72=$D$18+RetailDowntime,((1-RetailRenewalProb)*NewLeaseTI+RetailRenewalProb*RenewalTI)*$B$18*INDEX(Cum_TILC,1,Assumptions!DM$77)+LeasingCommissionPct*$E$18*$B$18*INDEX(Cum_TILC,1,Assumptions!DM$77),0)+IF(Assumptions!DM$72=$D$19+RetailDowntime,((1-RetailRenewalProb)*NewLeaseTI+RetailRenewalProb*RenewalTI)*$B$19*INDEX(Cum_TILC,1,Assumptions!DM$77)+LeasingCommissionPct*$E$19*$B$19*INDEX(Cum_TILC,1,Assumptions!DM$77),0)+IF(Assumptions!DM$72=$D$20+RetailDowntime,((1-RetailRenewalProb)*NewLeaseTI+RetailRenewalProb*RenewalTI)*$B$20*INDEX(Cum_TILC,1,Assumptions!DM$77)+LeasingCommissionPct*$E$20*$B$20*INDEX(Cum_TILC,1,Assumptions!DM$77),0)+IF(Assumptions!DM$72=$D$21+RetailDowntime,((1-RetailRenewalProb)*NewLeaseTI+RetailRenewalProb*RenewalTI)*$B$21*INDEX(Cum_TILC,1,Assumptions!DM$77)+LeasingCommissionPct*$E$21*$B$21*INDEX(Cum_TILC,1,Assumptions!DM$77),0)+IF(Assumptions!DM$72=$D$22+RetailDowntime,((1-RetailRenewalProb)*NewLeaseTI+RetailRenewalProb*RenewalTI)*$B$22*INDEX(Cum_TILC,1,Assumptions!DM$77)+LeasingCommissionPct*$E$22*$B$22*INDEX(Cum_TILC,1,Assumptions!DM$77),0))*Assumptions!DM$74</f>
        <v/>
      </c>
      <c r="DN41" s="52">
        <f>(IF(Assumptions!DN$72=$D$17+RetailDowntime,((1-RetailRenewalProb)*NewLeaseTI+RetailRenewalProb*RenewalTI)*$B$17*INDEX(Cum_TILC,1,Assumptions!DN$77)+LeasingCommissionPct*$E$17*$B$17*INDEX(Cum_TILC,1,Assumptions!DN$77),0)+IF(Assumptions!DN$72=$D$18+RetailDowntime,((1-RetailRenewalProb)*NewLeaseTI+RetailRenewalProb*RenewalTI)*$B$18*INDEX(Cum_TILC,1,Assumptions!DN$77)+LeasingCommissionPct*$E$18*$B$18*INDEX(Cum_TILC,1,Assumptions!DN$77),0)+IF(Assumptions!DN$72=$D$19+RetailDowntime,((1-RetailRenewalProb)*NewLeaseTI+RetailRenewalProb*RenewalTI)*$B$19*INDEX(Cum_TILC,1,Assumptions!DN$77)+LeasingCommissionPct*$E$19*$B$19*INDEX(Cum_TILC,1,Assumptions!DN$77),0)+IF(Assumptions!DN$72=$D$20+RetailDowntime,((1-RetailRenewalProb)*NewLeaseTI+RetailRenewalProb*RenewalTI)*$B$20*INDEX(Cum_TILC,1,Assumptions!DN$77)+LeasingCommissionPct*$E$20*$B$20*INDEX(Cum_TILC,1,Assumptions!DN$77),0)+IF(Assumptions!DN$72=$D$21+RetailDowntime,((1-RetailRenewalProb)*NewLeaseTI+RetailRenewalProb*RenewalTI)*$B$21*INDEX(Cum_TILC,1,Assumptions!DN$77)+LeasingCommissionPct*$E$21*$B$21*INDEX(Cum_TILC,1,Assumptions!DN$77),0)+IF(Assumptions!DN$72=$D$22+RetailDowntime,((1-RetailRenewalProb)*NewLeaseTI+RetailRenewalProb*RenewalTI)*$B$22*INDEX(Cum_TILC,1,Assumptions!DN$77)+LeasingCommissionPct*$E$22*$B$22*INDEX(Cum_TILC,1,Assumptions!DN$77),0))*Assumptions!DN$74</f>
        <v/>
      </c>
      <c r="DO41" s="52">
        <f>(IF(Assumptions!DO$72=$D$17+RetailDowntime,((1-RetailRenewalProb)*NewLeaseTI+RetailRenewalProb*RenewalTI)*$B$17*INDEX(Cum_TILC,1,Assumptions!DO$77)+LeasingCommissionPct*$E$17*$B$17*INDEX(Cum_TILC,1,Assumptions!DO$77),0)+IF(Assumptions!DO$72=$D$18+RetailDowntime,((1-RetailRenewalProb)*NewLeaseTI+RetailRenewalProb*RenewalTI)*$B$18*INDEX(Cum_TILC,1,Assumptions!DO$77)+LeasingCommissionPct*$E$18*$B$18*INDEX(Cum_TILC,1,Assumptions!DO$77),0)+IF(Assumptions!DO$72=$D$19+RetailDowntime,((1-RetailRenewalProb)*NewLeaseTI+RetailRenewalProb*RenewalTI)*$B$19*INDEX(Cum_TILC,1,Assumptions!DO$77)+LeasingCommissionPct*$E$19*$B$19*INDEX(Cum_TILC,1,Assumptions!DO$77),0)+IF(Assumptions!DO$72=$D$20+RetailDowntime,((1-RetailRenewalProb)*NewLeaseTI+RetailRenewalProb*RenewalTI)*$B$20*INDEX(Cum_TILC,1,Assumptions!DO$77)+LeasingCommissionPct*$E$20*$B$20*INDEX(Cum_TILC,1,Assumptions!DO$77),0)+IF(Assumptions!DO$72=$D$21+RetailDowntime,((1-RetailRenewalProb)*NewLeaseTI+RetailRenewalProb*RenewalTI)*$B$21*INDEX(Cum_TILC,1,Assumptions!DO$77)+LeasingCommissionPct*$E$21*$B$21*INDEX(Cum_TILC,1,Assumptions!DO$77),0)+IF(Assumptions!DO$72=$D$22+RetailDowntime,((1-RetailRenewalProb)*NewLeaseTI+RetailRenewalProb*RenewalTI)*$B$22*INDEX(Cum_TILC,1,Assumptions!DO$77)+LeasingCommissionPct*$E$22*$B$22*INDEX(Cum_TILC,1,Assumptions!DO$77),0))*Assumptions!DO$74</f>
        <v/>
      </c>
      <c r="DP41" s="52">
        <f>(IF(Assumptions!DP$72=$D$17+RetailDowntime,((1-RetailRenewalProb)*NewLeaseTI+RetailRenewalProb*RenewalTI)*$B$17*INDEX(Cum_TILC,1,Assumptions!DP$77)+LeasingCommissionPct*$E$17*$B$17*INDEX(Cum_TILC,1,Assumptions!DP$77),0)+IF(Assumptions!DP$72=$D$18+RetailDowntime,((1-RetailRenewalProb)*NewLeaseTI+RetailRenewalProb*RenewalTI)*$B$18*INDEX(Cum_TILC,1,Assumptions!DP$77)+LeasingCommissionPct*$E$18*$B$18*INDEX(Cum_TILC,1,Assumptions!DP$77),0)+IF(Assumptions!DP$72=$D$19+RetailDowntime,((1-RetailRenewalProb)*NewLeaseTI+RetailRenewalProb*RenewalTI)*$B$19*INDEX(Cum_TILC,1,Assumptions!DP$77)+LeasingCommissionPct*$E$19*$B$19*INDEX(Cum_TILC,1,Assumptions!DP$77),0)+IF(Assumptions!DP$72=$D$20+RetailDowntime,((1-RetailRenewalProb)*NewLeaseTI+RetailRenewalProb*RenewalTI)*$B$20*INDEX(Cum_TILC,1,Assumptions!DP$77)+LeasingCommissionPct*$E$20*$B$20*INDEX(Cum_TILC,1,Assumptions!DP$77),0)+IF(Assumptions!DP$72=$D$21+RetailDowntime,((1-RetailRenewalProb)*NewLeaseTI+RetailRenewalProb*RenewalTI)*$B$21*INDEX(Cum_TILC,1,Assumptions!DP$77)+LeasingCommissionPct*$E$21*$B$21*INDEX(Cum_TILC,1,Assumptions!DP$77),0)+IF(Assumptions!DP$72=$D$22+RetailDowntime,((1-RetailRenewalProb)*NewLeaseTI+RetailRenewalProb*RenewalTI)*$B$22*INDEX(Cum_TILC,1,Assumptions!DP$77)+LeasingCommissionPct*$E$22*$B$22*INDEX(Cum_TILC,1,Assumptions!DP$77),0))*Assumptions!DP$74</f>
        <v/>
      </c>
      <c r="DQ41" s="52">
        <f>(IF(Assumptions!DQ$72=$D$17+RetailDowntime,((1-RetailRenewalProb)*NewLeaseTI+RetailRenewalProb*RenewalTI)*$B$17*INDEX(Cum_TILC,1,Assumptions!DQ$77)+LeasingCommissionPct*$E$17*$B$17*INDEX(Cum_TILC,1,Assumptions!DQ$77),0)+IF(Assumptions!DQ$72=$D$18+RetailDowntime,((1-RetailRenewalProb)*NewLeaseTI+RetailRenewalProb*RenewalTI)*$B$18*INDEX(Cum_TILC,1,Assumptions!DQ$77)+LeasingCommissionPct*$E$18*$B$18*INDEX(Cum_TILC,1,Assumptions!DQ$77),0)+IF(Assumptions!DQ$72=$D$19+RetailDowntime,((1-RetailRenewalProb)*NewLeaseTI+RetailRenewalProb*RenewalTI)*$B$19*INDEX(Cum_TILC,1,Assumptions!DQ$77)+LeasingCommissionPct*$E$19*$B$19*INDEX(Cum_TILC,1,Assumptions!DQ$77),0)+IF(Assumptions!DQ$72=$D$20+RetailDowntime,((1-RetailRenewalProb)*NewLeaseTI+RetailRenewalProb*RenewalTI)*$B$20*INDEX(Cum_TILC,1,Assumptions!DQ$77)+LeasingCommissionPct*$E$20*$B$20*INDEX(Cum_TILC,1,Assumptions!DQ$77),0)+IF(Assumptions!DQ$72=$D$21+RetailDowntime,((1-RetailRenewalProb)*NewLeaseTI+RetailRenewalProb*RenewalTI)*$B$21*INDEX(Cum_TILC,1,Assumptions!DQ$77)+LeasingCommissionPct*$E$21*$B$21*INDEX(Cum_TILC,1,Assumptions!DQ$77),0)+IF(Assumptions!DQ$72=$D$22+RetailDowntime,((1-RetailRenewalProb)*NewLeaseTI+RetailRenewalProb*RenewalTI)*$B$22*INDEX(Cum_TILC,1,Assumptions!DQ$77)+LeasingCommissionPct*$E$22*$B$22*INDEX(Cum_TILC,1,Assumptions!DQ$77),0))*Assumptions!DQ$74</f>
        <v/>
      </c>
      <c r="DR41" s="52">
        <f>(IF(Assumptions!DR$72=$D$17+RetailDowntime,((1-RetailRenewalProb)*NewLeaseTI+RetailRenewalProb*RenewalTI)*$B$17*INDEX(Cum_TILC,1,Assumptions!DR$77)+LeasingCommissionPct*$E$17*$B$17*INDEX(Cum_TILC,1,Assumptions!DR$77),0)+IF(Assumptions!DR$72=$D$18+RetailDowntime,((1-RetailRenewalProb)*NewLeaseTI+RetailRenewalProb*RenewalTI)*$B$18*INDEX(Cum_TILC,1,Assumptions!DR$77)+LeasingCommissionPct*$E$18*$B$18*INDEX(Cum_TILC,1,Assumptions!DR$77),0)+IF(Assumptions!DR$72=$D$19+RetailDowntime,((1-RetailRenewalProb)*NewLeaseTI+RetailRenewalProb*RenewalTI)*$B$19*INDEX(Cum_TILC,1,Assumptions!DR$77)+LeasingCommissionPct*$E$19*$B$19*INDEX(Cum_TILC,1,Assumptions!DR$77),0)+IF(Assumptions!DR$72=$D$20+RetailDowntime,((1-RetailRenewalProb)*NewLeaseTI+RetailRenewalProb*RenewalTI)*$B$20*INDEX(Cum_TILC,1,Assumptions!DR$77)+LeasingCommissionPct*$E$20*$B$20*INDEX(Cum_TILC,1,Assumptions!DR$77),0)+IF(Assumptions!DR$72=$D$21+RetailDowntime,((1-RetailRenewalProb)*NewLeaseTI+RetailRenewalProb*RenewalTI)*$B$21*INDEX(Cum_TILC,1,Assumptions!DR$77)+LeasingCommissionPct*$E$21*$B$21*INDEX(Cum_TILC,1,Assumptions!DR$77),0)+IF(Assumptions!DR$72=$D$22+RetailDowntime,((1-RetailRenewalProb)*NewLeaseTI+RetailRenewalProb*RenewalTI)*$B$22*INDEX(Cum_TILC,1,Assumptions!DR$77)+LeasingCommissionPct*$E$22*$B$22*INDEX(Cum_TILC,1,Assumptions!DR$77),0))*Assumptions!DR$74</f>
        <v/>
      </c>
      <c r="DS41" s="52">
        <f>(IF(Assumptions!DS$72=$D$17+RetailDowntime,((1-RetailRenewalProb)*NewLeaseTI+RetailRenewalProb*RenewalTI)*$B$17*INDEX(Cum_TILC,1,Assumptions!DS$77)+LeasingCommissionPct*$E$17*$B$17*INDEX(Cum_TILC,1,Assumptions!DS$77),0)+IF(Assumptions!DS$72=$D$18+RetailDowntime,((1-RetailRenewalProb)*NewLeaseTI+RetailRenewalProb*RenewalTI)*$B$18*INDEX(Cum_TILC,1,Assumptions!DS$77)+LeasingCommissionPct*$E$18*$B$18*INDEX(Cum_TILC,1,Assumptions!DS$77),0)+IF(Assumptions!DS$72=$D$19+RetailDowntime,((1-RetailRenewalProb)*NewLeaseTI+RetailRenewalProb*RenewalTI)*$B$19*INDEX(Cum_TILC,1,Assumptions!DS$77)+LeasingCommissionPct*$E$19*$B$19*INDEX(Cum_TILC,1,Assumptions!DS$77),0)+IF(Assumptions!DS$72=$D$20+RetailDowntime,((1-RetailRenewalProb)*NewLeaseTI+RetailRenewalProb*RenewalTI)*$B$20*INDEX(Cum_TILC,1,Assumptions!DS$77)+LeasingCommissionPct*$E$20*$B$20*INDEX(Cum_TILC,1,Assumptions!DS$77),0)+IF(Assumptions!DS$72=$D$21+RetailDowntime,((1-RetailRenewalProb)*NewLeaseTI+RetailRenewalProb*RenewalTI)*$B$21*INDEX(Cum_TILC,1,Assumptions!DS$77)+LeasingCommissionPct*$E$21*$B$21*INDEX(Cum_TILC,1,Assumptions!DS$77),0)+IF(Assumptions!DS$72=$D$22+RetailDowntime,((1-RetailRenewalProb)*NewLeaseTI+RetailRenewalProb*RenewalTI)*$B$22*INDEX(Cum_TILC,1,Assumptions!DS$77)+LeasingCommissionPct*$E$22*$B$22*INDEX(Cum_TILC,1,Assumptions!DS$77),0))*Assumptions!DS$74</f>
        <v/>
      </c>
      <c r="DT41" s="52">
        <f>(IF(Assumptions!DT$72=$D$17+RetailDowntime,((1-RetailRenewalProb)*NewLeaseTI+RetailRenewalProb*RenewalTI)*$B$17*INDEX(Cum_TILC,1,Assumptions!DT$77)+LeasingCommissionPct*$E$17*$B$17*INDEX(Cum_TILC,1,Assumptions!DT$77),0)+IF(Assumptions!DT$72=$D$18+RetailDowntime,((1-RetailRenewalProb)*NewLeaseTI+RetailRenewalProb*RenewalTI)*$B$18*INDEX(Cum_TILC,1,Assumptions!DT$77)+LeasingCommissionPct*$E$18*$B$18*INDEX(Cum_TILC,1,Assumptions!DT$77),0)+IF(Assumptions!DT$72=$D$19+RetailDowntime,((1-RetailRenewalProb)*NewLeaseTI+RetailRenewalProb*RenewalTI)*$B$19*INDEX(Cum_TILC,1,Assumptions!DT$77)+LeasingCommissionPct*$E$19*$B$19*INDEX(Cum_TILC,1,Assumptions!DT$77),0)+IF(Assumptions!DT$72=$D$20+RetailDowntime,((1-RetailRenewalProb)*NewLeaseTI+RetailRenewalProb*RenewalTI)*$B$20*INDEX(Cum_TILC,1,Assumptions!DT$77)+LeasingCommissionPct*$E$20*$B$20*INDEX(Cum_TILC,1,Assumptions!DT$77),0)+IF(Assumptions!DT$72=$D$21+RetailDowntime,((1-RetailRenewalProb)*NewLeaseTI+RetailRenewalProb*RenewalTI)*$B$21*INDEX(Cum_TILC,1,Assumptions!DT$77)+LeasingCommissionPct*$E$21*$B$21*INDEX(Cum_TILC,1,Assumptions!DT$77),0)+IF(Assumptions!DT$72=$D$22+RetailDowntime,((1-RetailRenewalProb)*NewLeaseTI+RetailRenewalProb*RenewalTI)*$B$22*INDEX(Cum_TILC,1,Assumptions!DT$77)+LeasingCommissionPct*$E$22*$B$22*INDEX(Cum_TILC,1,Assumptions!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-SUM($B$6:$B$12)*MF_UnitCount/12*INDEX(Cum_OpEx,1,Assumptions!E$77)*Assumptions!E$74</f>
        <v/>
      </c>
      <c r="F16" s="52">
        <f>-SUM($B$6:$B$12)*MF_UnitCount/12*INDEX(Cum_OpEx,1,Assumptions!F$77)*Assumptions!F$74</f>
        <v/>
      </c>
      <c r="G16" s="52">
        <f>-SUM($B$6:$B$12)*MF_UnitCount/12*INDEX(Cum_OpEx,1,Assumptions!G$77)*Assumptions!G$74</f>
        <v/>
      </c>
      <c r="H16" s="52">
        <f>-SUM($B$6:$B$12)*MF_UnitCount/12*INDEX(Cum_OpEx,1,Assumptions!H$77)*Assumptions!H$74</f>
        <v/>
      </c>
      <c r="I16" s="52">
        <f>-SUM($B$6:$B$12)*MF_UnitCount/12*INDEX(Cum_OpEx,1,Assumptions!I$77)*Assumptions!I$74</f>
        <v/>
      </c>
      <c r="J16" s="52">
        <f>-SUM($B$6:$B$12)*MF_UnitCount/12*INDEX(Cum_OpEx,1,Assumptions!J$77)*Assumptions!J$74</f>
        <v/>
      </c>
      <c r="K16" s="52">
        <f>-SUM($B$6:$B$12)*MF_UnitCount/12*INDEX(Cum_OpEx,1,Assumptions!K$77)*Assumptions!K$74</f>
        <v/>
      </c>
      <c r="L16" s="52">
        <f>-SUM($B$6:$B$12)*MF_UnitCount/12*INDEX(Cum_OpEx,1,Assumptions!L$77)*Assumptions!L$74</f>
        <v/>
      </c>
      <c r="M16" s="52">
        <f>-SUM($B$6:$B$12)*MF_UnitCount/12*INDEX(Cum_OpEx,1,Assumptions!M$77)*Assumptions!M$74</f>
        <v/>
      </c>
      <c r="N16" s="52">
        <f>-SUM($B$6:$B$12)*MF_UnitCount/12*INDEX(Cum_OpEx,1,Assumptions!N$77)*Assumptions!N$74</f>
        <v/>
      </c>
      <c r="O16" s="52">
        <f>-SUM($B$6:$B$12)*MF_UnitCount/12*INDEX(Cum_OpEx,1,Assumptions!O$77)*Assumptions!O$74</f>
        <v/>
      </c>
      <c r="P16" s="52">
        <f>-SUM($B$6:$B$12)*MF_UnitCount/12*INDEX(Cum_OpEx,1,Assumptions!P$77)*Assumptions!P$74</f>
        <v/>
      </c>
      <c r="Q16" s="52">
        <f>-SUM($B$6:$B$12)*MF_UnitCount/12*INDEX(Cum_OpEx,1,Assumptions!Q$77)*Assumptions!Q$74</f>
        <v/>
      </c>
      <c r="R16" s="52">
        <f>-SUM($B$6:$B$12)*MF_UnitCount/12*INDEX(Cum_OpEx,1,Assumptions!R$77)*Assumptions!R$74</f>
        <v/>
      </c>
      <c r="S16" s="52">
        <f>-SUM($B$6:$B$12)*MF_UnitCount/12*INDEX(Cum_OpEx,1,Assumptions!S$77)*Assumptions!S$74</f>
        <v/>
      </c>
      <c r="T16" s="52">
        <f>-SUM($B$6:$B$12)*MF_UnitCount/12*INDEX(Cum_OpEx,1,Assumptions!T$77)*Assumptions!T$74</f>
        <v/>
      </c>
      <c r="U16" s="52">
        <f>-SUM($B$6:$B$12)*MF_UnitCount/12*INDEX(Cum_OpEx,1,Assumptions!U$77)*Assumptions!U$74</f>
        <v/>
      </c>
      <c r="V16" s="52">
        <f>-SUM($B$6:$B$12)*MF_UnitCount/12*INDEX(Cum_OpEx,1,Assumptions!V$77)*Assumptions!V$74</f>
        <v/>
      </c>
      <c r="W16" s="52">
        <f>-SUM($B$6:$B$12)*MF_UnitCount/12*INDEX(Cum_OpEx,1,Assumptions!W$77)*Assumptions!W$74</f>
        <v/>
      </c>
      <c r="X16" s="52">
        <f>-SUM($B$6:$B$12)*MF_UnitCount/12*INDEX(Cum_OpEx,1,Assumptions!X$77)*Assumptions!X$74</f>
        <v/>
      </c>
      <c r="Y16" s="52">
        <f>-SUM($B$6:$B$12)*MF_UnitCount/12*INDEX(Cum_OpEx,1,Assumptions!Y$77)*Assumptions!Y$74</f>
        <v/>
      </c>
      <c r="Z16" s="52">
        <f>-SUM($B$6:$B$12)*MF_UnitCount/12*INDEX(Cum_OpEx,1,Assumptions!Z$77)*Assumptions!Z$74</f>
        <v/>
      </c>
      <c r="AA16" s="52">
        <f>-SUM($B$6:$B$12)*MF_UnitCount/12*INDEX(Cum_OpEx,1,Assumptions!AA$77)*Assumptions!AA$74</f>
        <v/>
      </c>
      <c r="AB16" s="52">
        <f>-SUM($B$6:$B$12)*MF_UnitCount/12*INDEX(Cum_OpEx,1,Assumptions!AB$77)*Assumptions!AB$74</f>
        <v/>
      </c>
      <c r="AC16" s="52">
        <f>-SUM($B$6:$B$12)*MF_UnitCount/12*INDEX(Cum_OpEx,1,Assumptions!AC$77)*Assumptions!AC$74</f>
        <v/>
      </c>
      <c r="AD16" s="52">
        <f>-SUM($B$6:$B$12)*MF_UnitCount/12*INDEX(Cum_OpEx,1,Assumptions!AD$77)*Assumptions!AD$74</f>
        <v/>
      </c>
      <c r="AE16" s="52">
        <f>-SUM($B$6:$B$12)*MF_UnitCount/12*INDEX(Cum_OpEx,1,Assumptions!AE$77)*Assumptions!AE$74</f>
        <v/>
      </c>
      <c r="AF16" s="52">
        <f>-SUM($B$6:$B$12)*MF_UnitCount/12*INDEX(Cum_OpEx,1,Assumptions!AF$77)*Assumptions!AF$74</f>
        <v/>
      </c>
      <c r="AG16" s="52">
        <f>-SUM($B$6:$B$12)*MF_UnitCount/12*INDEX(Cum_OpEx,1,Assumptions!AG$77)*Assumptions!AG$74</f>
        <v/>
      </c>
      <c r="AH16" s="52">
        <f>-SUM($B$6:$B$12)*MF_UnitCount/12*INDEX(Cum_OpEx,1,Assumptions!AH$77)*Assumptions!AH$74</f>
        <v/>
      </c>
      <c r="AI16" s="52">
        <f>-SUM($B$6:$B$12)*MF_UnitCount/12*INDEX(Cum_OpEx,1,Assumptions!AI$77)*Assumptions!AI$74</f>
        <v/>
      </c>
      <c r="AJ16" s="52">
        <f>-SUM($B$6:$B$12)*MF_UnitCount/12*INDEX(Cum_OpEx,1,Assumptions!AJ$77)*Assumptions!AJ$74</f>
        <v/>
      </c>
      <c r="AK16" s="52">
        <f>-SUM($B$6:$B$12)*MF_UnitCount/12*INDEX(Cum_OpEx,1,Assumptions!AK$77)*Assumptions!AK$74</f>
        <v/>
      </c>
      <c r="AL16" s="52">
        <f>-SUM($B$6:$B$12)*MF_UnitCount/12*INDEX(Cum_OpEx,1,Assumptions!AL$77)*Assumptions!AL$74</f>
        <v/>
      </c>
      <c r="AM16" s="52">
        <f>-SUM($B$6:$B$12)*MF_UnitCount/12*INDEX(Cum_OpEx,1,Assumptions!AM$77)*Assumptions!AM$74</f>
        <v/>
      </c>
      <c r="AN16" s="52">
        <f>-SUM($B$6:$B$12)*MF_UnitCount/12*INDEX(Cum_OpEx,1,Assumptions!AN$77)*Assumptions!AN$74</f>
        <v/>
      </c>
      <c r="AO16" s="52">
        <f>-SUM($B$6:$B$12)*MF_UnitCount/12*INDEX(Cum_OpEx,1,Assumptions!AO$77)*Assumptions!AO$74</f>
        <v/>
      </c>
      <c r="AP16" s="52">
        <f>-SUM($B$6:$B$12)*MF_UnitCount/12*INDEX(Cum_OpEx,1,Assumptions!AP$77)*Assumptions!AP$74</f>
        <v/>
      </c>
      <c r="AQ16" s="52">
        <f>-SUM($B$6:$B$12)*MF_UnitCount/12*INDEX(Cum_OpEx,1,Assumptions!AQ$77)*Assumptions!AQ$74</f>
        <v/>
      </c>
      <c r="AR16" s="52">
        <f>-SUM($B$6:$B$12)*MF_UnitCount/12*INDEX(Cum_OpEx,1,Assumptions!AR$77)*Assumptions!AR$74</f>
        <v/>
      </c>
      <c r="AS16" s="52">
        <f>-SUM($B$6:$B$12)*MF_UnitCount/12*INDEX(Cum_OpEx,1,Assumptions!AS$77)*Assumptions!AS$74</f>
        <v/>
      </c>
      <c r="AT16" s="52">
        <f>-SUM($B$6:$B$12)*MF_UnitCount/12*INDEX(Cum_OpEx,1,Assumptions!AT$77)*Assumptions!AT$74</f>
        <v/>
      </c>
      <c r="AU16" s="52">
        <f>-SUM($B$6:$B$12)*MF_UnitCount/12*INDEX(Cum_OpEx,1,Assumptions!AU$77)*Assumptions!AU$74</f>
        <v/>
      </c>
      <c r="AV16" s="52">
        <f>-SUM($B$6:$B$12)*MF_UnitCount/12*INDEX(Cum_OpEx,1,Assumptions!AV$77)*Assumptions!AV$74</f>
        <v/>
      </c>
      <c r="AW16" s="52">
        <f>-SUM($B$6:$B$12)*MF_UnitCount/12*INDEX(Cum_OpEx,1,Assumptions!AW$77)*Assumptions!AW$74</f>
        <v/>
      </c>
      <c r="AX16" s="52">
        <f>-SUM($B$6:$B$12)*MF_UnitCount/12*INDEX(Cum_OpEx,1,Assumptions!AX$77)*Assumptions!AX$74</f>
        <v/>
      </c>
      <c r="AY16" s="52">
        <f>-SUM($B$6:$B$12)*MF_UnitCount/12*INDEX(Cum_OpEx,1,Assumptions!AY$77)*Assumptions!AY$74</f>
        <v/>
      </c>
      <c r="AZ16" s="52">
        <f>-SUM($B$6:$B$12)*MF_UnitCount/12*INDEX(Cum_OpEx,1,Assumptions!AZ$77)*Assumptions!AZ$74</f>
        <v/>
      </c>
      <c r="BA16" s="52">
        <f>-SUM($B$6:$B$12)*MF_UnitCount/12*INDEX(Cum_OpEx,1,Assumptions!BA$77)*Assumptions!BA$74</f>
        <v/>
      </c>
      <c r="BB16" s="52">
        <f>-SUM($B$6:$B$12)*MF_UnitCount/12*INDEX(Cum_OpEx,1,Assumptions!BB$77)*Assumptions!BB$74</f>
        <v/>
      </c>
      <c r="BC16" s="52">
        <f>-SUM($B$6:$B$12)*MF_UnitCount/12*INDEX(Cum_OpEx,1,Assumptions!BC$77)*Assumptions!BC$74</f>
        <v/>
      </c>
      <c r="BD16" s="52">
        <f>-SUM($B$6:$B$12)*MF_UnitCount/12*INDEX(Cum_OpEx,1,Assumptions!BD$77)*Assumptions!BD$74</f>
        <v/>
      </c>
      <c r="BE16" s="52">
        <f>-SUM($B$6:$B$12)*MF_UnitCount/12*INDEX(Cum_OpEx,1,Assumptions!BE$77)*Assumptions!BE$74</f>
        <v/>
      </c>
      <c r="BF16" s="52">
        <f>-SUM($B$6:$B$12)*MF_UnitCount/12*INDEX(Cum_OpEx,1,Assumptions!BF$77)*Assumptions!BF$74</f>
        <v/>
      </c>
      <c r="BG16" s="52">
        <f>-SUM($B$6:$B$12)*MF_UnitCount/12*INDEX(Cum_OpEx,1,Assumptions!BG$77)*Assumptions!BG$74</f>
        <v/>
      </c>
      <c r="BH16" s="52">
        <f>-SUM($B$6:$B$12)*MF_UnitCount/12*INDEX(Cum_OpEx,1,Assumptions!BH$77)*Assumptions!BH$74</f>
        <v/>
      </c>
      <c r="BI16" s="52">
        <f>-SUM($B$6:$B$12)*MF_UnitCount/12*INDEX(Cum_OpEx,1,Assumptions!BI$77)*Assumptions!BI$74</f>
        <v/>
      </c>
      <c r="BJ16" s="52">
        <f>-SUM($B$6:$B$12)*MF_UnitCount/12*INDEX(Cum_OpEx,1,Assumptions!BJ$77)*Assumptions!BJ$74</f>
        <v/>
      </c>
      <c r="BK16" s="52">
        <f>-SUM($B$6:$B$12)*MF_UnitCount/12*INDEX(Cum_OpEx,1,Assumptions!BK$77)*Assumptions!BK$74</f>
        <v/>
      </c>
      <c r="BL16" s="52">
        <f>-SUM($B$6:$B$12)*MF_UnitCount/12*INDEX(Cum_OpEx,1,Assumptions!BL$77)*Assumptions!BL$74</f>
        <v/>
      </c>
      <c r="BM16" s="52">
        <f>-SUM($B$6:$B$12)*MF_UnitCount/12*INDEX(Cum_OpEx,1,Assumptions!BM$77)*Assumptions!BM$74</f>
        <v/>
      </c>
      <c r="BN16" s="52">
        <f>-SUM($B$6:$B$12)*MF_UnitCount/12*INDEX(Cum_OpEx,1,Assumptions!BN$77)*Assumptions!BN$74</f>
        <v/>
      </c>
      <c r="BO16" s="52">
        <f>-SUM($B$6:$B$12)*MF_UnitCount/12*INDEX(Cum_OpEx,1,Assumptions!BO$77)*Assumptions!BO$74</f>
        <v/>
      </c>
      <c r="BP16" s="52">
        <f>-SUM($B$6:$B$12)*MF_UnitCount/12*INDEX(Cum_OpEx,1,Assumptions!BP$77)*Assumptions!BP$74</f>
        <v/>
      </c>
      <c r="BQ16" s="52">
        <f>-SUM($B$6:$B$12)*MF_UnitCount/12*INDEX(Cum_OpEx,1,Assumptions!BQ$77)*Assumptions!BQ$74</f>
        <v/>
      </c>
      <c r="BR16" s="52">
        <f>-SUM($B$6:$B$12)*MF_UnitCount/12*INDEX(Cum_OpEx,1,Assumptions!BR$77)*Assumptions!BR$74</f>
        <v/>
      </c>
      <c r="BS16" s="52">
        <f>-SUM($B$6:$B$12)*MF_UnitCount/12*INDEX(Cum_OpEx,1,Assumptions!BS$77)*Assumptions!BS$74</f>
        <v/>
      </c>
      <c r="BT16" s="52">
        <f>-SUM($B$6:$B$12)*MF_UnitCount/12*INDEX(Cum_OpEx,1,Assumptions!BT$77)*Assumptions!BT$74</f>
        <v/>
      </c>
      <c r="BU16" s="52">
        <f>-SUM($B$6:$B$12)*MF_UnitCount/12*INDEX(Cum_OpEx,1,Assumptions!BU$77)*Assumptions!BU$74</f>
        <v/>
      </c>
      <c r="BV16" s="52">
        <f>-SUM($B$6:$B$12)*MF_UnitCount/12*INDEX(Cum_OpEx,1,Assumptions!BV$77)*Assumptions!BV$74</f>
        <v/>
      </c>
      <c r="BW16" s="52">
        <f>-SUM($B$6:$B$12)*MF_UnitCount/12*INDEX(Cum_OpEx,1,Assumptions!BW$77)*Assumptions!BW$74</f>
        <v/>
      </c>
      <c r="BX16" s="52">
        <f>-SUM($B$6:$B$12)*MF_UnitCount/12*INDEX(Cum_OpEx,1,Assumptions!BX$77)*Assumptions!BX$74</f>
        <v/>
      </c>
      <c r="BY16" s="52">
        <f>-SUM($B$6:$B$12)*MF_UnitCount/12*INDEX(Cum_OpEx,1,Assumptions!BY$77)*Assumptions!BY$74</f>
        <v/>
      </c>
      <c r="BZ16" s="52">
        <f>-SUM($B$6:$B$12)*MF_UnitCount/12*INDEX(Cum_OpEx,1,Assumptions!BZ$77)*Assumptions!BZ$74</f>
        <v/>
      </c>
      <c r="CA16" s="52">
        <f>-SUM($B$6:$B$12)*MF_UnitCount/12*INDEX(Cum_OpEx,1,Assumptions!CA$77)*Assumptions!CA$74</f>
        <v/>
      </c>
      <c r="CB16" s="52">
        <f>-SUM($B$6:$B$12)*MF_UnitCount/12*INDEX(Cum_OpEx,1,Assumptions!CB$77)*Assumptions!CB$74</f>
        <v/>
      </c>
      <c r="CC16" s="52">
        <f>-SUM($B$6:$B$12)*MF_UnitCount/12*INDEX(Cum_OpEx,1,Assumptions!CC$77)*Assumptions!CC$74</f>
        <v/>
      </c>
      <c r="CD16" s="52">
        <f>-SUM($B$6:$B$12)*MF_UnitCount/12*INDEX(Cum_OpEx,1,Assumptions!CD$77)*Assumptions!CD$74</f>
        <v/>
      </c>
      <c r="CE16" s="52">
        <f>-SUM($B$6:$B$12)*MF_UnitCount/12*INDEX(Cum_OpEx,1,Assumptions!CE$77)*Assumptions!CE$74</f>
        <v/>
      </c>
      <c r="CF16" s="52">
        <f>-SUM($B$6:$B$12)*MF_UnitCount/12*INDEX(Cum_OpEx,1,Assumptions!CF$77)*Assumptions!CF$74</f>
        <v/>
      </c>
      <c r="CG16" s="52">
        <f>-SUM($B$6:$B$12)*MF_UnitCount/12*INDEX(Cum_OpEx,1,Assumptions!CG$77)*Assumptions!CG$74</f>
        <v/>
      </c>
      <c r="CH16" s="52">
        <f>-SUM($B$6:$B$12)*MF_UnitCount/12*INDEX(Cum_OpEx,1,Assumptions!CH$77)*Assumptions!CH$74</f>
        <v/>
      </c>
      <c r="CI16" s="52">
        <f>-SUM($B$6:$B$12)*MF_UnitCount/12*INDEX(Cum_OpEx,1,Assumptions!CI$77)*Assumptions!CI$74</f>
        <v/>
      </c>
      <c r="CJ16" s="52">
        <f>-SUM($B$6:$B$12)*MF_UnitCount/12*INDEX(Cum_OpEx,1,Assumptions!CJ$77)*Assumptions!CJ$74</f>
        <v/>
      </c>
      <c r="CK16" s="52">
        <f>-SUM($B$6:$B$12)*MF_UnitCount/12*INDEX(Cum_OpEx,1,Assumptions!CK$77)*Assumptions!CK$74</f>
        <v/>
      </c>
      <c r="CL16" s="52">
        <f>-SUM($B$6:$B$12)*MF_UnitCount/12*INDEX(Cum_OpEx,1,Assumptions!CL$77)*Assumptions!CL$74</f>
        <v/>
      </c>
      <c r="CM16" s="52">
        <f>-SUM($B$6:$B$12)*MF_UnitCount/12*INDEX(Cum_OpEx,1,Assumptions!CM$77)*Assumptions!CM$74</f>
        <v/>
      </c>
      <c r="CN16" s="52">
        <f>-SUM($B$6:$B$12)*MF_UnitCount/12*INDEX(Cum_OpEx,1,Assumptions!CN$77)*Assumptions!CN$74</f>
        <v/>
      </c>
      <c r="CO16" s="52">
        <f>-SUM($B$6:$B$12)*MF_UnitCount/12*INDEX(Cum_OpEx,1,Assumptions!CO$77)*Assumptions!CO$74</f>
        <v/>
      </c>
      <c r="CP16" s="52">
        <f>-SUM($B$6:$B$12)*MF_UnitCount/12*INDEX(Cum_OpEx,1,Assumptions!CP$77)*Assumptions!CP$74</f>
        <v/>
      </c>
      <c r="CQ16" s="52">
        <f>-SUM($B$6:$B$12)*MF_UnitCount/12*INDEX(Cum_OpEx,1,Assumptions!CQ$77)*Assumptions!CQ$74</f>
        <v/>
      </c>
      <c r="CR16" s="52">
        <f>-SUM($B$6:$B$12)*MF_UnitCount/12*INDEX(Cum_OpEx,1,Assumptions!CR$77)*Assumptions!CR$74</f>
        <v/>
      </c>
      <c r="CS16" s="52">
        <f>-SUM($B$6:$B$12)*MF_UnitCount/12*INDEX(Cum_OpEx,1,Assumptions!CS$77)*Assumptions!CS$74</f>
        <v/>
      </c>
      <c r="CT16" s="52">
        <f>-SUM($B$6:$B$12)*MF_UnitCount/12*INDEX(Cum_OpEx,1,Assumptions!CT$77)*Assumptions!CT$74</f>
        <v/>
      </c>
      <c r="CU16" s="52">
        <f>-SUM($B$6:$B$12)*MF_UnitCount/12*INDEX(Cum_OpEx,1,Assumptions!CU$77)*Assumptions!CU$74</f>
        <v/>
      </c>
      <c r="CV16" s="52">
        <f>-SUM($B$6:$B$12)*MF_UnitCount/12*INDEX(Cum_OpEx,1,Assumptions!CV$77)*Assumptions!CV$74</f>
        <v/>
      </c>
      <c r="CW16" s="52">
        <f>-SUM($B$6:$B$12)*MF_UnitCount/12*INDEX(Cum_OpEx,1,Assumptions!CW$77)*Assumptions!CW$74</f>
        <v/>
      </c>
      <c r="CX16" s="52">
        <f>-SUM($B$6:$B$12)*MF_UnitCount/12*INDEX(Cum_OpEx,1,Assumptions!CX$77)*Assumptions!CX$74</f>
        <v/>
      </c>
      <c r="CY16" s="52">
        <f>-SUM($B$6:$B$12)*MF_UnitCount/12*INDEX(Cum_OpEx,1,Assumptions!CY$77)*Assumptions!CY$74</f>
        <v/>
      </c>
      <c r="CZ16" s="52">
        <f>-SUM($B$6:$B$12)*MF_UnitCount/12*INDEX(Cum_OpEx,1,Assumptions!CZ$77)*Assumptions!CZ$74</f>
        <v/>
      </c>
      <c r="DA16" s="52">
        <f>-SUM($B$6:$B$12)*MF_UnitCount/12*INDEX(Cum_OpEx,1,Assumptions!DA$77)*Assumptions!DA$74</f>
        <v/>
      </c>
      <c r="DB16" s="52">
        <f>-SUM($B$6:$B$12)*MF_UnitCount/12*INDEX(Cum_OpEx,1,Assumptions!DB$77)*Assumptions!DB$74</f>
        <v/>
      </c>
      <c r="DC16" s="52">
        <f>-SUM($B$6:$B$12)*MF_UnitCount/12*INDEX(Cum_OpEx,1,Assumptions!DC$77)*Assumptions!DC$74</f>
        <v/>
      </c>
      <c r="DD16" s="52">
        <f>-SUM($B$6:$B$12)*MF_UnitCount/12*INDEX(Cum_OpEx,1,Assumptions!DD$77)*Assumptions!DD$74</f>
        <v/>
      </c>
      <c r="DE16" s="52">
        <f>-SUM($B$6:$B$12)*MF_UnitCount/12*INDEX(Cum_OpEx,1,Assumptions!DE$77)*Assumptions!DE$74</f>
        <v/>
      </c>
      <c r="DF16" s="52">
        <f>-SUM($B$6:$B$12)*MF_UnitCount/12*INDEX(Cum_OpEx,1,Assumptions!DF$77)*Assumptions!DF$74</f>
        <v/>
      </c>
      <c r="DG16" s="52">
        <f>-SUM($B$6:$B$12)*MF_UnitCount/12*INDEX(Cum_OpEx,1,Assumptions!DG$77)*Assumptions!DG$74</f>
        <v/>
      </c>
      <c r="DH16" s="52">
        <f>-SUM($B$6:$B$12)*MF_UnitCount/12*INDEX(Cum_OpEx,1,Assumptions!DH$77)*Assumptions!DH$74</f>
        <v/>
      </c>
      <c r="DI16" s="52">
        <f>-SUM($B$6:$B$12)*MF_UnitCount/12*INDEX(Cum_OpEx,1,Assumptions!DI$77)*Assumptions!DI$74</f>
        <v/>
      </c>
      <c r="DJ16" s="52">
        <f>-SUM($B$6:$B$12)*MF_UnitCount/12*INDEX(Cum_OpEx,1,Assumptions!DJ$77)*Assumptions!DJ$74</f>
        <v/>
      </c>
      <c r="DK16" s="52">
        <f>-SUM($B$6:$B$12)*MF_UnitCount/12*INDEX(Cum_OpEx,1,Assumptions!DK$77)*Assumptions!DK$74</f>
        <v/>
      </c>
      <c r="DL16" s="52">
        <f>-SUM($B$6:$B$12)*MF_UnitCount/12*INDEX(Cum_OpEx,1,Assumptions!DL$77)*Assumptions!DL$74</f>
        <v/>
      </c>
      <c r="DM16" s="52">
        <f>-SUM($B$6:$B$12)*MF_UnitCount/12*INDEX(Cum_OpEx,1,Assumptions!DM$77)*Assumptions!DM$74</f>
        <v/>
      </c>
      <c r="DN16" s="52">
        <f>-SUM($B$6:$B$12)*MF_UnitCount/12*INDEX(Cum_OpEx,1,Assumptions!DN$77)*Assumptions!DN$74</f>
        <v/>
      </c>
      <c r="DO16" s="52">
        <f>-SUM($B$6:$B$12)*MF_UnitCount/12*INDEX(Cum_OpEx,1,Assumptions!DO$77)*Assumptions!DO$74</f>
        <v/>
      </c>
      <c r="DP16" s="52">
        <f>-SUM($B$6:$B$12)*MF_UnitCount/12*INDEX(Cum_OpEx,1,Assumptions!DP$77)*Assumptions!DP$74</f>
        <v/>
      </c>
      <c r="DQ16" s="52">
        <f>-SUM($B$6:$B$12)*MF_UnitCount/12*INDEX(Cum_OpEx,1,Assumptions!DQ$77)*Assumptions!DQ$74</f>
        <v/>
      </c>
      <c r="DR16" s="52">
        <f>-SUM($B$6:$B$12)*MF_UnitCount/12*INDEX(Cum_OpEx,1,Assumptions!DR$77)*Assumptions!DR$74</f>
        <v/>
      </c>
      <c r="DS16" s="52">
        <f>-SUM($B$6:$B$12)*MF_UnitCount/12*INDEX(Cum_OpEx,1,Assumptions!DS$77)*Assumptions!DS$74</f>
        <v/>
      </c>
      <c r="DT16" s="52">
        <f>-SUM($B$6:$B$12)*MF_UnitCount/12*INDEX(Cum_OpEx,1,Assumptions!DT$77)*Assumptions!DT$74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IF(BusinessPlanMode="Value-Add",RenoCostUnit*MF_UnitCount,0)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IF(Use_LTV="On",PurchasePrice*MaxLTV,1000000000000000)</f>
        <v/>
      </c>
    </row>
    <row r="63">
      <c r="A63" s="10" t="inlineStr">
        <is>
          <t>Blend: max loan — LTC</t>
        </is>
      </c>
      <c r="B63" s="52">
        <f>IF(Use_LTC="On",TotalCost*MaxLTC,1000000000000000)</f>
        <v/>
      </c>
    </row>
    <row r="64">
      <c r="A64" s="10" t="inlineStr">
        <is>
          <t>Blend: max loan — DSCR</t>
        </is>
      </c>
      <c r="B64" s="52">
        <f>IF(Use_DSCR="On",GoingInNOI/(MinDSCR*DebtConstant),1000000000000000)</f>
        <v/>
      </c>
    </row>
    <row r="65">
      <c r="A65" s="10" t="inlineStr">
        <is>
          <t>Blend: max loan — Debt Yield</t>
        </is>
      </c>
      <c r="B65" s="52">
        <f>IF(Use_DY="On",GoingInNOI/MinDebtYield,1000000000000000)</f>
        <v/>
      </c>
    </row>
    <row r="66">
      <c r="A66" s="3" t="inlineStr">
        <is>
          <t>Blend: loan (MIN of active)</t>
        </is>
      </c>
      <c r="B66" s="62">
        <f>MIN(Blend_LTV,Blend_LTC,Blend_DSCRcap,Blend_DYcap,PurchasePrice)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IF(BlendedLoan=Blend_LTV,"LTV",IF(BlendedLoan=Blend_LTC,"LTC",IF(BlendedLoan=Blend_DSCRcap,"DSCR",IF(BlendedLoan=Blend_DYcap,"Debt Yield","Value cap"))))</f>
        <v/>
      </c>
    </row>
    <row r="69">
      <c r="A69" s="10" t="inlineStr">
        <is>
          <t>MFLn: max loan — LTV</t>
        </is>
      </c>
      <c r="B69" s="52">
        <f>IF(Use_LTV="On",Value_MF*MFLoan_MaxLTV,1000000000000000)</f>
        <v/>
      </c>
    </row>
    <row r="70">
      <c r="A70" s="10" t="inlineStr">
        <is>
          <t>MFLn: max loan — LTC</t>
        </is>
      </c>
      <c r="B70" s="52">
        <f>IF(Use_LTC="On",Cost_MF*MFLoan_MaxLTC,1000000000000000)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IF(Use_DSCR="On",GoingInNOI_MF/(MFLoan_MinDSCR*MFLoan_DebtConstant),1000000000000000)</f>
        <v/>
      </c>
    </row>
    <row r="72">
      <c r="A72" s="10" t="inlineStr">
        <is>
          <t>MFLn: max loan — Debt Yield</t>
        </is>
      </c>
      <c r="B72" s="52">
        <f>IF(Use_DY="On",GoingInNOI_MF/MFLoan_MinDY,1000000000000000)</f>
        <v/>
      </c>
    </row>
    <row r="73">
      <c r="A73" s="3" t="inlineStr">
        <is>
          <t>MFLn: loan (MIN of active)</t>
        </is>
      </c>
      <c r="B73" s="62">
        <f>MIN(MFLn_LTV,MFLn_LTC,MFLn_DSCRcap,MFLn_DYcap,Value_MF)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IF(MF_Loan=MFLn_LTV,"LTV",IF(MF_Loan=MFLn_LTC,"LTC",IF(MF_Loan=MFLn_DSCRcap,"DSCR",IF(MF_Loan=MFLn_DYcap,"Debt Yield","Value cap"))))</f>
        <v/>
      </c>
    </row>
    <row r="76">
      <c r="A76" s="10" t="inlineStr">
        <is>
          <t>RTLn: max loan — LTV</t>
        </is>
      </c>
      <c r="B76" s="52">
        <f>IF(Use_LTV="On",Value_Retail*RTLoan_MaxLTV,1000000000000000)</f>
        <v/>
      </c>
    </row>
    <row r="77">
      <c r="A77" s="10" t="inlineStr">
        <is>
          <t>RTLn: max loan — LTC</t>
        </is>
      </c>
      <c r="B77" s="52">
        <f>IF(Use_LTC="On",Cost_Retail*RTLoan_MaxLTC,1000000000000000)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IF(Use_DSCR="On",GoingInNOI_Retail/(RTLoan_MinDSCR*RTLoan_DebtConstant),1000000000000000)</f>
        <v/>
      </c>
    </row>
    <row r="79">
      <c r="A79" s="10" t="inlineStr">
        <is>
          <t>RTLn: max loan — Debt Yield</t>
        </is>
      </c>
      <c r="B79" s="52">
        <f>IF(Use_DY="On",GoingInNOI_Retail/RTLoan_MinDY,1000000000000000)</f>
        <v/>
      </c>
    </row>
    <row r="80">
      <c r="A80" s="3" t="inlineStr">
        <is>
          <t>RTLn: loan (MIN of active)</t>
        </is>
      </c>
      <c r="B80" s="62">
        <f>MIN(RTLn_LTV,RTLn_LTC,RTLn_DSCRcap,RTLn_DYcap,Value_Retail)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IF(RT_Loan=RTLn_LTV,"LTV",IF(RT_Loan=RTLn_LTC,"LTC",IF(RT_Loan=RTLn_DSCRcap,"DSCR",IF(RT_Loan=RTLn_DYcap,"Debt Yield","Value cap"))))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>
        <f>IF(DebtStructure="Separate MF + Retail Loans",MF_Loan*MFLoan_FinPct+RT_Loan*RTLoan_FinPct,BlendedLoan*FinanceCostPct)+FinancedCapBudget*FinanceCostPct</f>
        <v/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70" t="n">
        <v>0.1921021684247329</v>
      </c>
      <c r="C11" s="70" t="n">
        <v>0.2004029416554294</v>
      </c>
      <c r="D11" s="70" t="n">
        <v>0.2085585065588202</v>
      </c>
      <c r="E11" s="70" t="n">
        <v>0.2165758531382835</v>
      </c>
      <c r="F11" s="70" t="n">
        <v>0.2244614524437906</v>
      </c>
    </row>
    <row r="12">
      <c r="A12" s="27" t="n">
        <v>0.05</v>
      </c>
      <c r="B12" s="70" t="n">
        <v>0.1459009939832276</v>
      </c>
      <c r="C12" s="70" t="n">
        <v>0.1547088897609091</v>
      </c>
      <c r="D12" s="70" t="n">
        <v>0.1633391871326421</v>
      </c>
      <c r="E12" s="70" t="n">
        <v>0.171801536255898</v>
      </c>
      <c r="F12" s="70" t="n">
        <v>0.1801047848792018</v>
      </c>
    </row>
    <row r="13">
      <c r="A13" s="27" t="n">
        <v>0.055</v>
      </c>
      <c r="B13" s="70" t="n">
        <v>0.1013416964158841</v>
      </c>
      <c r="C13" s="70" t="n">
        <v>0.1107822529850546</v>
      </c>
      <c r="D13" s="70" t="n">
        <v>0.1200015287816381</v>
      </c>
      <c r="E13" s="70" t="n">
        <v>0.1290131926197636</v>
      </c>
      <c r="F13" s="70" t="n">
        <v>0.1378296309055713</v>
      </c>
    </row>
    <row r="14">
      <c r="A14" s="27" t="n">
        <v>0.06</v>
      </c>
      <c r="B14" s="70" t="n">
        <v>0.05744067527494275</v>
      </c>
      <c r="C14" s="70" t="n">
        <v>0.06768067333511901</v>
      </c>
      <c r="D14" s="70" t="n">
        <v>0.07763847822982592</v>
      </c>
      <c r="E14" s="70" t="n">
        <v>0.0873341027723108</v>
      </c>
      <c r="F14" s="70" t="n">
        <v>0.0967854203168235</v>
      </c>
    </row>
    <row r="15">
      <c r="A15" s="27" t="n">
        <v>0.065</v>
      </c>
      <c r="B15" s="70" t="n">
        <v>0.01321160041842399</v>
      </c>
      <c r="C15" s="70" t="n">
        <v>0.02448438021053557</v>
      </c>
      <c r="D15" s="70" t="n">
        <v>0.03538630905336725</v>
      </c>
      <c r="E15" s="70" t="n">
        <v>0.04594799164422733</v>
      </c>
      <c r="F15" s="70" t="n">
        <v>0.05619625584119143</v>
      </c>
    </row>
    <row r="17">
      <c r="A17" s="16" t="inlineStr">
        <is>
          <t>DATA TABLE inputs:  Row input cell = Assumptions!$E$56 (MF rent growth Y1) ;  Column input cell = ExitCapBlended (Assumptions!$B$13)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40000000</v>
      </c>
      <c r="B21" s="70" t="n">
        <v>0.326100857685833</v>
      </c>
      <c r="C21" s="70" t="n">
        <v>0.2853782265017094</v>
      </c>
      <c r="D21" s="70" t="n">
        <v>0.2474473400754686</v>
      </c>
      <c r="E21" s="70" t="n">
        <v>0.2115986737512776</v>
      </c>
      <c r="F21" s="70" t="n">
        <v>0.1772662977942127</v>
      </c>
    </row>
    <row r="22">
      <c r="A22" s="55" t="n">
        <v>44000000</v>
      </c>
      <c r="B22" s="70" t="n">
        <v>0.2656435918912233</v>
      </c>
      <c r="C22" s="70" t="n">
        <v>0.2229427374629176</v>
      </c>
      <c r="D22" s="70" t="n">
        <v>0.1826617306752473</v>
      </c>
      <c r="E22" s="70" t="n">
        <v>0.1440294202719883</v>
      </c>
      <c r="F22" s="70" t="n">
        <v>0.1063892766485241</v>
      </c>
    </row>
    <row r="23">
      <c r="A23" s="55" t="n">
        <v>48000000</v>
      </c>
      <c r="B23" s="70" t="n">
        <v>0.2085585065588202</v>
      </c>
      <c r="C23" s="70" t="n">
        <v>0.1633391871326421</v>
      </c>
      <c r="D23" s="70" t="n">
        <v>0.1200015287816381</v>
      </c>
      <c r="E23" s="70" t="n">
        <v>0.07763847822982592</v>
      </c>
      <c r="F23" s="70" t="n">
        <v>0.03538630905336725</v>
      </c>
    </row>
    <row r="24">
      <c r="A24" s="55" t="n">
        <v>52000000</v>
      </c>
      <c r="B24" s="70" t="n">
        <v>0.143674698663865</v>
      </c>
      <c r="C24" s="70" t="n">
        <v>0.1000172916434575</v>
      </c>
      <c r="D24" s="70" t="n">
        <v>0.05806472475033838</v>
      </c>
      <c r="E24" s="70" t="n">
        <v>0.01692172988706028</v>
      </c>
      <c r="F24" s="70" t="n">
        <v>-0.02428182048524382</v>
      </c>
    </row>
    <row r="25">
      <c r="A25" s="55" t="n">
        <v>56000000</v>
      </c>
      <c r="B25" s="70" t="n">
        <v>0.0916166180178288</v>
      </c>
      <c r="C25" s="70" t="n">
        <v>0.0496389227092265</v>
      </c>
      <c r="D25" s="70" t="n">
        <v>0.009271831167399059</v>
      </c>
      <c r="E25" s="70" t="n">
        <v>-0.03035001543904179</v>
      </c>
      <c r="F25" s="70" t="n">
        <v>-0.07007194852503523</v>
      </c>
    </row>
    <row r="27">
      <c r="A27" s="16" t="inlineStr">
        <is>
          <t>DATA TABLE inputs:  Row input cell = ExitCapBlended (Assumptions!$B$13) ;  Column input cell = InputPrice (Assumptions!$B$6)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  <c r="B31" s="70" t="n">
        <v>0.1673797361279775</v>
      </c>
      <c r="C31" s="71" t="n">
        <v>1.564566520359297</v>
      </c>
    </row>
    <row r="32">
      <c r="A32" s="33">
        <f>EDATE(DispositionDate,-12)</f>
        <v/>
      </c>
      <c r="B32" s="70" t="n">
        <v>0.1452585132882904</v>
      </c>
      <c r="C32" s="71" t="n">
        <v>1.670557218672376</v>
      </c>
    </row>
    <row r="33">
      <c r="A33" s="33">
        <f>EDATE(DispositionDate,0)</f>
        <v/>
      </c>
      <c r="B33" s="70" t="n">
        <v>0.1200015287816381</v>
      </c>
      <c r="C33" s="71" t="n">
        <v>1.689014692353101</v>
      </c>
    </row>
    <row r="34">
      <c r="A34" s="33">
        <f>EDATE(DispositionDate,12)</f>
        <v/>
      </c>
      <c r="B34" s="70" t="n">
        <v>0.1090364311613597</v>
      </c>
      <c r="C34" s="71" t="n">
        <v>1.744261033518742</v>
      </c>
    </row>
    <row r="35">
      <c r="A35" s="33">
        <f>EDATE(DispositionDate,24)</f>
        <v/>
      </c>
      <c r="B35" s="70" t="n">
        <v>0.1266164285528157</v>
      </c>
      <c r="C35" s="71" t="n">
        <v>2.111567857833716</v>
      </c>
    </row>
    <row r="37">
      <c r="A37" s="16" t="inlineStr">
        <is>
          <t>DATA TABLE input (one-variable, dates run down the column):  Column input cell = DispositionDate (Control Panel!$B$9)</t>
        </is>
      </c>
    </row>
    <row r="39">
      <c r="A39" s="72" t="inlineStr">
        <is>
          <t>Max supportable bid by target levered IRR (computed snapshot):</t>
        </is>
      </c>
    </row>
    <row r="40">
      <c r="A40" s="73" t="inlineStr">
        <is>
          <t>Target levered IRR</t>
        </is>
      </c>
      <c r="B40" s="73" t="inlineStr">
        <is>
          <t>Max bid ($)</t>
        </is>
      </c>
      <c r="C40" s="73" t="inlineStr">
        <is>
          <t>Going-in cap</t>
        </is>
      </c>
      <c r="D40" s="73" t="inlineStr">
        <is>
          <t>$/unit</t>
        </is>
      </c>
    </row>
    <row r="41">
      <c r="A41" s="70" t="n">
        <v>0.1</v>
      </c>
      <c r="B41" s="74" t="n">
        <v>49209774</v>
      </c>
      <c r="C41" s="70" t="n">
        <v>0.05572937904342549</v>
      </c>
      <c r="D41" s="74" t="n">
        <v>559202</v>
      </c>
    </row>
    <row r="42">
      <c r="A42" s="70" t="n">
        <v>0.12</v>
      </c>
      <c r="B42" s="74" t="n">
        <v>48000050</v>
      </c>
      <c r="C42" s="70" t="n">
        <v>0.05755352441452059</v>
      </c>
      <c r="D42" s="74" t="n">
        <v>545455</v>
      </c>
    </row>
    <row r="43">
      <c r="A43" s="70" t="n">
        <v>0.15</v>
      </c>
      <c r="B43" s="74" t="n">
        <v>46075590</v>
      </c>
      <c r="C43" s="70" t="n">
        <v>0.0606528164860563</v>
      </c>
      <c r="D43" s="74" t="n">
        <v>523586</v>
      </c>
    </row>
    <row r="44">
      <c r="A44" s="70" t="n">
        <v>0.18</v>
      </c>
      <c r="B44" s="74" t="n">
        <v>44168069</v>
      </c>
      <c r="C44" s="70" t="n">
        <v>0.0639913525229038</v>
      </c>
      <c r="D44" s="74" t="n">
        <v>501910</v>
      </c>
    </row>
    <row r="45">
      <c r="A45" s="70" t="n">
        <v>0.2</v>
      </c>
      <c r="B45" s="74" t="n">
        <v>42911615</v>
      </c>
      <c r="C45" s="70" t="n">
        <v>0.06635253488190476</v>
      </c>
      <c r="D45" s="74" t="n">
        <v>487632</v>
      </c>
    </row>
    <row r="47">
      <c r="A47" s="16" t="inlineStr">
        <is>
          <t>Snapshot at current base inputs. To make grids recompute live, convert to Data Tables per PHASE2_GUIDE.md (cell inputs are noted under each grid).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rintOptions horizontalCentered="1"/>
  <pageMargins left="0.75" right="0.75" top="1" bottom="1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2026-06-16T19:35:09Z</dcterms:created>
  <dcterms:modified xsi:type="dcterms:W3CDTF">2026-06-16T19:35:12Z</dcterms:modified>
</cp:coreProperties>
</file>