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Panel" sheetId="1" state="visible" r:id="rId1"/>
    <sheet name="Summary" sheetId="2" state="visible" r:id="rId2"/>
    <sheet name="Assumptions" sheetId="3" state="visible" r:id="rId3"/>
    <sheet name="MF Revenue" sheetId="4" state="visible" r:id="rId4"/>
    <sheet name="Retail Revenue" sheetId="5" state="visible" r:id="rId5"/>
    <sheet name="OpEx" sheetId="6" state="visible" r:id="rId6"/>
    <sheet name="Taxes" sheetId="7" state="visible" r:id="rId7"/>
    <sheet name="CapEx" sheetId="8" state="visible" r:id="rId8"/>
    <sheet name="Debt" sheetId="9" state="visible" r:id="rId9"/>
    <sheet name="Monthly CF" sheetId="10" state="visible" r:id="rId10"/>
    <sheet name="Waterfall" sheetId="11" state="visible" r:id="rId11"/>
    <sheet name="Sensitivities" sheetId="12" state="visible" r:id="rId12"/>
    <sheet name="IC One-Pager" sheetId="13" state="visible" r:id="rId13"/>
  </sheets>
  <definedNames>
    <definedName name="AssetName">'Control Panel'!$B$6</definedName>
    <definedName name="RunDate">'Control Panel'!$B$7</definedName>
    <definedName name="AcquisitionDate">'Control Panel'!$B$8</definedName>
    <definedName name="DispositionDate">'Control Panel'!$B$9</definedName>
    <definedName name="HoldMonths">'Control Panel'!$B$10</definedName>
    <definedName name="HoldYears">'Control Panel'!$B$11</definedName>
    <definedName name="BusinessPlanMode">'Control Panel'!$B$14</definedName>
    <definedName name="PriceMode">'Control Panel'!$B$15</definedName>
    <definedName name="TargetReturnBasis">'Control Panel'!$B$16</definedName>
    <definedName name="TargetReturnValue">'Control Panel'!$B$17</definedName>
    <definedName name="RefiOn">'Control Panel'!$B$18</definedName>
    <definedName name="DebtStructure">'Control Panel'!$B$19</definedName>
    <definedName name="Use_LTV">'Control Panel'!$B$20</definedName>
    <definedName name="Use_LTC">'Control Panel'!$B$21</definedName>
    <definedName name="Use_DSCR">'Control Panel'!$B$22</definedName>
    <definedName name="Use_DY">'Control Panel'!$B$23</definedName>
    <definedName name="LoanRateType">'Control Panel'!$B$24</definedName>
    <definedName name="RetailLeaseStructure">'Control Panel'!$B$25</definedName>
    <definedName name="RecoveryMethod">'Control Panel'!$B$26</definedName>
    <definedName name="AdminFeeOn">'Control Panel'!$B$27</definedName>
    <definedName name="GrossUpOn">'Control Panel'!$B$28</definedName>
    <definedName name="ExitValMethod">'Control Panel'!$B$29</definedName>
    <definedName name="ExitNOIBasis">'Control Panel'!$B$30</definedName>
    <definedName name="TaxMethod">'Control Panel'!$B$31</definedName>
    <definedName name="AcqFeeOn">'Control Panel'!$B$32</definedName>
    <definedName name="AMFeeOn">'Control Panel'!$B$33</definedName>
    <definedName name="AMFeeBasis">'Control Panel'!$B$34</definedName>
    <definedName name="DispFeeOn">'Control Panel'!$B$35</definedName>
    <definedName name="GPCatchUpOn">'Control Panel'!$B$36</definedName>
    <definedName name="LP_Present">'Control Panel'!$B$37</definedName>
    <definedName name="Fund_Repairs">'Control Panel'!$B$40</definedName>
    <definedName name="Fund_Reno">'Control Panel'!$B$41</definedName>
    <definedName name="Fund_TILC">'Control Panel'!$B$42</definedName>
    <definedName name="Fund_Contingency">'Control Panel'!$B$43</definedName>
    <definedName name="ModelStatus">'Control Panel'!$B$46</definedName>
    <definedName name="InputPrice">Assumptions!$B$6</definedName>
    <definedName name="SolvedPrice">Assumptions!$B$7</definedName>
    <definedName name="PurchasePrice">Assumptions!$B$8</definedName>
    <definedName name="ClosingCostPct">Assumptions!$B$9</definedName>
    <definedName name="DispCostPct">Assumptions!$B$10</definedName>
    <definedName name="ExitCapBlended">Assumptions!$B$13</definedName>
    <definedName name="ExitCapMF">Assumptions!$B$14</definedName>
    <definedName name="ExitCapRetail">Assumptions!$B$15</definedName>
    <definedName name="MF_Vacancy">Assumptions!$B$18</definedName>
    <definedName name="MF_Concessions">Assumptions!$B$19</definedName>
    <definedName name="MF_BadDebt">Assumptions!$B$20</definedName>
    <definedName name="LTL_Months">Assumptions!$B$21</definedName>
    <definedName name="RenoPremium">Assumptions!$B$24</definedName>
    <definedName name="RenoPace">Assumptions!$B$25</definedName>
    <definedName name="RenoCostUnit">Assumptions!$B$26</definedName>
    <definedName name="RenoDowntime">Assumptions!$B$27</definedName>
    <definedName name="LeaseUpStartOcc">Assumptions!$B$28</definedName>
    <definedName name="StabilizedOcc">Assumptions!$B$29</definedName>
    <definedName name="LeaseUpAbsorption">Assumptions!$B$30</definedName>
    <definedName name="RetailGenVacancy">Assumptions!$B$33</definedName>
    <definedName name="RetailCreditLoss">Assumptions!$B$34</definedName>
    <definedName name="RetailRenewalProb">Assumptions!$B$35</definedName>
    <definedName name="RetailDowntime">Assumptions!$B$36</definedName>
    <definedName name="RenewalRentFactor">Assumptions!$B$37</definedName>
    <definedName name="NewLeaseTI">Assumptions!$B$38</definedName>
    <definedName name="RenewalTI">Assumptions!$B$39</definedName>
    <definedName name="LeasingCommissionPct">Assumptions!$B$40</definedName>
    <definedName name="AdminFeePct">Assumptions!$B$41</definedName>
    <definedName name="MgmtFeePct">Assumptions!$B$44</definedName>
    <definedName name="ReplReservePU">Assumptions!$B$45</definedName>
    <definedName name="MillRate">Assumptions!$B$48</definedName>
    <definedName name="AssessRatio">Assumptions!$B$49</definedName>
    <definedName name="TaxFlatGrowth">Assumptions!$B$50</definedName>
    <definedName name="BaseAnnualTax">Assumptions!$B$51</definedName>
    <definedName name="PILOTAnnualTax">Assumptions!$B$52</definedName>
    <definedName name="Vec_MFRent">Assumptions!$E$56:$O$56</definedName>
    <definedName name="Vec_RetailRent">Assumptions!$E$57:$O$57</definedName>
    <definedName name="Vec_OpEx">Assumptions!$E$58:$O$58</definedName>
    <definedName name="Vec_TILC">Assumptions!$E$59:$O$59</definedName>
    <definedName name="Vec_OtherInc">Assumptions!$E$60:$O$60</definedName>
    <definedName name="Cum_MFRent">Assumptions!$D$64:$O$64</definedName>
    <definedName name="Cum_RetailRent">Assumptions!$D$65:$O$65</definedName>
    <definedName name="Cum_OpEx">Assumptions!$D$66:$O$66</definedName>
    <definedName name="Cum_TILC">Assumptions!$D$67:$O$67</definedName>
    <definedName name="Cum_OtherInc">Assumptions!$D$68:$O$68</definedName>
    <definedName name="PeriodDateRow">Assumptions!$E$73</definedName>
    <definedName name="MF_TotalSF">'MF Revenue'!$C$94</definedName>
    <definedName name="MF_UnitCount">'MF Revenue'!$H$94</definedName>
    <definedName name="MF_EGI_Row">'MF Revenue'!$E$114</definedName>
    <definedName name="RecovMatrix">'Retail Revenue'!$A$7:$E$9</definedName>
    <definedName name="RecovCAM">'Retail Revenue'!$B$11</definedName>
    <definedName name="RecovTax">'Retail Revenue'!$B$12</definedName>
    <definedName name="RecovIns">'Retail Revenue'!$B$13</definedName>
    <definedName name="Retail_GLA">'Retail Revenue'!$B$23</definedName>
    <definedName name="Retail_SuiteCount">'Retail Revenue'!$C$23</definedName>
    <definedName name="RT_EGI_Row">'Retail Revenue'!$E$40</definedName>
    <definedName name="RT_TILC_Row">'Retail Revenue'!$E$41</definedName>
    <definedName name="OX_Tot_Row">OpEx!$E$19</definedName>
    <definedName name="OX_Resv_Row">OpEx!$E$18</definedName>
    <definedName name="PILOTSchedule">Taxes!$E$7:$O$7</definedName>
    <definedName name="TX_Monthly_Row">Taxes!$E$12</definedName>
    <definedName name="TotalCapBudget">CapEx!$B$11</definedName>
    <definedName name="EquityCapBudget">CapEx!$B$12</definedName>
    <definedName name="FinancedCapBudget">CapEx!$B$13</definedName>
    <definedName name="CX_FinDraw_Row">CapEx!$E$18</definedName>
    <definedName name="CX_Tot_Row">CapEx!$E$20</definedName>
    <definedName name="MaxLTV">Debt!$B$6</definedName>
    <definedName name="MaxLTC">Debt!$B$7</definedName>
    <definedName name="MinDSCR">Debt!$B$8</definedName>
    <definedName name="MinDebtYield">Debt!$B$9</definedName>
    <definedName name="FixedRate">Debt!$B$10</definedName>
    <definedName name="SOFR">Debt!$B$11</definedName>
    <definedName name="SpreadBps">Debt!$B$12</definedName>
    <definedName name="LoanRate">Debt!$B$13</definedName>
    <definedName name="IOMonths">Debt!$B$14</definedName>
    <definedName name="AmortYears">Debt!$B$15</definedName>
    <definedName name="FinanceCostPct">Debt!$B$16</definedName>
    <definedName name="DebtConstant">Debt!$B$17</definedName>
    <definedName name="MFLoan_MaxLTV">Debt!$B$20</definedName>
    <definedName name="MFLoan_MaxLTC">Debt!$B$21</definedName>
    <definedName name="MFLoan_MinDSCR">Debt!$B$22</definedName>
    <definedName name="MFLoan_MinDY">Debt!$B$23</definedName>
    <definedName name="MFLoan_RateType">Debt!$B$24</definedName>
    <definedName name="MFLoan_FixedRate">Debt!$B$25</definedName>
    <definedName name="MFLoan_SOFR">Debt!$B$26</definedName>
    <definedName name="MFLoan_Spread">Debt!$B$27</definedName>
    <definedName name="MFLoan_Rate">Debt!$B$28</definedName>
    <definedName name="MFLoan_IO">Debt!$B$29</definedName>
    <definedName name="MFLoan_Amort">Debt!$B$30</definedName>
    <definedName name="MFLoan_FinPct">Debt!$B$31</definedName>
    <definedName name="MFLoan_DebtConstant">Debt!$B$32</definedName>
    <definedName name="RTLoan_MaxLTV">Debt!$B$35</definedName>
    <definedName name="RTLoan_MaxLTC">Debt!$B$36</definedName>
    <definedName name="RTLoan_MinDSCR">Debt!$B$37</definedName>
    <definedName name="RTLoan_MinDY">Debt!$B$38</definedName>
    <definedName name="RTLoan_RateType">Debt!$B$39</definedName>
    <definedName name="RTLoan_FixedRate">Debt!$B$40</definedName>
    <definedName name="RTLoan_SOFR">Debt!$B$41</definedName>
    <definedName name="RTLoan_Spread">Debt!$B$42</definedName>
    <definedName name="RTLoan_Rate">Debt!$B$43</definedName>
    <definedName name="RTLoan_IO">Debt!$B$44</definedName>
    <definedName name="RTLoan_Amort">Debt!$B$45</definedName>
    <definedName name="RTLoan_FinPct">Debt!$B$46</definedName>
    <definedName name="RTLoan_DebtConstant">Debt!$B$47</definedName>
    <definedName name="GoingInNOI">Debt!$B$50</definedName>
    <definedName name="StabNOI">Debt!$B$51</definedName>
    <definedName name="GoingInNOI_MF">Debt!$B$52</definedName>
    <definedName name="StabNOI_MF">Debt!$B$53</definedName>
    <definedName name="GoingInNOI_Retail">Debt!$B$54</definedName>
    <definedName name="StabNOI_Retail">Debt!$B$55</definedName>
    <definedName name="Value_MF">Debt!$B$56</definedName>
    <definedName name="Value_Retail">Debt!$B$57</definedName>
    <definedName name="Cost_MF">Debt!$B$58</definedName>
    <definedName name="Cost_Retail">Debt!$B$59</definedName>
    <definedName name="Blend_LTV">Debt!$B$62</definedName>
    <definedName name="Blend_LTC">Debt!$B$63</definedName>
    <definedName name="Blend_DSCRcap">Debt!$B$64</definedName>
    <definedName name="Blend_DYcap">Debt!$B$65</definedName>
    <definedName name="BlendedLoan">Debt!$B$66</definedName>
    <definedName name="Blend_Binding">Debt!$B$67</definedName>
    <definedName name="MFLn_LTV">Debt!$B$69</definedName>
    <definedName name="MFLn_LTC">Debt!$B$70</definedName>
    <definedName name="MFLn_DSCRcap">Debt!$B$71</definedName>
    <definedName name="MFLn_DYcap">Debt!$B$72</definedName>
    <definedName name="MF_Loan">Debt!$B$73</definedName>
    <definedName name="MFLn_Binding">Debt!$B$74</definedName>
    <definedName name="RTLn_LTV">Debt!$B$76</definedName>
    <definedName name="RTLn_LTC">Debt!$B$77</definedName>
    <definedName name="RTLn_DSCRcap">Debt!$B$78</definedName>
    <definedName name="RTLn_DYcap">Debt!$B$79</definedName>
    <definedName name="RT_Loan">Debt!$B$80</definedName>
    <definedName name="RTLn_Binding">Debt!$B$81</definedName>
    <definedName name="LoanA_Amount">Debt!$B$84</definedName>
    <definedName name="LoanB_Amount">Debt!$B$85</definedName>
    <definedName name="LoanA_Rate">Debt!$B$86</definedName>
    <definedName name="LoanB_Rate">Debt!$B$87</definedName>
    <definedName name="LoanA_IO">Debt!$B$88</definedName>
    <definedName name="LoanB_IO">Debt!$B$89</definedName>
    <definedName name="LoanA_Amort">Debt!$B$90</definedName>
    <definedName name="LoanB_Amort">Debt!$B$91</definedName>
    <definedName name="PropertyLoan">Debt!$B$92</definedName>
    <definedName name="LoanAmount">Debt!$B$93</definedName>
    <definedName name="BindingConstraint">Debt!$B$94</definedName>
    <definedName name="FinancingCosts">Debt!$B$95</definedName>
    <definedName name="RefiMonth">Debt!$B$98</definedName>
    <definedName name="RefiCap">Debt!$B$99</definedName>
    <definedName name="RefiLTV">Debt!$B$100</definedName>
    <definedName name="RefiCostPct">Debt!$B$101</definedName>
    <definedName name="StabValue">Debt!$B$102</definedName>
    <definedName name="RefiLoan">Debt!$B$103</definedName>
    <definedName name="DB_DS_Row">Debt!$E$126</definedName>
    <definedName name="DB_Draw_Row">Debt!$E$127</definedName>
    <definedName name="DB_BalClose_Row">Debt!$E$125</definedName>
    <definedName name="DB_Event_Row">Debt!$E$128</definedName>
    <definedName name="DB_CashOut_Row">Debt!$E$130</definedName>
    <definedName name="MC_MFNOI_Row">'Monthly CF'!$E$13</definedName>
    <definedName name="MC_RTNOI_Row">'Monthly CF'!$E$14</definedName>
    <definedName name="MC_LCF_Row">'Monthly CF'!$E$24</definedName>
    <definedName name="MC_UCF_Row">'Monthly CF'!$E$25</definedName>
    <definedName name="MC_NOI_Row">'Monthly CF'!$E$12</definedName>
    <definedName name="MC_Date_Row">'Monthly CF'!$E$6</definedName>
    <definedName name="ExitNOI_Trailing">Assumptions!$B$80</definedName>
    <definedName name="ExitNOI_Forward">Assumptions!$B$81</definedName>
    <definedName name="ExitNOI">Assumptions!$B$82</definedName>
    <definedName name="MF_NOI_Share">Assumptions!$B$83</definedName>
    <definedName name="ExitGrossValue">Assumptions!$B$84</definedName>
    <definedName name="TotalCost">Assumptions!$B$85</definedName>
    <definedName name="YieldOnCost">Assumptions!$B$86</definedName>
    <definedName name="DevSpread">Assumptions!$B$87</definedName>
    <definedName name="GoingInCap">Assumptions!$B$88</definedName>
    <definedName name="StabCap">Assumptions!$B$89</definedName>
    <definedName name="InitialEquity">Assumptions!$B$90</definedName>
    <definedName name="LP_Split">Waterfall!$B$6</definedName>
    <definedName name="GP_Split">Waterfall!$B$7</definedName>
    <definedName name="GP_CoInvest">Waterfall!$B$8</definedName>
    <definedName name="PrefRate">Waterfall!$B$9</definedName>
    <definedName name="CatchUpPct">Waterfall!$B$10</definedName>
    <definedName name="ROCPrefOrder">Waterfall!$B$11</definedName>
    <definedName name="CarryTiers">Waterfall!$A$15:$C$18</definedName>
    <definedName name="AcqFeePct">Waterfall!$B$21</definedName>
    <definedName name="AMFeeRate">Waterfall!$B$22</definedName>
    <definedName name="DispFeePct">Waterfall!$B$23</definedName>
    <definedName name="AcqFee">Waterfall!$B$24</definedName>
    <definedName name="DispFee">Waterfall!$B$25</definedName>
    <definedName name="AMFeeBaseAmt">Waterfall!$B$26</definedName>
    <definedName name="AMFeeAnnual">Waterfall!$B$27</definedName>
    <definedName name="TotalLeveredCF">Waterfall!$B$30</definedName>
    <definedName name="LeveredIRR">Waterfall!$B$31</definedName>
    <definedName name="EquityMultiple">Waterfall!$B$32</definedName>
    <definedName name="GPPromoteRow">Waterfall!$E$51</definedName>
    <definedName name="LPDist">Waterfall!$B$64</definedName>
    <definedName name="GPDist">Waterfall!$B$65</definedName>
    <definedName name="GPPromote">Waterfall!$B$66</definedName>
    <definedName name="LP_IRR">Waterfall!$B$67</definedName>
    <definedName name="GP_IRR">Waterfall!$B$68</definedName>
    <definedName name="LP_EM">Waterfall!$B$69</definedName>
    <definedName name="SponsorIRR">Waterfall!$B$70</definedName>
    <definedName name="WF_Check">Waterfall!$B$71</definedName>
    <definedName name="UsesTotal">Summary!$B$21</definedName>
    <definedName name="SourcesTotal">Summary!$B$26</definedName>
    <definedName name="UnleveredIRR">Summary!$B$29</definedName>
    <definedName name="Chk_SU">Summary!$B$48</definedName>
    <definedName name="Chk_WF">Summary!$B$49</definedName>
    <definedName name="Chk_Loan">Summary!$B$50</definedName>
    <definedName name="Sens_LIRR">Sensitivities!$B$5</definedName>
    <definedName name="Sens_EM">Sensitivities!$B$6</definedName>
    <definedName name="_xlnm.Print_Area" localSheetId="12">'IC One-Pager'!$A$1:$D$29</definedName>
  </definedNames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9">
    <numFmt numFmtId="164" formatCode="mmm-yyyy"/>
    <numFmt numFmtId="165" formatCode="0.0"/>
    <numFmt numFmtId="166" formatCode="0.0%"/>
    <numFmt numFmtId="167" formatCode="$#,##0;($#,##0)"/>
    <numFmt numFmtId="168" formatCode="$#,##0.00"/>
    <numFmt numFmtId="169" formatCode="0.00&quot;x&quot;"/>
    <numFmt numFmtId="170" formatCode="0&quot; bps&quot;"/>
    <numFmt numFmtId="171" formatCode="0&quot; mo&quot;"/>
    <numFmt numFmtId="172" formatCode="0.0000"/>
  </numFmts>
  <fonts count="9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color rgb="FF008000"/>
    </font>
    <font>
      <b val="1"/>
      <color rgb="FF008000"/>
    </font>
    <font>
      <color rgb="FF000000"/>
    </font>
    <font>
      <color rgb="FF0000FF"/>
    </font>
    <font>
      <i val="1"/>
      <color rgb="FF808080"/>
      <sz val="9"/>
    </font>
    <font>
      <b val="1"/>
      <color rgb="FF00000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3" fontId="5" fillId="0" borderId="0" pivotButton="0" quotePrefix="0" xfId="0"/>
    <xf numFmtId="165" fontId="5" fillId="0" borderId="0" pivotButton="0" quotePrefix="0" xfId="0"/>
    <xf numFmtId="0" fontId="6" fillId="5" borderId="0" pivotButton="0" quotePrefix="0" xfId="0"/>
    <xf numFmtId="0" fontId="7" fillId="0" borderId="0" pivotButton="0" quotePrefix="0" xfId="0"/>
    <xf numFmtId="166" fontId="6" fillId="5" borderId="0" pivotButton="0" quotePrefix="0" xfId="0"/>
    <xf numFmtId="0" fontId="8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7" fontId="5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7" fontId="6" fillId="4" borderId="0" pivotButton="0" quotePrefix="0" xfId="0"/>
    <xf numFmtId="166" fontId="6" fillId="4" borderId="0" pivotButton="0" quotePrefix="0" xfId="0"/>
    <xf numFmtId="10" fontId="6" fillId="4" borderId="0" pivotButton="0" quotePrefix="0" xfId="0"/>
    <xf numFmtId="171" fontId="6" fillId="4" borderId="0" pivotButton="0" quotePrefix="0" xfId="0"/>
    <xf numFmtId="3" fontId="6" fillId="4" borderId="0" pivotButton="0" quotePrefix="0" xfId="0"/>
    <xf numFmtId="168" fontId="6" fillId="4" borderId="0" pivotButton="0" quotePrefix="0" xfId="0"/>
    <xf numFmtId="0" fontId="2" fillId="0" borderId="0" applyAlignment="1" pivotButton="0" quotePrefix="0" xfId="0">
      <alignment horizontal="center" vertical="center"/>
    </xf>
    <xf numFmtId="172" fontId="5" fillId="0" borderId="0" pivotButton="0" quotePrefix="0" xfId="0"/>
    <xf numFmtId="164" fontId="5" fillId="0" borderId="0" pivotButton="0" quotePrefix="0" xfId="0"/>
    <xf numFmtId="166" fontId="3" fillId="0" borderId="0" pivotButton="0" quotePrefix="0" xfId="0"/>
    <xf numFmtId="10" fontId="5" fillId="0" borderId="0" pivotButton="0" quotePrefix="0" xfId="0"/>
    <xf numFmtId="17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167" fontId="8" fillId="0" borderId="0" pivotButton="0" quotePrefix="0" xfId="0"/>
    <xf numFmtId="169" fontId="6" fillId="4" borderId="0" pivotButton="0" quotePrefix="0" xfId="0"/>
    <xf numFmtId="170" fontId="6" fillId="4" borderId="0" pivotButton="0" quotePrefix="0" xfId="0"/>
    <xf numFmtId="171" fontId="5" fillId="0" borderId="0" pivotButton="0" quotePrefix="0" xfId="0"/>
    <xf numFmtId="166" fontId="5" fillId="0" borderId="0" pivotButton="0" quotePrefix="0" xfId="0"/>
    <xf numFmtId="169" fontId="5" fillId="0" borderId="0" pivotButton="0" quotePrefix="0" xfId="0"/>
    <xf numFmtId="166" fontId="6" fillId="4" borderId="0" applyAlignment="1" pivotButton="0" quotePrefix="0" xfId="0">
      <alignment horizontal="center" vertical="center"/>
    </xf>
    <xf numFmtId="10" fontId="6" fillId="4" borderId="0" applyAlignment="1" pivotButton="0" quotePrefix="0" xfId="0">
      <alignment horizontal="center" vertical="center"/>
    </xf>
    <xf numFmtId="171" fontId="3" fillId="0" borderId="0" pivotButton="0" quotePrefix="0" xfId="0"/>
    <xf numFmtId="165" fontId="5" fillId="0" borderId="0" pivotButton="0" quotePrefix="0" xfId="0"/>
    <xf numFmtId="166" fontId="6" fillId="5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7" fontId="5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7" fontId="6" fillId="4" borderId="0" pivotButton="0" quotePrefix="0" xfId="0"/>
    <xf numFmtId="166" fontId="6" fillId="4" borderId="0" pivotButton="0" quotePrefix="0" xfId="0"/>
    <xf numFmtId="171" fontId="6" fillId="4" borderId="0" pivotButton="0" quotePrefix="0" xfId="0"/>
    <xf numFmtId="168" fontId="6" fillId="4" borderId="0" pivotButton="0" quotePrefix="0" xfId="0"/>
    <xf numFmtId="172" fontId="5" fillId="0" borderId="0" pivotButton="0" quotePrefix="0" xfId="0"/>
    <xf numFmtId="166" fontId="3" fillId="0" borderId="0" pivotButton="0" quotePrefix="0" xfId="0"/>
    <xf numFmtId="170" fontId="5" fillId="0" borderId="0" pivotButton="0" quotePrefix="0" xfId="0"/>
    <xf numFmtId="167" fontId="8" fillId="0" borderId="0" pivotButton="0" quotePrefix="0" xfId="0"/>
    <xf numFmtId="169" fontId="6" fillId="4" borderId="0" pivotButton="0" quotePrefix="0" xfId="0"/>
    <xf numFmtId="170" fontId="6" fillId="4" borderId="0" pivotButton="0" quotePrefix="0" xfId="0"/>
    <xf numFmtId="171" fontId="5" fillId="0" borderId="0" pivotButton="0" quotePrefix="0" xfId="0"/>
    <xf numFmtId="166" fontId="5" fillId="0" borderId="0" pivotButton="0" quotePrefix="0" xfId="0"/>
    <xf numFmtId="169" fontId="5" fillId="0" borderId="0" pivotButton="0" quotePrefix="0" xfId="0"/>
    <xf numFmtId="166" fontId="6" fillId="4" borderId="0" applyAlignment="1" pivotButton="0" quotePrefix="0" xfId="0">
      <alignment horizontal="center" vertical="center"/>
    </xf>
    <xf numFmtId="17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40" customWidth="1" min="3" max="3"/>
    <col width="16" customWidth="1" min="4" max="4"/>
  </cols>
  <sheetData>
    <row r="1">
      <c r="A1" s="1" t="inlineStr">
        <is>
          <t>CONTROL PANEL — Master Toggles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Header / identity</t>
        </is>
      </c>
      <c r="B5" s="9" t="n"/>
      <c r="C5" s="9" t="n"/>
      <c r="D5" s="9" t="n"/>
    </row>
    <row r="6">
      <c r="A6" s="10" t="inlineStr">
        <is>
          <t>Asset Name</t>
        </is>
      </c>
      <c r="B6" s="11" t="inlineStr">
        <is>
          <t>Maplewood Commons</t>
        </is>
      </c>
    </row>
    <row r="7">
      <c r="A7" s="10" t="inlineStr">
        <is>
          <t>Run Date</t>
        </is>
      </c>
      <c r="B7" s="12" t="n">
        <v>46189</v>
      </c>
    </row>
    <row r="8">
      <c r="A8" s="10" t="inlineStr">
        <is>
          <t>Acquisition Date</t>
        </is>
      </c>
      <c r="B8" s="12" t="n">
        <v>46204</v>
      </c>
    </row>
    <row r="9">
      <c r="A9" s="10" t="inlineStr">
        <is>
          <t>Disposition Date</t>
        </is>
      </c>
      <c r="B9" s="12" t="n">
        <v>48030</v>
      </c>
    </row>
    <row r="10">
      <c r="A10" s="10" t="inlineStr">
        <is>
          <t>Hold (months)</t>
        </is>
      </c>
      <c r="B10" s="13">
        <f>(YEAR(DispositionDate)-YEAR(AcquisitionDate))*12+MONTH(DispositionDate)-MONTH(AcquisitionDate)</f>
        <v/>
      </c>
    </row>
    <row r="11">
      <c r="A11" s="10" t="inlineStr">
        <is>
          <t>Hold (years)</t>
        </is>
      </c>
      <c r="B11" s="48">
        <f>HoldMonths/12</f>
        <v/>
      </c>
    </row>
    <row r="13">
      <c r="A13" s="8" t="inlineStr">
        <is>
          <t>Master toggles (referenced by name everywhere)</t>
        </is>
      </c>
      <c r="B13" s="9" t="n"/>
      <c r="C13" s="9" t="n"/>
      <c r="D13" s="9" t="n"/>
    </row>
    <row r="14">
      <c r="A14" s="10" t="inlineStr">
        <is>
          <t>1. Business Plan Mode</t>
        </is>
      </c>
      <c r="B14" s="15" t="inlineStr">
        <is>
          <t>Value-Add</t>
        </is>
      </c>
      <c r="C14" s="16" t="inlineStr">
        <is>
          <t>Stabilized | Value-Add | Core-Plus Lease-Up</t>
        </is>
      </c>
    </row>
    <row r="15">
      <c r="A15" s="10" t="inlineStr">
        <is>
          <t>3. Price Mode</t>
        </is>
      </c>
      <c r="B15" s="15" t="inlineStr">
        <is>
          <t>Input Price</t>
        </is>
      </c>
      <c r="C15" s="16" t="inlineStr">
        <is>
          <t>Input Price | Solve for Target Return</t>
        </is>
      </c>
    </row>
    <row r="16">
      <c r="A16" s="10" t="inlineStr">
        <is>
          <t>4. Target Return Basis</t>
        </is>
      </c>
      <c r="B16" s="15" t="inlineStr">
        <is>
          <t>Levered IRR</t>
        </is>
      </c>
      <c r="C16" s="16" t="inlineStr">
        <is>
          <t>Levered IRR | Unlevered IRR | Untrended YoC</t>
        </is>
      </c>
    </row>
    <row r="17">
      <c r="A17" s="10" t="inlineStr">
        <is>
          <t>4b. Target Return Value</t>
        </is>
      </c>
      <c r="B17" s="49" t="n">
        <v>0.15</v>
      </c>
      <c r="C17" s="16" t="inlineStr">
        <is>
          <t>target metric value (e.g. 0.15 = 15% IRR)</t>
        </is>
      </c>
    </row>
    <row r="18">
      <c r="A18" s="10" t="inlineStr">
        <is>
          <t>5. Refi</t>
        </is>
      </c>
      <c r="B18" s="15" t="inlineStr">
        <is>
          <t>Off</t>
        </is>
      </c>
      <c r="C18" s="16" t="inlineStr">
        <is>
          <t>On | Off</t>
        </is>
      </c>
    </row>
    <row r="19">
      <c r="A19" s="10" t="inlineStr">
        <is>
          <t>6. Debt Structure</t>
        </is>
      </c>
      <c r="B19" s="15" t="inlineStr">
        <is>
          <t>Single Blended Loan</t>
        </is>
      </c>
      <c r="C19" s="16" t="inlineStr">
        <is>
          <t>Single Blended Loan | Separate MF + Retail Loans</t>
        </is>
      </c>
    </row>
    <row r="20">
      <c r="A20" s="10" t="inlineStr">
        <is>
          <t>7a. Sizing: LTV constraint</t>
        </is>
      </c>
      <c r="B20" s="15" t="inlineStr">
        <is>
          <t>On</t>
        </is>
      </c>
      <c r="C20" s="16" t="inlineStr">
        <is>
          <t>On | Off</t>
        </is>
      </c>
    </row>
    <row r="21">
      <c r="A21" s="10" t="inlineStr">
        <is>
          <t>7b. Sizing: LTC constraint</t>
        </is>
      </c>
      <c r="B21" s="15" t="inlineStr">
        <is>
          <t>On</t>
        </is>
      </c>
      <c r="C21" s="16" t="inlineStr">
        <is>
          <t>On | Off</t>
        </is>
      </c>
    </row>
    <row r="22">
      <c r="A22" s="10" t="inlineStr">
        <is>
          <t>7c. Sizing: DSCR constraint</t>
        </is>
      </c>
      <c r="B22" s="15" t="inlineStr">
        <is>
          <t>On</t>
        </is>
      </c>
      <c r="C22" s="16" t="inlineStr">
        <is>
          <t>On | Off</t>
        </is>
      </c>
    </row>
    <row r="23">
      <c r="A23" s="10" t="inlineStr">
        <is>
          <t>7d. Sizing: Debt Yield constraint</t>
        </is>
      </c>
      <c r="B23" s="15" t="inlineStr">
        <is>
          <t>On</t>
        </is>
      </c>
      <c r="C23" s="16" t="inlineStr">
        <is>
          <t>On | Off</t>
        </is>
      </c>
    </row>
    <row r="24">
      <c r="A24" s="10" t="inlineStr">
        <is>
          <t>8. Loan Rate Type</t>
        </is>
      </c>
      <c r="B24" s="15" t="inlineStr">
        <is>
          <t>Fixed</t>
        </is>
      </c>
      <c r="C24" s="16" t="inlineStr">
        <is>
          <t>Fixed | Floating (SOFR + spread)</t>
        </is>
      </c>
    </row>
    <row r="25">
      <c r="A25" s="10" t="inlineStr">
        <is>
          <t>9. Retail Lease Structure (global)</t>
        </is>
      </c>
      <c r="B25" s="15" t="inlineStr">
        <is>
          <t>NNN</t>
        </is>
      </c>
      <c r="C25" s="16" t="inlineStr">
        <is>
          <t>NNN | Gross | Modified Gross</t>
        </is>
      </c>
    </row>
    <row r="26">
      <c r="A26" s="10" t="inlineStr">
        <is>
          <t>10. Recovery Method</t>
        </is>
      </c>
      <c r="B26" s="15" t="inlineStr">
        <is>
          <t>Pro-rata</t>
        </is>
      </c>
      <c r="C26" s="16" t="inlineStr">
        <is>
          <t>Pro-rata</t>
        </is>
      </c>
    </row>
    <row r="27">
      <c r="A27" s="10" t="inlineStr">
        <is>
          <t>10a. Admin Fee</t>
        </is>
      </c>
      <c r="B27" s="15" t="inlineStr">
        <is>
          <t>On</t>
        </is>
      </c>
      <c r="C27" s="16" t="inlineStr">
        <is>
          <t>On | Off</t>
        </is>
      </c>
    </row>
    <row r="28">
      <c r="A28" s="10" t="inlineStr">
        <is>
          <t>10b. Gross-Up</t>
        </is>
      </c>
      <c r="B28" s="15" t="inlineStr">
        <is>
          <t>On</t>
        </is>
      </c>
      <c r="C28" s="16" t="inlineStr">
        <is>
          <t>On | Off</t>
        </is>
      </c>
    </row>
    <row r="29">
      <c r="A29" s="10" t="inlineStr">
        <is>
          <t>11. Exit Valuation Method</t>
        </is>
      </c>
      <c r="B29" s="15" t="inlineStr">
        <is>
          <t>Blended Cap on Total NOI</t>
        </is>
      </c>
      <c r="C29" s="16" t="inlineStr">
        <is>
          <t>Blended Cap on Total NOI | Component Caps</t>
        </is>
      </c>
    </row>
    <row r="30">
      <c r="A30" s="10" t="inlineStr">
        <is>
          <t>12. Exit NOI Basis</t>
        </is>
      </c>
      <c r="B30" s="15" t="inlineStr">
        <is>
          <t>Forward 12-mo</t>
        </is>
      </c>
      <c r="C30" s="16" t="inlineStr">
        <is>
          <t>Trailing 12-mo | Forward 12-mo</t>
        </is>
      </c>
    </row>
    <row r="31">
      <c r="A31" s="10" t="inlineStr">
        <is>
          <t>13. Tax Method</t>
        </is>
      </c>
      <c r="B31" s="15" t="inlineStr">
        <is>
          <t>Reassessment-on-Sale</t>
        </is>
      </c>
      <c r="C31" s="16" t="inlineStr">
        <is>
          <t>Flat Growth | Reassessment-on-Sale | PILOT / Abatement</t>
        </is>
      </c>
    </row>
    <row r="32">
      <c r="A32" s="10" t="inlineStr">
        <is>
          <t>15a. Acquisition Fee</t>
        </is>
      </c>
      <c r="B32" s="15" t="inlineStr">
        <is>
          <t>On</t>
        </is>
      </c>
      <c r="C32" s="16" t="inlineStr">
        <is>
          <t>On | Off</t>
        </is>
      </c>
    </row>
    <row r="33">
      <c r="A33" s="10" t="inlineStr">
        <is>
          <t>15b. Asset Management Fee</t>
        </is>
      </c>
      <c r="B33" s="15" t="inlineStr">
        <is>
          <t>On</t>
        </is>
      </c>
      <c r="C33" s="16" t="inlineStr">
        <is>
          <t>On | Off</t>
        </is>
      </c>
    </row>
    <row r="34">
      <c r="A34" s="10" t="inlineStr">
        <is>
          <t>15c. AM Fee Basis</t>
        </is>
      </c>
      <c r="B34" s="15" t="inlineStr">
        <is>
          <t>% of Equity</t>
        </is>
      </c>
      <c r="C34" s="16" t="inlineStr">
        <is>
          <t>% of Equity | % of Cost | % of NOI</t>
        </is>
      </c>
    </row>
    <row r="35">
      <c r="A35" s="10" t="inlineStr">
        <is>
          <t>15d. Disposition Fee</t>
        </is>
      </c>
      <c r="B35" s="15" t="inlineStr">
        <is>
          <t>On</t>
        </is>
      </c>
      <c r="C35" s="16" t="inlineStr">
        <is>
          <t>On | Off</t>
        </is>
      </c>
    </row>
    <row r="36">
      <c r="A36" s="10" t="inlineStr">
        <is>
          <t>16. GP Catch-Up</t>
        </is>
      </c>
      <c r="B36" s="15" t="inlineStr">
        <is>
          <t>On</t>
        </is>
      </c>
      <c r="C36" s="16" t="inlineStr">
        <is>
          <t>On | Off</t>
        </is>
      </c>
    </row>
    <row r="37">
      <c r="A37" s="10" t="inlineStr">
        <is>
          <t>17. LP Present</t>
        </is>
      </c>
      <c r="B37" s="15" t="inlineStr">
        <is>
          <t>Yes</t>
        </is>
      </c>
      <c r="C37" s="16" t="inlineStr">
        <is>
          <t>Yes | No</t>
        </is>
      </c>
    </row>
    <row r="39">
      <c r="A39" s="8" t="inlineStr">
        <is>
          <t>Capital budget funding (per bucket): Equity | Financed</t>
        </is>
      </c>
      <c r="B39" s="9" t="n"/>
      <c r="C39" s="9" t="n"/>
      <c r="D39" s="9" t="n"/>
    </row>
    <row r="40">
      <c r="A40" s="10" t="inlineStr">
        <is>
          <t>14a. Immediate/Deferred Repairs funding</t>
        </is>
      </c>
      <c r="B40" s="15" t="inlineStr">
        <is>
          <t>Financed</t>
        </is>
      </c>
      <c r="C40" s="16" t="inlineStr">
        <is>
          <t>Equity | Financed</t>
        </is>
      </c>
    </row>
    <row r="41">
      <c r="A41" s="10" t="inlineStr">
        <is>
          <t>14b. Value-Add Unit Renovation funding</t>
        </is>
      </c>
      <c r="B41" s="15" t="inlineStr">
        <is>
          <t>Financed</t>
        </is>
      </c>
      <c r="C41" s="16" t="inlineStr">
        <is>
          <t>Equity | Financed</t>
        </is>
      </c>
    </row>
    <row r="42">
      <c r="A42" s="10" t="inlineStr">
        <is>
          <t>14c. Retail TI/LC reserve funding</t>
        </is>
      </c>
      <c r="B42" s="15" t="inlineStr">
        <is>
          <t>Financed</t>
        </is>
      </c>
      <c r="C42" s="16" t="inlineStr">
        <is>
          <t>Equity | Financed</t>
        </is>
      </c>
    </row>
    <row r="43">
      <c r="A43" s="10" t="inlineStr">
        <is>
          <t>14d. Contingency funding</t>
        </is>
      </c>
      <c r="B43" s="15" t="inlineStr">
        <is>
          <t>Equity</t>
        </is>
      </c>
      <c r="C43" s="16" t="inlineStr">
        <is>
          <t>Equity | Financed</t>
        </is>
      </c>
    </row>
    <row r="45">
      <c r="A45" s="8" t="inlineStr">
        <is>
          <t>Model status (red on any failed check)</t>
        </is>
      </c>
      <c r="B45" s="9" t="n"/>
      <c r="C45" s="9" t="n"/>
      <c r="D45" s="9" t="n"/>
    </row>
    <row r="46">
      <c r="A46" s="3" t="inlineStr">
        <is>
          <t>Model Status</t>
        </is>
      </c>
      <c r="B46" s="18">
        <f>IF(Summary!$B$3=TRUE,"OK","CHECK FAILED")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SUMMARY / RETURNS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10" t="inlineStr">
        <is>
          <t>All-checks-pass flag</t>
        </is>
      </c>
      <c r="B3" s="18">
        <f>AND(ABS(SourcesTotal-UsesTotal)&lt;1,ABS(WF_Check-TotalLeveredCF)&lt;MAX(1,ABS(TotalLeveredCF))*0.001,LoanAmount&gt;=0)</f>
        <v/>
      </c>
    </row>
    <row r="5">
      <c r="A5" s="8" t="inlineStr">
        <is>
          <t>Deal snapshot</t>
        </is>
      </c>
      <c r="B5" s="9" t="n"/>
      <c r="C5" s="9" t="n"/>
      <c r="D5" s="9" t="n"/>
    </row>
    <row r="6">
      <c r="A6" s="10" t="inlineStr">
        <is>
          <t>Purchase price ($)</t>
        </is>
      </c>
      <c r="B6" s="50">
        <f>PurchasePrice</f>
        <v/>
      </c>
    </row>
    <row r="7">
      <c r="A7" s="10" t="inlineStr">
        <is>
          <t>$/unit</t>
        </is>
      </c>
      <c r="B7" s="50">
        <f>PurchasePrice/MF_UnitCount</f>
        <v/>
      </c>
    </row>
    <row r="8">
      <c r="A8" s="10" t="inlineStr">
        <is>
          <t>$/SF (total)</t>
        </is>
      </c>
      <c r="B8" s="51">
        <f>PurchasePrice/(MF_TotalSF+Retail_GLA)</f>
        <v/>
      </c>
    </row>
    <row r="9">
      <c r="A9" s="10" t="inlineStr">
        <is>
          <t>MF units</t>
        </is>
      </c>
      <c r="B9" s="6">
        <f>MF_UnitCount</f>
        <v/>
      </c>
    </row>
    <row r="10">
      <c r="A10" s="10" t="inlineStr">
        <is>
          <t>Retail GLA (SF)</t>
        </is>
      </c>
      <c r="B10" s="6">
        <f>Retail_GLA</f>
        <v/>
      </c>
    </row>
    <row r="11">
      <c r="A11" s="10" t="inlineStr">
        <is>
          <t>Going-in cap (%)</t>
        </is>
      </c>
      <c r="B11" s="21">
        <f>GoingInCap</f>
        <v/>
      </c>
    </row>
    <row r="12">
      <c r="A12" s="10" t="inlineStr">
        <is>
          <t>Stabilized cap (%)</t>
        </is>
      </c>
      <c r="B12" s="21">
        <f>StabCap</f>
        <v/>
      </c>
    </row>
    <row r="13">
      <c r="A13" s="10" t="inlineStr">
        <is>
          <t>Business plan</t>
        </is>
      </c>
      <c r="B13" s="4">
        <f>BusinessPlanMode</f>
        <v/>
      </c>
    </row>
    <row r="15">
      <c r="A15" s="8" t="inlineStr">
        <is>
          <t>Sources &amp; Uses</t>
        </is>
      </c>
      <c r="B15" s="9" t="n"/>
      <c r="C15" s="9" t="n"/>
      <c r="D15" s="9" t="n"/>
    </row>
    <row r="16">
      <c r="A16" s="3" t="inlineStr">
        <is>
          <t>USES</t>
        </is>
      </c>
    </row>
    <row r="17">
      <c r="A17" s="10" t="inlineStr">
        <is>
          <t>Purchase price</t>
        </is>
      </c>
      <c r="B17" s="50">
        <f>PurchasePrice</f>
        <v/>
      </c>
    </row>
    <row r="18">
      <c r="A18" s="10" t="inlineStr">
        <is>
          <t>Closing / transaction costs</t>
        </is>
      </c>
      <c r="B18" s="50">
        <f>PurchasePrice*ClosingCostPct</f>
        <v/>
      </c>
    </row>
    <row r="19">
      <c r="A19" s="10" t="inlineStr">
        <is>
          <t>Capital budget</t>
        </is>
      </c>
      <c r="B19" s="50">
        <f>TotalCapBudget</f>
        <v/>
      </c>
    </row>
    <row r="20">
      <c r="A20" s="10" t="inlineStr">
        <is>
          <t>Financing costs</t>
        </is>
      </c>
      <c r="B20" s="50">
        <f>FinancingCosts</f>
        <v/>
      </c>
    </row>
    <row r="21">
      <c r="A21" s="3" t="inlineStr">
        <is>
          <t>Total uses</t>
        </is>
      </c>
      <c r="B21" s="52">
        <f>SUM(B17:B20)</f>
        <v/>
      </c>
    </row>
    <row r="23">
      <c r="A23" s="3" t="inlineStr">
        <is>
          <t>SOURCES</t>
        </is>
      </c>
    </row>
    <row r="24">
      <c r="A24" s="10" t="inlineStr">
        <is>
          <t>Loan proceeds</t>
        </is>
      </c>
      <c r="B24" s="50">
        <f>LoanAmount</f>
        <v/>
      </c>
    </row>
    <row r="25">
      <c r="A25" s="10" t="inlineStr">
        <is>
          <t>Equity</t>
        </is>
      </c>
      <c r="B25" s="50">
        <f>InitialEquity</f>
        <v/>
      </c>
    </row>
    <row r="26">
      <c r="A26" s="3" t="inlineStr">
        <is>
          <t>Total sources</t>
        </is>
      </c>
      <c r="B26" s="52">
        <f>SUM(B24:B25)</f>
        <v/>
      </c>
    </row>
    <row r="28">
      <c r="A28" s="8" t="inlineStr">
        <is>
          <t>Returns</t>
        </is>
      </c>
      <c r="B28" s="9" t="n"/>
      <c r="C28" s="9" t="n"/>
      <c r="D28" s="9" t="n"/>
    </row>
    <row r="29">
      <c r="A29" s="10" t="inlineStr">
        <is>
          <t>Unlevered IRR (%)</t>
        </is>
      </c>
      <c r="B29" s="21">
        <f>XIRR('Monthly CF'!E$25:DT$25,'Monthly CF'!E$6:DT$6)</f>
        <v/>
      </c>
    </row>
    <row r="30">
      <c r="A30" s="10" t="inlineStr">
        <is>
          <t>Levered IRR (%)</t>
        </is>
      </c>
      <c r="B30" s="21">
        <f>LeveredIRR</f>
        <v/>
      </c>
    </row>
    <row r="31">
      <c r="A31" s="10" t="inlineStr">
        <is>
          <t>Equity multiple (x)</t>
        </is>
      </c>
      <c r="B31" s="53">
        <f>EquityMultiple</f>
        <v/>
      </c>
    </row>
    <row r="32">
      <c r="A32" s="10" t="inlineStr">
        <is>
          <t>Yield-on-cost (%)</t>
        </is>
      </c>
      <c r="B32" s="21">
        <f>YieldOnCost</f>
        <v/>
      </c>
    </row>
    <row r="33">
      <c r="A33" s="10" t="inlineStr">
        <is>
          <t>Exit cap (blended) (%)</t>
        </is>
      </c>
      <c r="B33" s="21">
        <f>ExitCapBlended</f>
        <v/>
      </c>
    </row>
    <row r="34">
      <c r="A34" s="10" t="inlineStr">
        <is>
          <t>Development spread (bps)</t>
        </is>
      </c>
      <c r="B34" s="54">
        <f>DevSpread</f>
        <v/>
      </c>
    </row>
    <row r="35">
      <c r="A35" s="10" t="inlineStr">
        <is>
          <t>Loan amount ($)</t>
        </is>
      </c>
      <c r="B35" s="50">
        <f>LoanAmount</f>
        <v/>
      </c>
    </row>
    <row r="36">
      <c r="A36" s="10" t="inlineStr">
        <is>
          <t>Binding constraint</t>
        </is>
      </c>
      <c r="B36" s="4">
        <f>BindingConstraint</f>
        <v/>
      </c>
    </row>
    <row r="37">
      <c r="A37" s="10" t="inlineStr">
        <is>
          <t>Initial equity ($)</t>
        </is>
      </c>
      <c r="B37" s="50">
        <f>InitialEquity</f>
        <v/>
      </c>
    </row>
    <row r="39">
      <c r="A39" s="8" t="inlineStr">
        <is>
          <t>Partner returns (waterfall)</t>
        </is>
      </c>
      <c r="B39" s="9" t="n"/>
      <c r="C39" s="9" t="n"/>
      <c r="D39" s="9" t="n"/>
    </row>
    <row r="40">
      <c r="A40" s="10" t="inlineStr">
        <is>
          <t>LP IRR (%)</t>
        </is>
      </c>
      <c r="B40" s="21">
        <f>LP_IRR</f>
        <v/>
      </c>
    </row>
    <row r="41">
      <c r="A41" s="10" t="inlineStr">
        <is>
          <t>GP IRR (%)</t>
        </is>
      </c>
      <c r="B41" s="21">
        <f>GP_IRR</f>
        <v/>
      </c>
    </row>
    <row r="42">
      <c r="A42" s="10" t="inlineStr">
        <is>
          <t>LP equity multiple (x)</t>
        </is>
      </c>
      <c r="B42" s="53">
        <f>LP_EM</f>
        <v/>
      </c>
    </row>
    <row r="43">
      <c r="A43" s="10" t="inlineStr">
        <is>
          <t>GP promote ($)</t>
        </is>
      </c>
      <c r="B43" s="50">
        <f>GPPromote</f>
        <v/>
      </c>
    </row>
    <row r="44">
      <c r="A44" s="10" t="inlineStr">
        <is>
          <t>LP distributions ($)</t>
        </is>
      </c>
      <c r="B44" s="50">
        <f>LPDist</f>
        <v/>
      </c>
    </row>
    <row r="45">
      <c r="A45" s="10" t="inlineStr">
        <is>
          <t>GP distributions ($)</t>
        </is>
      </c>
      <c r="B45" s="50">
        <f>GPDist</f>
        <v/>
      </c>
    </row>
    <row r="47">
      <c r="A47" s="8" t="inlineStr">
        <is>
          <t>Acceptance checks</t>
        </is>
      </c>
      <c r="B47" s="9" t="n"/>
      <c r="C47" s="9" t="n"/>
      <c r="D47" s="9" t="n"/>
    </row>
    <row r="48">
      <c r="A48" s="10" t="inlineStr">
        <is>
          <t>Sources = Uses?</t>
        </is>
      </c>
      <c r="B48" s="4">
        <f>ABS(SourcesTotal-UsesTotal)&lt;1</f>
        <v/>
      </c>
    </row>
    <row r="49">
      <c r="A49" s="10" t="inlineStr">
        <is>
          <t>Waterfall ties to levered CF?</t>
        </is>
      </c>
      <c r="B49" s="4">
        <f>ABS(WF_Check-TotalLeveredCF)&lt;MAX(1,ABS(TotalLeveredCF))*0.001</f>
        <v/>
      </c>
    </row>
    <row r="50">
      <c r="A50" s="10" t="inlineStr">
        <is>
          <t>Loan non-negative?</t>
        </is>
      </c>
      <c r="B50" s="4">
        <f>LoanAmount&gt;=0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9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ASSUMPTIONS — Global Drivers &amp; Growth Block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Pricing &amp; cost</t>
        </is>
      </c>
      <c r="B5" s="9" t="n"/>
      <c r="C5" s="9" t="n"/>
      <c r="D5" s="9" t="n"/>
    </row>
    <row r="6">
      <c r="A6" s="10" t="inlineStr">
        <is>
          <t>Input Purchase Price ($)</t>
        </is>
      </c>
      <c r="B6" s="55" t="n">
        <v>48000000</v>
      </c>
    </row>
    <row r="7">
      <c r="A7" s="10" t="inlineStr">
        <is>
          <t>Solved Max-Bid Price ($) [Python binary search]</t>
        </is>
      </c>
      <c r="B7" s="55" t="n">
        <v>48000000</v>
      </c>
    </row>
    <row r="8">
      <c r="A8" s="10" t="inlineStr">
        <is>
          <t>Active Purchase Price ($)</t>
        </is>
      </c>
      <c r="B8" s="52">
        <f>IF(PriceMode="Solve for Target Return",SolvedPrice,InputPrice)</f>
        <v/>
      </c>
    </row>
    <row r="9">
      <c r="A9" s="10" t="inlineStr">
        <is>
          <t>Closing / transaction cost (% of price)</t>
        </is>
      </c>
      <c r="B9" s="56" t="n">
        <v>0.018</v>
      </c>
    </row>
    <row r="10">
      <c r="A10" s="10" t="inlineStr">
        <is>
          <t>Disposition cost (% of sale)</t>
        </is>
      </c>
      <c r="B10" s="56" t="n">
        <v>0.015</v>
      </c>
    </row>
    <row r="12">
      <c r="A12" s="8" t="inlineStr">
        <is>
          <t>Exit assumptions</t>
        </is>
      </c>
      <c r="B12" s="9" t="n"/>
      <c r="C12" s="9" t="n"/>
      <c r="D12" s="9" t="n"/>
    </row>
    <row r="13">
      <c r="A13" s="10" t="inlineStr">
        <is>
          <t>Exit cap — blended (%)</t>
        </is>
      </c>
      <c r="B13" s="27" t="n">
        <v>0.055</v>
      </c>
    </row>
    <row r="14">
      <c r="A14" s="10" t="inlineStr">
        <is>
          <t>Exit cap — MF component (%)</t>
        </is>
      </c>
      <c r="B14" s="27" t="n">
        <v>0.0525</v>
      </c>
    </row>
    <row r="15">
      <c r="A15" s="10" t="inlineStr">
        <is>
          <t>Exit cap — Retail component (%)</t>
        </is>
      </c>
      <c r="B15" s="27" t="n">
        <v>0.0675</v>
      </c>
    </row>
    <row r="17">
      <c r="A17" s="8" t="inlineStr">
        <is>
          <t>MF operating assumptions</t>
        </is>
      </c>
      <c r="B17" s="9" t="n"/>
      <c r="C17" s="9" t="n"/>
      <c r="D17" s="9" t="n"/>
    </row>
    <row r="18">
      <c r="A18" s="10" t="inlineStr">
        <is>
          <t>Economic vacancy (% of GPR)</t>
        </is>
      </c>
      <c r="B18" s="56" t="n">
        <v>0.05</v>
      </c>
    </row>
    <row r="19">
      <c r="A19" s="10" t="inlineStr">
        <is>
          <t>Concessions (% of GPR)</t>
        </is>
      </c>
      <c r="B19" s="56" t="n">
        <v>0.01</v>
      </c>
    </row>
    <row r="20">
      <c r="A20" s="10" t="inlineStr">
        <is>
          <t>Bad debt (% of GPR)</t>
        </is>
      </c>
      <c r="B20" s="56" t="n">
        <v>0.005</v>
      </c>
    </row>
    <row r="21">
      <c r="A21" s="10" t="inlineStr">
        <is>
          <t>Loss-to-lease burn-off (months to market)</t>
        </is>
      </c>
      <c r="B21" s="57" t="n">
        <v>12</v>
      </c>
    </row>
    <row r="23">
      <c r="A23" s="8" t="inlineStr">
        <is>
          <t>Value-Add / Core-Plus ramps</t>
        </is>
      </c>
      <c r="B23" s="9" t="n"/>
      <c r="C23" s="9" t="n"/>
      <c r="D23" s="9" t="n"/>
    </row>
    <row r="24">
      <c r="A24" s="10" t="inlineStr">
        <is>
          <t>Renovation premium ($/unit/mo)</t>
        </is>
      </c>
      <c r="B24" s="55" t="n">
        <v>250</v>
      </c>
    </row>
    <row r="25">
      <c r="A25" s="10" t="inlineStr">
        <is>
          <t>Renovation pace (units/month)</t>
        </is>
      </c>
      <c r="B25" s="29" t="n">
        <v>4</v>
      </c>
    </row>
    <row r="26">
      <c r="A26" s="10" t="inlineStr">
        <is>
          <t>Renovation cost ($/unit)</t>
        </is>
      </c>
      <c r="B26" s="55" t="n">
        <v>18000</v>
      </c>
    </row>
    <row r="27">
      <c r="A27" s="10" t="inlineStr">
        <is>
          <t>Renovation downtime (months/unit)</t>
        </is>
      </c>
      <c r="B27" s="57" t="n">
        <v>1</v>
      </c>
    </row>
    <row r="28">
      <c r="A28" s="10" t="inlineStr">
        <is>
          <t>Lease-up: start occupancy (%)</t>
        </is>
      </c>
      <c r="B28" s="56" t="n">
        <v>0.7</v>
      </c>
    </row>
    <row r="29">
      <c r="A29" s="10" t="inlineStr">
        <is>
          <t>Lease-up: stabilized occupancy (%)</t>
        </is>
      </c>
      <c r="B29" s="56" t="n">
        <v>0.95</v>
      </c>
    </row>
    <row r="30">
      <c r="A30" s="10" t="inlineStr">
        <is>
          <t>Lease-up: absorption (units/month)</t>
        </is>
      </c>
      <c r="B30" s="29" t="n">
        <v>6</v>
      </c>
    </row>
    <row r="32">
      <c r="A32" s="8" t="inlineStr">
        <is>
          <t>Retail assumptions</t>
        </is>
      </c>
      <c r="B32" s="9" t="n"/>
      <c r="C32" s="9" t="n"/>
      <c r="D32" s="9" t="n"/>
    </row>
    <row r="33">
      <c r="A33" s="10" t="inlineStr">
        <is>
          <t>Retail general vacancy (% of retail income)</t>
        </is>
      </c>
      <c r="B33" s="56" t="n">
        <v>0.05</v>
      </c>
    </row>
    <row r="34">
      <c r="A34" s="10" t="inlineStr">
        <is>
          <t>Retail credit loss / bad debt (%)</t>
        </is>
      </c>
      <c r="B34" s="56" t="n">
        <v>0.01</v>
      </c>
    </row>
    <row r="35">
      <c r="A35" s="10" t="inlineStr">
        <is>
          <t>Retail renewal probability (%)</t>
        </is>
      </c>
      <c r="B35" s="56" t="n">
        <v>0.7</v>
      </c>
    </row>
    <row r="36">
      <c r="A36" s="10" t="inlineStr">
        <is>
          <t>Retail re-let downtime (months)</t>
        </is>
      </c>
      <c r="B36" s="57" t="n">
        <v>6</v>
      </c>
    </row>
    <row r="37">
      <c r="A37" s="10" t="inlineStr">
        <is>
          <t>Renewal rent factor (% of market)</t>
        </is>
      </c>
      <c r="B37" s="56" t="n">
        <v>1</v>
      </c>
    </row>
    <row r="38">
      <c r="A38" s="10" t="inlineStr">
        <is>
          <t>New-lease TI ($/SF)</t>
        </is>
      </c>
      <c r="B38" s="58" t="n">
        <v>50</v>
      </c>
    </row>
    <row r="39">
      <c r="A39" s="10" t="inlineStr">
        <is>
          <t>Renewal TI ($/SF)</t>
        </is>
      </c>
      <c r="B39" s="58" t="n">
        <v>15</v>
      </c>
    </row>
    <row r="40">
      <c r="A40" s="10" t="inlineStr">
        <is>
          <t>Leasing commission (% of lease value)</t>
        </is>
      </c>
      <c r="B40" s="56" t="n">
        <v>0.05</v>
      </c>
    </row>
    <row r="41">
      <c r="A41" s="10" t="inlineStr">
        <is>
          <t>Admin fee (% of recoveries)</t>
        </is>
      </c>
      <c r="B41" s="56" t="n">
        <v>0.15</v>
      </c>
    </row>
    <row r="43">
      <c r="A43" s="8" t="inlineStr">
        <is>
          <t>OpEx</t>
        </is>
      </c>
      <c r="B43" s="9" t="n"/>
      <c r="C43" s="9" t="n"/>
      <c r="D43" s="9" t="n"/>
    </row>
    <row r="44">
      <c r="A44" s="10" t="inlineStr">
        <is>
          <t>Management fee (% of EGI)</t>
        </is>
      </c>
      <c r="B44" s="56" t="n">
        <v>0.03</v>
      </c>
    </row>
    <row r="45">
      <c r="A45" s="10" t="inlineStr">
        <is>
          <t>Replacement reserves ($/unit/yr)</t>
        </is>
      </c>
      <c r="B45" s="55" t="n">
        <v>300</v>
      </c>
    </row>
    <row r="47">
      <c r="A47" s="8" t="inlineStr">
        <is>
          <t>Taxes</t>
        </is>
      </c>
      <c r="B47" s="9" t="n"/>
      <c r="C47" s="9" t="n"/>
      <c r="D47" s="9" t="n"/>
    </row>
    <row r="48">
      <c r="A48" s="10" t="inlineStr">
        <is>
          <t>Mill rate (tax per $ assessed)</t>
        </is>
      </c>
      <c r="B48" s="27" t="n">
        <v>0.0185</v>
      </c>
    </row>
    <row r="49">
      <c r="A49" s="10" t="inlineStr">
        <is>
          <t>Assessment ratio (% of value)</t>
        </is>
      </c>
      <c r="B49" s="56" t="n">
        <v>0.9</v>
      </c>
    </row>
    <row r="50">
      <c r="A50" s="10" t="inlineStr">
        <is>
          <t>Tax flat growth (%/yr)</t>
        </is>
      </c>
      <c r="B50" s="56" t="n">
        <v>0.03</v>
      </c>
    </row>
    <row r="51">
      <c r="A51" s="10" t="inlineStr">
        <is>
          <t>Base annual tax ($) [year 1]</t>
        </is>
      </c>
      <c r="B51" s="55" t="n">
        <v>720000</v>
      </c>
    </row>
    <row r="52">
      <c r="A52" s="10" t="inlineStr">
        <is>
          <t>PILOT annual tax ($) [flat schedule proxy]</t>
        </is>
      </c>
      <c r="B52" s="55" t="n">
        <v>350000</v>
      </c>
    </row>
    <row r="54">
      <c r="A54" s="8" t="inlineStr">
        <is>
          <t>GROWTH BLOCK — annual vectors (year-over-year)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>
      <c r="A55" s="3" t="inlineStr">
        <is>
          <t>Vector \ Year</t>
        </is>
      </c>
      <c r="E55" s="31" t="inlineStr">
        <is>
          <t>Y1</t>
        </is>
      </c>
      <c r="F55" s="31" t="inlineStr">
        <is>
          <t>Y2</t>
        </is>
      </c>
      <c r="G55" s="31" t="inlineStr">
        <is>
          <t>Y3</t>
        </is>
      </c>
      <c r="H55" s="31" t="inlineStr">
        <is>
          <t>Y4</t>
        </is>
      </c>
      <c r="I55" s="31" t="inlineStr">
        <is>
          <t>Y5</t>
        </is>
      </c>
      <c r="J55" s="31" t="inlineStr">
        <is>
          <t>Y6</t>
        </is>
      </c>
      <c r="K55" s="31" t="inlineStr">
        <is>
          <t>Y7</t>
        </is>
      </c>
      <c r="L55" s="31" t="inlineStr">
        <is>
          <t>Y8</t>
        </is>
      </c>
      <c r="M55" s="31" t="inlineStr">
        <is>
          <t>Y9</t>
        </is>
      </c>
      <c r="N55" s="31" t="inlineStr">
        <is>
          <t>Y10</t>
        </is>
      </c>
      <c r="O55" s="31" t="inlineStr">
        <is>
          <t>Y11</t>
        </is>
      </c>
    </row>
    <row r="56">
      <c r="A56" s="10" t="inlineStr">
        <is>
          <t>MF market rent growth</t>
        </is>
      </c>
      <c r="E56" s="56" t="n">
        <v>0.04</v>
      </c>
      <c r="F56" s="56" t="n">
        <v>0.04</v>
      </c>
      <c r="G56" s="56" t="n">
        <v>0.035</v>
      </c>
      <c r="H56" s="56" t="n">
        <v>0.03</v>
      </c>
      <c r="I56" s="56" t="n">
        <v>0.03</v>
      </c>
      <c r="J56" s="56" t="n">
        <v>0.03</v>
      </c>
      <c r="K56" s="56" t="n">
        <v>0.03</v>
      </c>
      <c r="L56" s="56" t="n">
        <v>0.03</v>
      </c>
      <c r="M56" s="56" t="n">
        <v>0.03</v>
      </c>
      <c r="N56" s="56" t="n">
        <v>0.03</v>
      </c>
      <c r="O56" s="56" t="n">
        <v>0.03</v>
      </c>
    </row>
    <row r="57">
      <c r="A57" s="10" t="inlineStr">
        <is>
          <t>Retail market rent growth</t>
        </is>
      </c>
      <c r="E57" s="56" t="n">
        <v>0.025</v>
      </c>
      <c r="F57" s="56" t="n">
        <v>0.0275</v>
      </c>
      <c r="G57" s="56" t="n">
        <v>0.03</v>
      </c>
      <c r="H57" s="56" t="n">
        <v>0.03</v>
      </c>
      <c r="I57" s="56" t="n">
        <v>0.03</v>
      </c>
      <c r="J57" s="56" t="n">
        <v>0.03</v>
      </c>
      <c r="K57" s="56" t="n">
        <v>0.03</v>
      </c>
      <c r="L57" s="56" t="n">
        <v>0.03</v>
      </c>
      <c r="M57" s="56" t="n">
        <v>0.03</v>
      </c>
      <c r="N57" s="56" t="n">
        <v>0.03</v>
      </c>
      <c r="O57" s="56" t="n">
        <v>0.03</v>
      </c>
    </row>
    <row r="58">
      <c r="A58" s="10" t="inlineStr">
        <is>
          <t>OpEx / general inflation</t>
        </is>
      </c>
      <c r="E58" s="56" t="n">
        <v>0.03</v>
      </c>
      <c r="F58" s="56" t="n">
        <v>0.03</v>
      </c>
      <c r="G58" s="56" t="n">
        <v>0.03</v>
      </c>
      <c r="H58" s="56" t="n">
        <v>0.03</v>
      </c>
      <c r="I58" s="56" t="n">
        <v>0.03</v>
      </c>
      <c r="J58" s="56" t="n">
        <v>0.03</v>
      </c>
      <c r="K58" s="56" t="n">
        <v>0.03</v>
      </c>
      <c r="L58" s="56" t="n">
        <v>0.03</v>
      </c>
      <c r="M58" s="56" t="n">
        <v>0.03</v>
      </c>
      <c r="N58" s="56" t="n">
        <v>0.03</v>
      </c>
      <c r="O58" s="56" t="n">
        <v>0.03</v>
      </c>
    </row>
    <row r="59">
      <c r="A59" s="10" t="inlineStr">
        <is>
          <t>TI/LC growth</t>
        </is>
      </c>
      <c r="E59" s="56" t="n">
        <v>0.03</v>
      </c>
      <c r="F59" s="56" t="n">
        <v>0.03</v>
      </c>
      <c r="G59" s="56" t="n">
        <v>0.03</v>
      </c>
      <c r="H59" s="56" t="n">
        <v>0.03</v>
      </c>
      <c r="I59" s="56" t="n">
        <v>0.03</v>
      </c>
      <c r="J59" s="56" t="n">
        <v>0.03</v>
      </c>
      <c r="K59" s="56" t="n">
        <v>0.03</v>
      </c>
      <c r="L59" s="56" t="n">
        <v>0.03</v>
      </c>
      <c r="M59" s="56" t="n">
        <v>0.03</v>
      </c>
      <c r="N59" s="56" t="n">
        <v>0.03</v>
      </c>
      <c r="O59" s="56" t="n">
        <v>0.03</v>
      </c>
    </row>
    <row r="60">
      <c r="A60" s="10" t="inlineStr">
        <is>
          <t>Other income growth</t>
        </is>
      </c>
      <c r="E60" s="56" t="n">
        <v>0.03</v>
      </c>
      <c r="F60" s="56" t="n">
        <v>0.03</v>
      </c>
      <c r="G60" s="56" t="n">
        <v>0.03</v>
      </c>
      <c r="H60" s="56" t="n">
        <v>0.03</v>
      </c>
      <c r="I60" s="56" t="n">
        <v>0.03</v>
      </c>
      <c r="J60" s="56" t="n">
        <v>0.03</v>
      </c>
      <c r="K60" s="56" t="n">
        <v>0.03</v>
      </c>
      <c r="L60" s="56" t="n">
        <v>0.03</v>
      </c>
      <c r="M60" s="56" t="n">
        <v>0.03</v>
      </c>
      <c r="N60" s="56" t="n">
        <v>0.03</v>
      </c>
      <c r="O60" s="56" t="n">
        <v>0.03</v>
      </c>
    </row>
    <row r="62">
      <c r="A62" s="8" t="inlineStr">
        <is>
          <t>Cumulative growth factors (year 0=1.0; applied at anniversary)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>
      <c r="A63" s="3" t="inlineStr">
        <is>
          <t>Factor \ Year</t>
        </is>
      </c>
      <c r="D63" s="31" t="inlineStr">
        <is>
          <t>Y0</t>
        </is>
      </c>
      <c r="E63" s="31" t="inlineStr">
        <is>
          <t>Y1</t>
        </is>
      </c>
      <c r="F63" s="31" t="inlineStr">
        <is>
          <t>Y2</t>
        </is>
      </c>
      <c r="G63" s="31" t="inlineStr">
        <is>
          <t>Y3</t>
        </is>
      </c>
      <c r="H63" s="31" t="inlineStr">
        <is>
          <t>Y4</t>
        </is>
      </c>
      <c r="I63" s="31" t="inlineStr">
        <is>
          <t>Y5</t>
        </is>
      </c>
      <c r="J63" s="31" t="inlineStr">
        <is>
          <t>Y6</t>
        </is>
      </c>
      <c r="K63" s="31" t="inlineStr">
        <is>
          <t>Y7</t>
        </is>
      </c>
      <c r="L63" s="31" t="inlineStr">
        <is>
          <t>Y8</t>
        </is>
      </c>
      <c r="M63" s="31" t="inlineStr">
        <is>
          <t>Y9</t>
        </is>
      </c>
      <c r="N63" s="31" t="inlineStr">
        <is>
          <t>Y10</t>
        </is>
      </c>
      <c r="O63" s="31" t="inlineStr">
        <is>
          <t>Y11</t>
        </is>
      </c>
    </row>
    <row r="64">
      <c r="A64" s="10" t="inlineStr">
        <is>
          <t>MF rent cum factor</t>
        </is>
      </c>
      <c r="D64" s="59" t="n">
        <v>1</v>
      </c>
      <c r="E64" s="59">
        <f>D64*(1+E$56)</f>
        <v/>
      </c>
      <c r="F64" s="59">
        <f>E64*(1+F$56)</f>
        <v/>
      </c>
      <c r="G64" s="59">
        <f>F64*(1+G$56)</f>
        <v/>
      </c>
      <c r="H64" s="59">
        <f>G64*(1+H$56)</f>
        <v/>
      </c>
      <c r="I64" s="59">
        <f>H64*(1+I$56)</f>
        <v/>
      </c>
      <c r="J64" s="59">
        <f>I64*(1+J$56)</f>
        <v/>
      </c>
      <c r="K64" s="59">
        <f>J64*(1+K$56)</f>
        <v/>
      </c>
      <c r="L64" s="59">
        <f>K64*(1+L$56)</f>
        <v/>
      </c>
      <c r="M64" s="59">
        <f>L64*(1+M$56)</f>
        <v/>
      </c>
      <c r="N64" s="59">
        <f>M64*(1+N$56)</f>
        <v/>
      </c>
      <c r="O64" s="59">
        <f>N64*(1+O$56)</f>
        <v/>
      </c>
    </row>
    <row r="65">
      <c r="A65" s="10" t="inlineStr">
        <is>
          <t>Retail rent cum factor</t>
        </is>
      </c>
      <c r="D65" s="59" t="n">
        <v>1</v>
      </c>
      <c r="E65" s="59">
        <f>D65*(1+E$57)</f>
        <v/>
      </c>
      <c r="F65" s="59">
        <f>E65*(1+F$57)</f>
        <v/>
      </c>
      <c r="G65" s="59">
        <f>F65*(1+G$57)</f>
        <v/>
      </c>
      <c r="H65" s="59">
        <f>G65*(1+H$57)</f>
        <v/>
      </c>
      <c r="I65" s="59">
        <f>H65*(1+I$57)</f>
        <v/>
      </c>
      <c r="J65" s="59">
        <f>I65*(1+J$57)</f>
        <v/>
      </c>
      <c r="K65" s="59">
        <f>J65*(1+K$57)</f>
        <v/>
      </c>
      <c r="L65" s="59">
        <f>K65*(1+L$57)</f>
        <v/>
      </c>
      <c r="M65" s="59">
        <f>L65*(1+M$57)</f>
        <v/>
      </c>
      <c r="N65" s="59">
        <f>M65*(1+N$57)</f>
        <v/>
      </c>
      <c r="O65" s="59">
        <f>N65*(1+O$57)</f>
        <v/>
      </c>
    </row>
    <row r="66">
      <c r="A66" s="10" t="inlineStr">
        <is>
          <t>OpEx cum factor</t>
        </is>
      </c>
      <c r="D66" s="59" t="n">
        <v>1</v>
      </c>
      <c r="E66" s="59">
        <f>D66*(1+E$58)</f>
        <v/>
      </c>
      <c r="F66" s="59">
        <f>E66*(1+F$58)</f>
        <v/>
      </c>
      <c r="G66" s="59">
        <f>F66*(1+G$58)</f>
        <v/>
      </c>
      <c r="H66" s="59">
        <f>G66*(1+H$58)</f>
        <v/>
      </c>
      <c r="I66" s="59">
        <f>H66*(1+I$58)</f>
        <v/>
      </c>
      <c r="J66" s="59">
        <f>I66*(1+J$58)</f>
        <v/>
      </c>
      <c r="K66" s="59">
        <f>J66*(1+K$58)</f>
        <v/>
      </c>
      <c r="L66" s="59">
        <f>K66*(1+L$58)</f>
        <v/>
      </c>
      <c r="M66" s="59">
        <f>L66*(1+M$58)</f>
        <v/>
      </c>
      <c r="N66" s="59">
        <f>M66*(1+N$58)</f>
        <v/>
      </c>
      <c r="O66" s="59">
        <f>N66*(1+O$58)</f>
        <v/>
      </c>
    </row>
    <row r="67">
      <c r="A67" s="10" t="inlineStr">
        <is>
          <t>TI/LC cum factor</t>
        </is>
      </c>
      <c r="D67" s="59" t="n">
        <v>1</v>
      </c>
      <c r="E67" s="59">
        <f>D67*(1+E$59)</f>
        <v/>
      </c>
      <c r="F67" s="59">
        <f>E67*(1+F$59)</f>
        <v/>
      </c>
      <c r="G67" s="59">
        <f>F67*(1+G$59)</f>
        <v/>
      </c>
      <c r="H67" s="59">
        <f>G67*(1+H$59)</f>
        <v/>
      </c>
      <c r="I67" s="59">
        <f>H67*(1+I$59)</f>
        <v/>
      </c>
      <c r="J67" s="59">
        <f>I67*(1+J$59)</f>
        <v/>
      </c>
      <c r="K67" s="59">
        <f>J67*(1+K$59)</f>
        <v/>
      </c>
      <c r="L67" s="59">
        <f>K67*(1+L$59)</f>
        <v/>
      </c>
      <c r="M67" s="59">
        <f>L67*(1+M$59)</f>
        <v/>
      </c>
      <c r="N67" s="59">
        <f>M67*(1+N$59)</f>
        <v/>
      </c>
      <c r="O67" s="59">
        <f>N67*(1+O$59)</f>
        <v/>
      </c>
    </row>
    <row r="68">
      <c r="A68" s="10" t="inlineStr">
        <is>
          <t>Other income cum factor</t>
        </is>
      </c>
      <c r="D68" s="59" t="n">
        <v>1</v>
      </c>
      <c r="E68" s="59">
        <f>D68*(1+E$60)</f>
        <v/>
      </c>
      <c r="F68" s="59">
        <f>E68*(1+F$60)</f>
        <v/>
      </c>
      <c r="G68" s="59">
        <f>F68*(1+G$60)</f>
        <v/>
      </c>
      <c r="H68" s="59">
        <f>G68*(1+H$60)</f>
        <v/>
      </c>
      <c r="I68" s="59">
        <f>H68*(1+I$60)</f>
        <v/>
      </c>
      <c r="J68" s="59">
        <f>I68*(1+J$60)</f>
        <v/>
      </c>
      <c r="K68" s="59">
        <f>J68*(1+K$60)</f>
        <v/>
      </c>
      <c r="L68" s="59">
        <f>K68*(1+L$60)</f>
        <v/>
      </c>
      <c r="M68" s="59">
        <f>L68*(1+M$60)</f>
        <v/>
      </c>
      <c r="N68" s="59">
        <f>M68*(1+N$60)</f>
        <v/>
      </c>
      <c r="O68" s="59">
        <f>N68*(1+O$60)</f>
        <v/>
      </c>
    </row>
    <row r="71">
      <c r="A71" s="8" t="inlineStr">
        <is>
          <t>MONTHLY PERIOD HEADER (dynamic; every schedule references these rows)</t>
        </is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</row>
    <row r="72">
      <c r="A72" s="3" t="inlineStr">
        <is>
          <t>Month index (0 = acquisition)</t>
        </is>
      </c>
      <c r="E72" s="13" t="n">
        <v>0</v>
      </c>
      <c r="F72" s="13" t="n">
        <v>1</v>
      </c>
      <c r="G72" s="13" t="n">
        <v>2</v>
      </c>
      <c r="H72" s="13" t="n">
        <v>3</v>
      </c>
      <c r="I72" s="13" t="n">
        <v>4</v>
      </c>
      <c r="J72" s="13" t="n">
        <v>5</v>
      </c>
      <c r="K72" s="13" t="n">
        <v>6</v>
      </c>
      <c r="L72" s="13" t="n">
        <v>7</v>
      </c>
      <c r="M72" s="13" t="n">
        <v>8</v>
      </c>
      <c r="N72" s="13" t="n">
        <v>9</v>
      </c>
      <c r="O72" s="13" t="n">
        <v>10</v>
      </c>
      <c r="P72" s="13" t="n">
        <v>11</v>
      </c>
      <c r="Q72" s="13" t="n">
        <v>12</v>
      </c>
      <c r="R72" s="13" t="n">
        <v>13</v>
      </c>
      <c r="S72" s="13" t="n">
        <v>14</v>
      </c>
      <c r="T72" s="13" t="n">
        <v>15</v>
      </c>
      <c r="U72" s="13" t="n">
        <v>16</v>
      </c>
      <c r="V72" s="13" t="n">
        <v>17</v>
      </c>
      <c r="W72" s="13" t="n">
        <v>18</v>
      </c>
      <c r="X72" s="13" t="n">
        <v>19</v>
      </c>
      <c r="Y72" s="13" t="n">
        <v>20</v>
      </c>
      <c r="Z72" s="13" t="n">
        <v>21</v>
      </c>
      <c r="AA72" s="13" t="n">
        <v>22</v>
      </c>
      <c r="AB72" s="13" t="n">
        <v>23</v>
      </c>
      <c r="AC72" s="13" t="n">
        <v>24</v>
      </c>
      <c r="AD72" s="13" t="n">
        <v>25</v>
      </c>
      <c r="AE72" s="13" t="n">
        <v>26</v>
      </c>
      <c r="AF72" s="13" t="n">
        <v>27</v>
      </c>
      <c r="AG72" s="13" t="n">
        <v>28</v>
      </c>
      <c r="AH72" s="13" t="n">
        <v>29</v>
      </c>
      <c r="AI72" s="13" t="n">
        <v>30</v>
      </c>
      <c r="AJ72" s="13" t="n">
        <v>31</v>
      </c>
      <c r="AK72" s="13" t="n">
        <v>32</v>
      </c>
      <c r="AL72" s="13" t="n">
        <v>33</v>
      </c>
      <c r="AM72" s="13" t="n">
        <v>34</v>
      </c>
      <c r="AN72" s="13" t="n">
        <v>35</v>
      </c>
      <c r="AO72" s="13" t="n">
        <v>36</v>
      </c>
      <c r="AP72" s="13" t="n">
        <v>37</v>
      </c>
      <c r="AQ72" s="13" t="n">
        <v>38</v>
      </c>
      <c r="AR72" s="13" t="n">
        <v>39</v>
      </c>
      <c r="AS72" s="13" t="n">
        <v>40</v>
      </c>
      <c r="AT72" s="13" t="n">
        <v>41</v>
      </c>
      <c r="AU72" s="13" t="n">
        <v>42</v>
      </c>
      <c r="AV72" s="13" t="n">
        <v>43</v>
      </c>
      <c r="AW72" s="13" t="n">
        <v>44</v>
      </c>
      <c r="AX72" s="13" t="n">
        <v>45</v>
      </c>
      <c r="AY72" s="13" t="n">
        <v>46</v>
      </c>
      <c r="AZ72" s="13" t="n">
        <v>47</v>
      </c>
      <c r="BA72" s="13" t="n">
        <v>48</v>
      </c>
      <c r="BB72" s="13" t="n">
        <v>49</v>
      </c>
      <c r="BC72" s="13" t="n">
        <v>50</v>
      </c>
      <c r="BD72" s="13" t="n">
        <v>51</v>
      </c>
      <c r="BE72" s="13" t="n">
        <v>52</v>
      </c>
      <c r="BF72" s="13" t="n">
        <v>53</v>
      </c>
      <c r="BG72" s="13" t="n">
        <v>54</v>
      </c>
      <c r="BH72" s="13" t="n">
        <v>55</v>
      </c>
      <c r="BI72" s="13" t="n">
        <v>56</v>
      </c>
      <c r="BJ72" s="13" t="n">
        <v>57</v>
      </c>
      <c r="BK72" s="13" t="n">
        <v>58</v>
      </c>
      <c r="BL72" s="13" t="n">
        <v>59</v>
      </c>
      <c r="BM72" s="13" t="n">
        <v>60</v>
      </c>
      <c r="BN72" s="13" t="n">
        <v>61</v>
      </c>
      <c r="BO72" s="13" t="n">
        <v>62</v>
      </c>
      <c r="BP72" s="13" t="n">
        <v>63</v>
      </c>
      <c r="BQ72" s="13" t="n">
        <v>64</v>
      </c>
      <c r="BR72" s="13" t="n">
        <v>65</v>
      </c>
      <c r="BS72" s="13" t="n">
        <v>66</v>
      </c>
      <c r="BT72" s="13" t="n">
        <v>67</v>
      </c>
      <c r="BU72" s="13" t="n">
        <v>68</v>
      </c>
      <c r="BV72" s="13" t="n">
        <v>69</v>
      </c>
      <c r="BW72" s="13" t="n">
        <v>70</v>
      </c>
      <c r="BX72" s="13" t="n">
        <v>71</v>
      </c>
      <c r="BY72" s="13" t="n">
        <v>72</v>
      </c>
      <c r="BZ72" s="13" t="n">
        <v>73</v>
      </c>
      <c r="CA72" s="13" t="n">
        <v>74</v>
      </c>
      <c r="CB72" s="13" t="n">
        <v>75</v>
      </c>
      <c r="CC72" s="13" t="n">
        <v>76</v>
      </c>
      <c r="CD72" s="13" t="n">
        <v>77</v>
      </c>
      <c r="CE72" s="13" t="n">
        <v>78</v>
      </c>
      <c r="CF72" s="13" t="n">
        <v>79</v>
      </c>
      <c r="CG72" s="13" t="n">
        <v>80</v>
      </c>
      <c r="CH72" s="13" t="n">
        <v>81</v>
      </c>
      <c r="CI72" s="13" t="n">
        <v>82</v>
      </c>
      <c r="CJ72" s="13" t="n">
        <v>83</v>
      </c>
      <c r="CK72" s="13" t="n">
        <v>84</v>
      </c>
      <c r="CL72" s="13" t="n">
        <v>85</v>
      </c>
      <c r="CM72" s="13" t="n">
        <v>86</v>
      </c>
      <c r="CN72" s="13" t="n">
        <v>87</v>
      </c>
      <c r="CO72" s="13" t="n">
        <v>88</v>
      </c>
      <c r="CP72" s="13" t="n">
        <v>89</v>
      </c>
      <c r="CQ72" s="13" t="n">
        <v>90</v>
      </c>
      <c r="CR72" s="13" t="n">
        <v>91</v>
      </c>
      <c r="CS72" s="13" t="n">
        <v>92</v>
      </c>
      <c r="CT72" s="13" t="n">
        <v>93</v>
      </c>
      <c r="CU72" s="13" t="n">
        <v>94</v>
      </c>
      <c r="CV72" s="13" t="n">
        <v>95</v>
      </c>
      <c r="CW72" s="13" t="n">
        <v>96</v>
      </c>
      <c r="CX72" s="13" t="n">
        <v>97</v>
      </c>
      <c r="CY72" s="13" t="n">
        <v>98</v>
      </c>
      <c r="CZ72" s="13" t="n">
        <v>99</v>
      </c>
      <c r="DA72" s="13" t="n">
        <v>100</v>
      </c>
      <c r="DB72" s="13" t="n">
        <v>101</v>
      </c>
      <c r="DC72" s="13" t="n">
        <v>102</v>
      </c>
      <c r="DD72" s="13" t="n">
        <v>103</v>
      </c>
      <c r="DE72" s="13" t="n">
        <v>104</v>
      </c>
      <c r="DF72" s="13" t="n">
        <v>105</v>
      </c>
      <c r="DG72" s="13" t="n">
        <v>106</v>
      </c>
      <c r="DH72" s="13" t="n">
        <v>107</v>
      </c>
      <c r="DI72" s="13" t="n">
        <v>108</v>
      </c>
      <c r="DJ72" s="13" t="n">
        <v>109</v>
      </c>
      <c r="DK72" s="13" t="n">
        <v>110</v>
      </c>
      <c r="DL72" s="13" t="n">
        <v>111</v>
      </c>
      <c r="DM72" s="13" t="n">
        <v>112</v>
      </c>
      <c r="DN72" s="13" t="n">
        <v>113</v>
      </c>
      <c r="DO72" s="13" t="n">
        <v>114</v>
      </c>
      <c r="DP72" s="13" t="n">
        <v>115</v>
      </c>
      <c r="DQ72" s="13" t="n">
        <v>116</v>
      </c>
      <c r="DR72" s="13" t="n">
        <v>117</v>
      </c>
      <c r="DS72" s="13" t="n">
        <v>118</v>
      </c>
      <c r="DT72" s="13" t="n">
        <v>119</v>
      </c>
    </row>
    <row r="73">
      <c r="A73" s="3" t="inlineStr">
        <is>
          <t>Period date</t>
        </is>
      </c>
      <c r="E73" s="33">
        <f>AcquisitionDate</f>
        <v/>
      </c>
      <c r="F73" s="33">
        <f>EDATE(AcquisitionDate,1)</f>
        <v/>
      </c>
      <c r="G73" s="33">
        <f>EDATE(AcquisitionDate,2)</f>
        <v/>
      </c>
      <c r="H73" s="33">
        <f>EDATE(AcquisitionDate,3)</f>
        <v/>
      </c>
      <c r="I73" s="33">
        <f>EDATE(AcquisitionDate,4)</f>
        <v/>
      </c>
      <c r="J73" s="33">
        <f>EDATE(AcquisitionDate,5)</f>
        <v/>
      </c>
      <c r="K73" s="33">
        <f>EDATE(AcquisitionDate,6)</f>
        <v/>
      </c>
      <c r="L73" s="33">
        <f>EDATE(AcquisitionDate,7)</f>
        <v/>
      </c>
      <c r="M73" s="33">
        <f>EDATE(AcquisitionDate,8)</f>
        <v/>
      </c>
      <c r="N73" s="33">
        <f>EDATE(AcquisitionDate,9)</f>
        <v/>
      </c>
      <c r="O73" s="33">
        <f>EDATE(AcquisitionDate,10)</f>
        <v/>
      </c>
      <c r="P73" s="33">
        <f>EDATE(AcquisitionDate,11)</f>
        <v/>
      </c>
      <c r="Q73" s="33">
        <f>EDATE(AcquisitionDate,12)</f>
        <v/>
      </c>
      <c r="R73" s="33">
        <f>EDATE(AcquisitionDate,13)</f>
        <v/>
      </c>
      <c r="S73" s="33">
        <f>EDATE(AcquisitionDate,14)</f>
        <v/>
      </c>
      <c r="T73" s="33">
        <f>EDATE(AcquisitionDate,15)</f>
        <v/>
      </c>
      <c r="U73" s="33">
        <f>EDATE(AcquisitionDate,16)</f>
        <v/>
      </c>
      <c r="V73" s="33">
        <f>EDATE(AcquisitionDate,17)</f>
        <v/>
      </c>
      <c r="W73" s="33">
        <f>EDATE(AcquisitionDate,18)</f>
        <v/>
      </c>
      <c r="X73" s="33">
        <f>EDATE(AcquisitionDate,19)</f>
        <v/>
      </c>
      <c r="Y73" s="33">
        <f>EDATE(AcquisitionDate,20)</f>
        <v/>
      </c>
      <c r="Z73" s="33">
        <f>EDATE(AcquisitionDate,21)</f>
        <v/>
      </c>
      <c r="AA73" s="33">
        <f>EDATE(AcquisitionDate,22)</f>
        <v/>
      </c>
      <c r="AB73" s="33">
        <f>EDATE(AcquisitionDate,23)</f>
        <v/>
      </c>
      <c r="AC73" s="33">
        <f>EDATE(AcquisitionDate,24)</f>
        <v/>
      </c>
      <c r="AD73" s="33">
        <f>EDATE(AcquisitionDate,25)</f>
        <v/>
      </c>
      <c r="AE73" s="33">
        <f>EDATE(AcquisitionDate,26)</f>
        <v/>
      </c>
      <c r="AF73" s="33">
        <f>EDATE(AcquisitionDate,27)</f>
        <v/>
      </c>
      <c r="AG73" s="33">
        <f>EDATE(AcquisitionDate,28)</f>
        <v/>
      </c>
      <c r="AH73" s="33">
        <f>EDATE(AcquisitionDate,29)</f>
        <v/>
      </c>
      <c r="AI73" s="33">
        <f>EDATE(AcquisitionDate,30)</f>
        <v/>
      </c>
      <c r="AJ73" s="33">
        <f>EDATE(AcquisitionDate,31)</f>
        <v/>
      </c>
      <c r="AK73" s="33">
        <f>EDATE(AcquisitionDate,32)</f>
        <v/>
      </c>
      <c r="AL73" s="33">
        <f>EDATE(AcquisitionDate,33)</f>
        <v/>
      </c>
      <c r="AM73" s="33">
        <f>EDATE(AcquisitionDate,34)</f>
        <v/>
      </c>
      <c r="AN73" s="33">
        <f>EDATE(AcquisitionDate,35)</f>
        <v/>
      </c>
      <c r="AO73" s="33">
        <f>EDATE(AcquisitionDate,36)</f>
        <v/>
      </c>
      <c r="AP73" s="33">
        <f>EDATE(AcquisitionDate,37)</f>
        <v/>
      </c>
      <c r="AQ73" s="33">
        <f>EDATE(AcquisitionDate,38)</f>
        <v/>
      </c>
      <c r="AR73" s="33">
        <f>EDATE(AcquisitionDate,39)</f>
        <v/>
      </c>
      <c r="AS73" s="33">
        <f>EDATE(AcquisitionDate,40)</f>
        <v/>
      </c>
      <c r="AT73" s="33">
        <f>EDATE(AcquisitionDate,41)</f>
        <v/>
      </c>
      <c r="AU73" s="33">
        <f>EDATE(AcquisitionDate,42)</f>
        <v/>
      </c>
      <c r="AV73" s="33">
        <f>EDATE(AcquisitionDate,43)</f>
        <v/>
      </c>
      <c r="AW73" s="33">
        <f>EDATE(AcquisitionDate,44)</f>
        <v/>
      </c>
      <c r="AX73" s="33">
        <f>EDATE(AcquisitionDate,45)</f>
        <v/>
      </c>
      <c r="AY73" s="33">
        <f>EDATE(AcquisitionDate,46)</f>
        <v/>
      </c>
      <c r="AZ73" s="33">
        <f>EDATE(AcquisitionDate,47)</f>
        <v/>
      </c>
      <c r="BA73" s="33">
        <f>EDATE(AcquisitionDate,48)</f>
        <v/>
      </c>
      <c r="BB73" s="33">
        <f>EDATE(AcquisitionDate,49)</f>
        <v/>
      </c>
      <c r="BC73" s="33">
        <f>EDATE(AcquisitionDate,50)</f>
        <v/>
      </c>
      <c r="BD73" s="33">
        <f>EDATE(AcquisitionDate,51)</f>
        <v/>
      </c>
      <c r="BE73" s="33">
        <f>EDATE(AcquisitionDate,52)</f>
        <v/>
      </c>
      <c r="BF73" s="33">
        <f>EDATE(AcquisitionDate,53)</f>
        <v/>
      </c>
      <c r="BG73" s="33">
        <f>EDATE(AcquisitionDate,54)</f>
        <v/>
      </c>
      <c r="BH73" s="33">
        <f>EDATE(AcquisitionDate,55)</f>
        <v/>
      </c>
      <c r="BI73" s="33">
        <f>EDATE(AcquisitionDate,56)</f>
        <v/>
      </c>
      <c r="BJ73" s="33">
        <f>EDATE(AcquisitionDate,57)</f>
        <v/>
      </c>
      <c r="BK73" s="33">
        <f>EDATE(AcquisitionDate,58)</f>
        <v/>
      </c>
      <c r="BL73" s="33">
        <f>EDATE(AcquisitionDate,59)</f>
        <v/>
      </c>
      <c r="BM73" s="33">
        <f>EDATE(AcquisitionDate,60)</f>
        <v/>
      </c>
      <c r="BN73" s="33">
        <f>EDATE(AcquisitionDate,61)</f>
        <v/>
      </c>
      <c r="BO73" s="33">
        <f>EDATE(AcquisitionDate,62)</f>
        <v/>
      </c>
      <c r="BP73" s="33">
        <f>EDATE(AcquisitionDate,63)</f>
        <v/>
      </c>
      <c r="BQ73" s="33">
        <f>EDATE(AcquisitionDate,64)</f>
        <v/>
      </c>
      <c r="BR73" s="33">
        <f>EDATE(AcquisitionDate,65)</f>
        <v/>
      </c>
      <c r="BS73" s="33">
        <f>EDATE(AcquisitionDate,66)</f>
        <v/>
      </c>
      <c r="BT73" s="33">
        <f>EDATE(AcquisitionDate,67)</f>
        <v/>
      </c>
      <c r="BU73" s="33">
        <f>EDATE(AcquisitionDate,68)</f>
        <v/>
      </c>
      <c r="BV73" s="33">
        <f>EDATE(AcquisitionDate,69)</f>
        <v/>
      </c>
      <c r="BW73" s="33">
        <f>EDATE(AcquisitionDate,70)</f>
        <v/>
      </c>
      <c r="BX73" s="33">
        <f>EDATE(AcquisitionDate,71)</f>
        <v/>
      </c>
      <c r="BY73" s="33">
        <f>EDATE(AcquisitionDate,72)</f>
        <v/>
      </c>
      <c r="BZ73" s="33">
        <f>EDATE(AcquisitionDate,73)</f>
        <v/>
      </c>
      <c r="CA73" s="33">
        <f>EDATE(AcquisitionDate,74)</f>
        <v/>
      </c>
      <c r="CB73" s="33">
        <f>EDATE(AcquisitionDate,75)</f>
        <v/>
      </c>
      <c r="CC73" s="33">
        <f>EDATE(AcquisitionDate,76)</f>
        <v/>
      </c>
      <c r="CD73" s="33">
        <f>EDATE(AcquisitionDate,77)</f>
        <v/>
      </c>
      <c r="CE73" s="33">
        <f>EDATE(AcquisitionDate,78)</f>
        <v/>
      </c>
      <c r="CF73" s="33">
        <f>EDATE(AcquisitionDate,79)</f>
        <v/>
      </c>
      <c r="CG73" s="33">
        <f>EDATE(AcquisitionDate,80)</f>
        <v/>
      </c>
      <c r="CH73" s="33">
        <f>EDATE(AcquisitionDate,81)</f>
        <v/>
      </c>
      <c r="CI73" s="33">
        <f>EDATE(AcquisitionDate,82)</f>
        <v/>
      </c>
      <c r="CJ73" s="33">
        <f>EDATE(AcquisitionDate,83)</f>
        <v/>
      </c>
      <c r="CK73" s="33">
        <f>EDATE(AcquisitionDate,84)</f>
        <v/>
      </c>
      <c r="CL73" s="33">
        <f>EDATE(AcquisitionDate,85)</f>
        <v/>
      </c>
      <c r="CM73" s="33">
        <f>EDATE(AcquisitionDate,86)</f>
        <v/>
      </c>
      <c r="CN73" s="33">
        <f>EDATE(AcquisitionDate,87)</f>
        <v/>
      </c>
      <c r="CO73" s="33">
        <f>EDATE(AcquisitionDate,88)</f>
        <v/>
      </c>
      <c r="CP73" s="33">
        <f>EDATE(AcquisitionDate,89)</f>
        <v/>
      </c>
      <c r="CQ73" s="33">
        <f>EDATE(AcquisitionDate,90)</f>
        <v/>
      </c>
      <c r="CR73" s="33">
        <f>EDATE(AcquisitionDate,91)</f>
        <v/>
      </c>
      <c r="CS73" s="33">
        <f>EDATE(AcquisitionDate,92)</f>
        <v/>
      </c>
      <c r="CT73" s="33">
        <f>EDATE(AcquisitionDate,93)</f>
        <v/>
      </c>
      <c r="CU73" s="33">
        <f>EDATE(AcquisitionDate,94)</f>
        <v/>
      </c>
      <c r="CV73" s="33">
        <f>EDATE(AcquisitionDate,95)</f>
        <v/>
      </c>
      <c r="CW73" s="33">
        <f>EDATE(AcquisitionDate,96)</f>
        <v/>
      </c>
      <c r="CX73" s="33">
        <f>EDATE(AcquisitionDate,97)</f>
        <v/>
      </c>
      <c r="CY73" s="33">
        <f>EDATE(AcquisitionDate,98)</f>
        <v/>
      </c>
      <c r="CZ73" s="33">
        <f>EDATE(AcquisitionDate,99)</f>
        <v/>
      </c>
      <c r="DA73" s="33">
        <f>EDATE(AcquisitionDate,100)</f>
        <v/>
      </c>
      <c r="DB73" s="33">
        <f>EDATE(AcquisitionDate,101)</f>
        <v/>
      </c>
      <c r="DC73" s="33">
        <f>EDATE(AcquisitionDate,102)</f>
        <v/>
      </c>
      <c r="DD73" s="33">
        <f>EDATE(AcquisitionDate,103)</f>
        <v/>
      </c>
      <c r="DE73" s="33">
        <f>EDATE(AcquisitionDate,104)</f>
        <v/>
      </c>
      <c r="DF73" s="33">
        <f>EDATE(AcquisitionDate,105)</f>
        <v/>
      </c>
      <c r="DG73" s="33">
        <f>EDATE(AcquisitionDate,106)</f>
        <v/>
      </c>
      <c r="DH73" s="33">
        <f>EDATE(AcquisitionDate,107)</f>
        <v/>
      </c>
      <c r="DI73" s="33">
        <f>EDATE(AcquisitionDate,108)</f>
        <v/>
      </c>
      <c r="DJ73" s="33">
        <f>EDATE(AcquisitionDate,109)</f>
        <v/>
      </c>
      <c r="DK73" s="33">
        <f>EDATE(AcquisitionDate,110)</f>
        <v/>
      </c>
      <c r="DL73" s="33">
        <f>EDATE(AcquisitionDate,111)</f>
        <v/>
      </c>
      <c r="DM73" s="33">
        <f>EDATE(AcquisitionDate,112)</f>
        <v/>
      </c>
      <c r="DN73" s="33">
        <f>EDATE(AcquisitionDate,113)</f>
        <v/>
      </c>
      <c r="DO73" s="33">
        <f>EDATE(AcquisitionDate,114)</f>
        <v/>
      </c>
      <c r="DP73" s="33">
        <f>EDATE(AcquisitionDate,115)</f>
        <v/>
      </c>
      <c r="DQ73" s="33">
        <f>EDATE(AcquisitionDate,116)</f>
        <v/>
      </c>
      <c r="DR73" s="33">
        <f>EDATE(AcquisitionDate,117)</f>
        <v/>
      </c>
      <c r="DS73" s="33">
        <f>EDATE(AcquisitionDate,118)</f>
        <v/>
      </c>
      <c r="DT73" s="33">
        <f>EDATE(AcquisitionDate,119)</f>
        <v/>
      </c>
    </row>
    <row r="74">
      <c r="A74" s="3" t="inlineStr">
        <is>
          <t>Operating-month flag (1 if active)</t>
        </is>
      </c>
      <c r="E74" s="13" t="n">
        <v>0</v>
      </c>
      <c r="F74" s="13">
        <f>IF(F$73&lt;=DispositionDate,1,0)</f>
        <v/>
      </c>
      <c r="G74" s="13">
        <f>IF(G$73&lt;=DispositionDate,1,0)</f>
        <v/>
      </c>
      <c r="H74" s="13">
        <f>IF(H$73&lt;=DispositionDate,1,0)</f>
        <v/>
      </c>
      <c r="I74" s="13">
        <f>IF(I$73&lt;=DispositionDate,1,0)</f>
        <v/>
      </c>
      <c r="J74" s="13">
        <f>IF(J$73&lt;=DispositionDate,1,0)</f>
        <v/>
      </c>
      <c r="K74" s="13">
        <f>IF(K$73&lt;=DispositionDate,1,0)</f>
        <v/>
      </c>
      <c r="L74" s="13">
        <f>IF(L$73&lt;=DispositionDate,1,0)</f>
        <v/>
      </c>
      <c r="M74" s="13">
        <f>IF(M$73&lt;=DispositionDate,1,0)</f>
        <v/>
      </c>
      <c r="N74" s="13">
        <f>IF(N$73&lt;=DispositionDate,1,0)</f>
        <v/>
      </c>
      <c r="O74" s="13">
        <f>IF(O$73&lt;=DispositionDate,1,0)</f>
        <v/>
      </c>
      <c r="P74" s="13">
        <f>IF(P$73&lt;=DispositionDate,1,0)</f>
        <v/>
      </c>
      <c r="Q74" s="13">
        <f>IF(Q$73&lt;=DispositionDate,1,0)</f>
        <v/>
      </c>
      <c r="R74" s="13">
        <f>IF(R$73&lt;=DispositionDate,1,0)</f>
        <v/>
      </c>
      <c r="S74" s="13">
        <f>IF(S$73&lt;=DispositionDate,1,0)</f>
        <v/>
      </c>
      <c r="T74" s="13">
        <f>IF(T$73&lt;=DispositionDate,1,0)</f>
        <v/>
      </c>
      <c r="U74" s="13">
        <f>IF(U$73&lt;=DispositionDate,1,0)</f>
        <v/>
      </c>
      <c r="V74" s="13">
        <f>IF(V$73&lt;=DispositionDate,1,0)</f>
        <v/>
      </c>
      <c r="W74" s="13">
        <f>IF(W$73&lt;=DispositionDate,1,0)</f>
        <v/>
      </c>
      <c r="X74" s="13">
        <f>IF(X$73&lt;=DispositionDate,1,0)</f>
        <v/>
      </c>
      <c r="Y74" s="13">
        <f>IF(Y$73&lt;=DispositionDate,1,0)</f>
        <v/>
      </c>
      <c r="Z74" s="13">
        <f>IF(Z$73&lt;=DispositionDate,1,0)</f>
        <v/>
      </c>
      <c r="AA74" s="13">
        <f>IF(AA$73&lt;=DispositionDate,1,0)</f>
        <v/>
      </c>
      <c r="AB74" s="13">
        <f>IF(AB$73&lt;=DispositionDate,1,0)</f>
        <v/>
      </c>
      <c r="AC74" s="13">
        <f>IF(AC$73&lt;=DispositionDate,1,0)</f>
        <v/>
      </c>
      <c r="AD74" s="13">
        <f>IF(AD$73&lt;=DispositionDate,1,0)</f>
        <v/>
      </c>
      <c r="AE74" s="13">
        <f>IF(AE$73&lt;=DispositionDate,1,0)</f>
        <v/>
      </c>
      <c r="AF74" s="13">
        <f>IF(AF$73&lt;=DispositionDate,1,0)</f>
        <v/>
      </c>
      <c r="AG74" s="13">
        <f>IF(AG$73&lt;=DispositionDate,1,0)</f>
        <v/>
      </c>
      <c r="AH74" s="13">
        <f>IF(AH$73&lt;=DispositionDate,1,0)</f>
        <v/>
      </c>
      <c r="AI74" s="13">
        <f>IF(AI$73&lt;=DispositionDate,1,0)</f>
        <v/>
      </c>
      <c r="AJ74" s="13">
        <f>IF(AJ$73&lt;=DispositionDate,1,0)</f>
        <v/>
      </c>
      <c r="AK74" s="13">
        <f>IF(AK$73&lt;=DispositionDate,1,0)</f>
        <v/>
      </c>
      <c r="AL74" s="13">
        <f>IF(AL$73&lt;=DispositionDate,1,0)</f>
        <v/>
      </c>
      <c r="AM74" s="13">
        <f>IF(AM$73&lt;=DispositionDate,1,0)</f>
        <v/>
      </c>
      <c r="AN74" s="13">
        <f>IF(AN$73&lt;=DispositionDate,1,0)</f>
        <v/>
      </c>
      <c r="AO74" s="13">
        <f>IF(AO$73&lt;=DispositionDate,1,0)</f>
        <v/>
      </c>
      <c r="AP74" s="13">
        <f>IF(AP$73&lt;=DispositionDate,1,0)</f>
        <v/>
      </c>
      <c r="AQ74" s="13">
        <f>IF(AQ$73&lt;=DispositionDate,1,0)</f>
        <v/>
      </c>
      <c r="AR74" s="13">
        <f>IF(AR$73&lt;=DispositionDate,1,0)</f>
        <v/>
      </c>
      <c r="AS74" s="13">
        <f>IF(AS$73&lt;=DispositionDate,1,0)</f>
        <v/>
      </c>
      <c r="AT74" s="13">
        <f>IF(AT$73&lt;=DispositionDate,1,0)</f>
        <v/>
      </c>
      <c r="AU74" s="13">
        <f>IF(AU$73&lt;=DispositionDate,1,0)</f>
        <v/>
      </c>
      <c r="AV74" s="13">
        <f>IF(AV$73&lt;=DispositionDate,1,0)</f>
        <v/>
      </c>
      <c r="AW74" s="13">
        <f>IF(AW$73&lt;=DispositionDate,1,0)</f>
        <v/>
      </c>
      <c r="AX74" s="13">
        <f>IF(AX$73&lt;=DispositionDate,1,0)</f>
        <v/>
      </c>
      <c r="AY74" s="13">
        <f>IF(AY$73&lt;=DispositionDate,1,0)</f>
        <v/>
      </c>
      <c r="AZ74" s="13">
        <f>IF(AZ$73&lt;=DispositionDate,1,0)</f>
        <v/>
      </c>
      <c r="BA74" s="13">
        <f>IF(BA$73&lt;=DispositionDate,1,0)</f>
        <v/>
      </c>
      <c r="BB74" s="13">
        <f>IF(BB$73&lt;=DispositionDate,1,0)</f>
        <v/>
      </c>
      <c r="BC74" s="13">
        <f>IF(BC$73&lt;=DispositionDate,1,0)</f>
        <v/>
      </c>
      <c r="BD74" s="13">
        <f>IF(BD$73&lt;=DispositionDate,1,0)</f>
        <v/>
      </c>
      <c r="BE74" s="13">
        <f>IF(BE$73&lt;=DispositionDate,1,0)</f>
        <v/>
      </c>
      <c r="BF74" s="13">
        <f>IF(BF$73&lt;=DispositionDate,1,0)</f>
        <v/>
      </c>
      <c r="BG74" s="13">
        <f>IF(BG$73&lt;=DispositionDate,1,0)</f>
        <v/>
      </c>
      <c r="BH74" s="13">
        <f>IF(BH$73&lt;=DispositionDate,1,0)</f>
        <v/>
      </c>
      <c r="BI74" s="13">
        <f>IF(BI$73&lt;=DispositionDate,1,0)</f>
        <v/>
      </c>
      <c r="BJ74" s="13">
        <f>IF(BJ$73&lt;=DispositionDate,1,0)</f>
        <v/>
      </c>
      <c r="BK74" s="13">
        <f>IF(BK$73&lt;=DispositionDate,1,0)</f>
        <v/>
      </c>
      <c r="BL74" s="13">
        <f>IF(BL$73&lt;=DispositionDate,1,0)</f>
        <v/>
      </c>
      <c r="BM74" s="13">
        <f>IF(BM$73&lt;=DispositionDate,1,0)</f>
        <v/>
      </c>
      <c r="BN74" s="13">
        <f>IF(BN$73&lt;=DispositionDate,1,0)</f>
        <v/>
      </c>
      <c r="BO74" s="13">
        <f>IF(BO$73&lt;=DispositionDate,1,0)</f>
        <v/>
      </c>
      <c r="BP74" s="13">
        <f>IF(BP$73&lt;=DispositionDate,1,0)</f>
        <v/>
      </c>
      <c r="BQ74" s="13">
        <f>IF(BQ$73&lt;=DispositionDate,1,0)</f>
        <v/>
      </c>
      <c r="BR74" s="13">
        <f>IF(BR$73&lt;=DispositionDate,1,0)</f>
        <v/>
      </c>
      <c r="BS74" s="13">
        <f>IF(BS$73&lt;=DispositionDate,1,0)</f>
        <v/>
      </c>
      <c r="BT74" s="13">
        <f>IF(BT$73&lt;=DispositionDate,1,0)</f>
        <v/>
      </c>
      <c r="BU74" s="13">
        <f>IF(BU$73&lt;=DispositionDate,1,0)</f>
        <v/>
      </c>
      <c r="BV74" s="13">
        <f>IF(BV$73&lt;=DispositionDate,1,0)</f>
        <v/>
      </c>
      <c r="BW74" s="13">
        <f>IF(BW$73&lt;=DispositionDate,1,0)</f>
        <v/>
      </c>
      <c r="BX74" s="13">
        <f>IF(BX$73&lt;=DispositionDate,1,0)</f>
        <v/>
      </c>
      <c r="BY74" s="13">
        <f>IF(BY$73&lt;=DispositionDate,1,0)</f>
        <v/>
      </c>
      <c r="BZ74" s="13">
        <f>IF(BZ$73&lt;=DispositionDate,1,0)</f>
        <v/>
      </c>
      <c r="CA74" s="13">
        <f>IF(CA$73&lt;=DispositionDate,1,0)</f>
        <v/>
      </c>
      <c r="CB74" s="13">
        <f>IF(CB$73&lt;=DispositionDate,1,0)</f>
        <v/>
      </c>
      <c r="CC74" s="13">
        <f>IF(CC$73&lt;=DispositionDate,1,0)</f>
        <v/>
      </c>
      <c r="CD74" s="13">
        <f>IF(CD$73&lt;=DispositionDate,1,0)</f>
        <v/>
      </c>
      <c r="CE74" s="13">
        <f>IF(CE$73&lt;=DispositionDate,1,0)</f>
        <v/>
      </c>
      <c r="CF74" s="13">
        <f>IF(CF$73&lt;=DispositionDate,1,0)</f>
        <v/>
      </c>
      <c r="CG74" s="13">
        <f>IF(CG$73&lt;=DispositionDate,1,0)</f>
        <v/>
      </c>
      <c r="CH74" s="13">
        <f>IF(CH$73&lt;=DispositionDate,1,0)</f>
        <v/>
      </c>
      <c r="CI74" s="13">
        <f>IF(CI$73&lt;=DispositionDate,1,0)</f>
        <v/>
      </c>
      <c r="CJ74" s="13">
        <f>IF(CJ$73&lt;=DispositionDate,1,0)</f>
        <v/>
      </c>
      <c r="CK74" s="13">
        <f>IF(CK$73&lt;=DispositionDate,1,0)</f>
        <v/>
      </c>
      <c r="CL74" s="13">
        <f>IF(CL$73&lt;=DispositionDate,1,0)</f>
        <v/>
      </c>
      <c r="CM74" s="13">
        <f>IF(CM$73&lt;=DispositionDate,1,0)</f>
        <v/>
      </c>
      <c r="CN74" s="13">
        <f>IF(CN$73&lt;=DispositionDate,1,0)</f>
        <v/>
      </c>
      <c r="CO74" s="13">
        <f>IF(CO$73&lt;=DispositionDate,1,0)</f>
        <v/>
      </c>
      <c r="CP74" s="13">
        <f>IF(CP$73&lt;=DispositionDate,1,0)</f>
        <v/>
      </c>
      <c r="CQ74" s="13">
        <f>IF(CQ$73&lt;=DispositionDate,1,0)</f>
        <v/>
      </c>
      <c r="CR74" s="13">
        <f>IF(CR$73&lt;=DispositionDate,1,0)</f>
        <v/>
      </c>
      <c r="CS74" s="13">
        <f>IF(CS$73&lt;=DispositionDate,1,0)</f>
        <v/>
      </c>
      <c r="CT74" s="13">
        <f>IF(CT$73&lt;=DispositionDate,1,0)</f>
        <v/>
      </c>
      <c r="CU74" s="13">
        <f>IF(CU$73&lt;=DispositionDate,1,0)</f>
        <v/>
      </c>
      <c r="CV74" s="13">
        <f>IF(CV$73&lt;=DispositionDate,1,0)</f>
        <v/>
      </c>
      <c r="CW74" s="13">
        <f>IF(CW$73&lt;=DispositionDate,1,0)</f>
        <v/>
      </c>
      <c r="CX74" s="13">
        <f>IF(CX$73&lt;=DispositionDate,1,0)</f>
        <v/>
      </c>
      <c r="CY74" s="13">
        <f>IF(CY$73&lt;=DispositionDate,1,0)</f>
        <v/>
      </c>
      <c r="CZ74" s="13">
        <f>IF(CZ$73&lt;=DispositionDate,1,0)</f>
        <v/>
      </c>
      <c r="DA74" s="13">
        <f>IF(DA$73&lt;=DispositionDate,1,0)</f>
        <v/>
      </c>
      <c r="DB74" s="13">
        <f>IF(DB$73&lt;=DispositionDate,1,0)</f>
        <v/>
      </c>
      <c r="DC74" s="13">
        <f>IF(DC$73&lt;=DispositionDate,1,0)</f>
        <v/>
      </c>
      <c r="DD74" s="13">
        <f>IF(DD$73&lt;=DispositionDate,1,0)</f>
        <v/>
      </c>
      <c r="DE74" s="13">
        <f>IF(DE$73&lt;=DispositionDate,1,0)</f>
        <v/>
      </c>
      <c r="DF74" s="13">
        <f>IF(DF$73&lt;=DispositionDate,1,0)</f>
        <v/>
      </c>
      <c r="DG74" s="13">
        <f>IF(DG$73&lt;=DispositionDate,1,0)</f>
        <v/>
      </c>
      <c r="DH74" s="13">
        <f>IF(DH$73&lt;=DispositionDate,1,0)</f>
        <v/>
      </c>
      <c r="DI74" s="13">
        <f>IF(DI$73&lt;=DispositionDate,1,0)</f>
        <v/>
      </c>
      <c r="DJ74" s="13">
        <f>IF(DJ$73&lt;=DispositionDate,1,0)</f>
        <v/>
      </c>
      <c r="DK74" s="13">
        <f>IF(DK$73&lt;=DispositionDate,1,0)</f>
        <v/>
      </c>
      <c r="DL74" s="13">
        <f>IF(DL$73&lt;=DispositionDate,1,0)</f>
        <v/>
      </c>
      <c r="DM74" s="13">
        <f>IF(DM$73&lt;=DispositionDate,1,0)</f>
        <v/>
      </c>
      <c r="DN74" s="13">
        <f>IF(DN$73&lt;=DispositionDate,1,0)</f>
        <v/>
      </c>
      <c r="DO74" s="13">
        <f>IF(DO$73&lt;=DispositionDate,1,0)</f>
        <v/>
      </c>
      <c r="DP74" s="13">
        <f>IF(DP$73&lt;=DispositionDate,1,0)</f>
        <v/>
      </c>
      <c r="DQ74" s="13">
        <f>IF(DQ$73&lt;=DispositionDate,1,0)</f>
        <v/>
      </c>
      <c r="DR74" s="13">
        <f>IF(DR$73&lt;=DispositionDate,1,0)</f>
        <v/>
      </c>
      <c r="DS74" s="13">
        <f>IF(DS$73&lt;=DispositionDate,1,0)</f>
        <v/>
      </c>
      <c r="DT74" s="13">
        <f>IF(DT$73&lt;=DispositionDate,1,0)</f>
        <v/>
      </c>
    </row>
    <row r="75">
      <c r="A75" s="3" t="inlineStr">
        <is>
          <t>Hold-year number (1-based)</t>
        </is>
      </c>
      <c r="E75" s="13">
        <f>IF(E$74=1,INT((E$72-1)/12)+1,0)</f>
        <v/>
      </c>
      <c r="F75" s="13">
        <f>IF(F$74=1,INT((F$72-1)/12)+1,0)</f>
        <v/>
      </c>
      <c r="G75" s="13">
        <f>IF(G$74=1,INT((G$72-1)/12)+1,0)</f>
        <v/>
      </c>
      <c r="H75" s="13">
        <f>IF(H$74=1,INT((H$72-1)/12)+1,0)</f>
        <v/>
      </c>
      <c r="I75" s="13">
        <f>IF(I$74=1,INT((I$72-1)/12)+1,0)</f>
        <v/>
      </c>
      <c r="J75" s="13">
        <f>IF(J$74=1,INT((J$72-1)/12)+1,0)</f>
        <v/>
      </c>
      <c r="K75" s="13">
        <f>IF(K$74=1,INT((K$72-1)/12)+1,0)</f>
        <v/>
      </c>
      <c r="L75" s="13">
        <f>IF(L$74=1,INT((L$72-1)/12)+1,0)</f>
        <v/>
      </c>
      <c r="M75" s="13">
        <f>IF(M$74=1,INT((M$72-1)/12)+1,0)</f>
        <v/>
      </c>
      <c r="N75" s="13">
        <f>IF(N$74=1,INT((N$72-1)/12)+1,0)</f>
        <v/>
      </c>
      <c r="O75" s="13">
        <f>IF(O$74=1,INT((O$72-1)/12)+1,0)</f>
        <v/>
      </c>
      <c r="P75" s="13">
        <f>IF(P$74=1,INT((P$72-1)/12)+1,0)</f>
        <v/>
      </c>
      <c r="Q75" s="13">
        <f>IF(Q$74=1,INT((Q$72-1)/12)+1,0)</f>
        <v/>
      </c>
      <c r="R75" s="13">
        <f>IF(R$74=1,INT((R$72-1)/12)+1,0)</f>
        <v/>
      </c>
      <c r="S75" s="13">
        <f>IF(S$74=1,INT((S$72-1)/12)+1,0)</f>
        <v/>
      </c>
      <c r="T75" s="13">
        <f>IF(T$74=1,INT((T$72-1)/12)+1,0)</f>
        <v/>
      </c>
      <c r="U75" s="13">
        <f>IF(U$74=1,INT((U$72-1)/12)+1,0)</f>
        <v/>
      </c>
      <c r="V75" s="13">
        <f>IF(V$74=1,INT((V$72-1)/12)+1,0)</f>
        <v/>
      </c>
      <c r="W75" s="13">
        <f>IF(W$74=1,INT((W$72-1)/12)+1,0)</f>
        <v/>
      </c>
      <c r="X75" s="13">
        <f>IF(X$74=1,INT((X$72-1)/12)+1,0)</f>
        <v/>
      </c>
      <c r="Y75" s="13">
        <f>IF(Y$74=1,INT((Y$72-1)/12)+1,0)</f>
        <v/>
      </c>
      <c r="Z75" s="13">
        <f>IF(Z$74=1,INT((Z$72-1)/12)+1,0)</f>
        <v/>
      </c>
      <c r="AA75" s="13">
        <f>IF(AA$74=1,INT((AA$72-1)/12)+1,0)</f>
        <v/>
      </c>
      <c r="AB75" s="13">
        <f>IF(AB$74=1,INT((AB$72-1)/12)+1,0)</f>
        <v/>
      </c>
      <c r="AC75" s="13">
        <f>IF(AC$74=1,INT((AC$72-1)/12)+1,0)</f>
        <v/>
      </c>
      <c r="AD75" s="13">
        <f>IF(AD$74=1,INT((AD$72-1)/12)+1,0)</f>
        <v/>
      </c>
      <c r="AE75" s="13">
        <f>IF(AE$74=1,INT((AE$72-1)/12)+1,0)</f>
        <v/>
      </c>
      <c r="AF75" s="13">
        <f>IF(AF$74=1,INT((AF$72-1)/12)+1,0)</f>
        <v/>
      </c>
      <c r="AG75" s="13">
        <f>IF(AG$74=1,INT((AG$72-1)/12)+1,0)</f>
        <v/>
      </c>
      <c r="AH75" s="13">
        <f>IF(AH$74=1,INT((AH$72-1)/12)+1,0)</f>
        <v/>
      </c>
      <c r="AI75" s="13">
        <f>IF(AI$74=1,INT((AI$72-1)/12)+1,0)</f>
        <v/>
      </c>
      <c r="AJ75" s="13">
        <f>IF(AJ$74=1,INT((AJ$72-1)/12)+1,0)</f>
        <v/>
      </c>
      <c r="AK75" s="13">
        <f>IF(AK$74=1,INT((AK$72-1)/12)+1,0)</f>
        <v/>
      </c>
      <c r="AL75" s="13">
        <f>IF(AL$74=1,INT((AL$72-1)/12)+1,0)</f>
        <v/>
      </c>
      <c r="AM75" s="13">
        <f>IF(AM$74=1,INT((AM$72-1)/12)+1,0)</f>
        <v/>
      </c>
      <c r="AN75" s="13">
        <f>IF(AN$74=1,INT((AN$72-1)/12)+1,0)</f>
        <v/>
      </c>
      <c r="AO75" s="13">
        <f>IF(AO$74=1,INT((AO$72-1)/12)+1,0)</f>
        <v/>
      </c>
      <c r="AP75" s="13">
        <f>IF(AP$74=1,INT((AP$72-1)/12)+1,0)</f>
        <v/>
      </c>
      <c r="AQ75" s="13">
        <f>IF(AQ$74=1,INT((AQ$72-1)/12)+1,0)</f>
        <v/>
      </c>
      <c r="AR75" s="13">
        <f>IF(AR$74=1,INT((AR$72-1)/12)+1,0)</f>
        <v/>
      </c>
      <c r="AS75" s="13">
        <f>IF(AS$74=1,INT((AS$72-1)/12)+1,0)</f>
        <v/>
      </c>
      <c r="AT75" s="13">
        <f>IF(AT$74=1,INT((AT$72-1)/12)+1,0)</f>
        <v/>
      </c>
      <c r="AU75" s="13">
        <f>IF(AU$74=1,INT((AU$72-1)/12)+1,0)</f>
        <v/>
      </c>
      <c r="AV75" s="13">
        <f>IF(AV$74=1,INT((AV$72-1)/12)+1,0)</f>
        <v/>
      </c>
      <c r="AW75" s="13">
        <f>IF(AW$74=1,INT((AW$72-1)/12)+1,0)</f>
        <v/>
      </c>
      <c r="AX75" s="13">
        <f>IF(AX$74=1,INT((AX$72-1)/12)+1,0)</f>
        <v/>
      </c>
      <c r="AY75" s="13">
        <f>IF(AY$74=1,INT((AY$72-1)/12)+1,0)</f>
        <v/>
      </c>
      <c r="AZ75" s="13">
        <f>IF(AZ$74=1,INT((AZ$72-1)/12)+1,0)</f>
        <v/>
      </c>
      <c r="BA75" s="13">
        <f>IF(BA$74=1,INT((BA$72-1)/12)+1,0)</f>
        <v/>
      </c>
      <c r="BB75" s="13">
        <f>IF(BB$74=1,INT((BB$72-1)/12)+1,0)</f>
        <v/>
      </c>
      <c r="BC75" s="13">
        <f>IF(BC$74=1,INT((BC$72-1)/12)+1,0)</f>
        <v/>
      </c>
      <c r="BD75" s="13">
        <f>IF(BD$74=1,INT((BD$72-1)/12)+1,0)</f>
        <v/>
      </c>
      <c r="BE75" s="13">
        <f>IF(BE$74=1,INT((BE$72-1)/12)+1,0)</f>
        <v/>
      </c>
      <c r="BF75" s="13">
        <f>IF(BF$74=1,INT((BF$72-1)/12)+1,0)</f>
        <v/>
      </c>
      <c r="BG75" s="13">
        <f>IF(BG$74=1,INT((BG$72-1)/12)+1,0)</f>
        <v/>
      </c>
      <c r="BH75" s="13">
        <f>IF(BH$74=1,INT((BH$72-1)/12)+1,0)</f>
        <v/>
      </c>
      <c r="BI75" s="13">
        <f>IF(BI$74=1,INT((BI$72-1)/12)+1,0)</f>
        <v/>
      </c>
      <c r="BJ75" s="13">
        <f>IF(BJ$74=1,INT((BJ$72-1)/12)+1,0)</f>
        <v/>
      </c>
      <c r="BK75" s="13">
        <f>IF(BK$74=1,INT((BK$72-1)/12)+1,0)</f>
        <v/>
      </c>
      <c r="BL75" s="13">
        <f>IF(BL$74=1,INT((BL$72-1)/12)+1,0)</f>
        <v/>
      </c>
      <c r="BM75" s="13">
        <f>IF(BM$74=1,INT((BM$72-1)/12)+1,0)</f>
        <v/>
      </c>
      <c r="BN75" s="13">
        <f>IF(BN$74=1,INT((BN$72-1)/12)+1,0)</f>
        <v/>
      </c>
      <c r="BO75" s="13">
        <f>IF(BO$74=1,INT((BO$72-1)/12)+1,0)</f>
        <v/>
      </c>
      <c r="BP75" s="13">
        <f>IF(BP$74=1,INT((BP$72-1)/12)+1,0)</f>
        <v/>
      </c>
      <c r="BQ75" s="13">
        <f>IF(BQ$74=1,INT((BQ$72-1)/12)+1,0)</f>
        <v/>
      </c>
      <c r="BR75" s="13">
        <f>IF(BR$74=1,INT((BR$72-1)/12)+1,0)</f>
        <v/>
      </c>
      <c r="BS75" s="13">
        <f>IF(BS$74=1,INT((BS$72-1)/12)+1,0)</f>
        <v/>
      </c>
      <c r="BT75" s="13">
        <f>IF(BT$74=1,INT((BT$72-1)/12)+1,0)</f>
        <v/>
      </c>
      <c r="BU75" s="13">
        <f>IF(BU$74=1,INT((BU$72-1)/12)+1,0)</f>
        <v/>
      </c>
      <c r="BV75" s="13">
        <f>IF(BV$74=1,INT((BV$72-1)/12)+1,0)</f>
        <v/>
      </c>
      <c r="BW75" s="13">
        <f>IF(BW$74=1,INT((BW$72-1)/12)+1,0)</f>
        <v/>
      </c>
      <c r="BX75" s="13">
        <f>IF(BX$74=1,INT((BX$72-1)/12)+1,0)</f>
        <v/>
      </c>
      <c r="BY75" s="13">
        <f>IF(BY$74=1,INT((BY$72-1)/12)+1,0)</f>
        <v/>
      </c>
      <c r="BZ75" s="13">
        <f>IF(BZ$74=1,INT((BZ$72-1)/12)+1,0)</f>
        <v/>
      </c>
      <c r="CA75" s="13">
        <f>IF(CA$74=1,INT((CA$72-1)/12)+1,0)</f>
        <v/>
      </c>
      <c r="CB75" s="13">
        <f>IF(CB$74=1,INT((CB$72-1)/12)+1,0)</f>
        <v/>
      </c>
      <c r="CC75" s="13">
        <f>IF(CC$74=1,INT((CC$72-1)/12)+1,0)</f>
        <v/>
      </c>
      <c r="CD75" s="13">
        <f>IF(CD$74=1,INT((CD$72-1)/12)+1,0)</f>
        <v/>
      </c>
      <c r="CE75" s="13">
        <f>IF(CE$74=1,INT((CE$72-1)/12)+1,0)</f>
        <v/>
      </c>
      <c r="CF75" s="13">
        <f>IF(CF$74=1,INT((CF$72-1)/12)+1,0)</f>
        <v/>
      </c>
      <c r="CG75" s="13">
        <f>IF(CG$74=1,INT((CG$72-1)/12)+1,0)</f>
        <v/>
      </c>
      <c r="CH75" s="13">
        <f>IF(CH$74=1,INT((CH$72-1)/12)+1,0)</f>
        <v/>
      </c>
      <c r="CI75" s="13">
        <f>IF(CI$74=1,INT((CI$72-1)/12)+1,0)</f>
        <v/>
      </c>
      <c r="CJ75" s="13">
        <f>IF(CJ$74=1,INT((CJ$72-1)/12)+1,0)</f>
        <v/>
      </c>
      <c r="CK75" s="13">
        <f>IF(CK$74=1,INT((CK$72-1)/12)+1,0)</f>
        <v/>
      </c>
      <c r="CL75" s="13">
        <f>IF(CL$74=1,INT((CL$72-1)/12)+1,0)</f>
        <v/>
      </c>
      <c r="CM75" s="13">
        <f>IF(CM$74=1,INT((CM$72-1)/12)+1,0)</f>
        <v/>
      </c>
      <c r="CN75" s="13">
        <f>IF(CN$74=1,INT((CN$72-1)/12)+1,0)</f>
        <v/>
      </c>
      <c r="CO75" s="13">
        <f>IF(CO$74=1,INT((CO$72-1)/12)+1,0)</f>
        <v/>
      </c>
      <c r="CP75" s="13">
        <f>IF(CP$74=1,INT((CP$72-1)/12)+1,0)</f>
        <v/>
      </c>
      <c r="CQ75" s="13">
        <f>IF(CQ$74=1,INT((CQ$72-1)/12)+1,0)</f>
        <v/>
      </c>
      <c r="CR75" s="13">
        <f>IF(CR$74=1,INT((CR$72-1)/12)+1,0)</f>
        <v/>
      </c>
      <c r="CS75" s="13">
        <f>IF(CS$74=1,INT((CS$72-1)/12)+1,0)</f>
        <v/>
      </c>
      <c r="CT75" s="13">
        <f>IF(CT$74=1,INT((CT$72-1)/12)+1,0)</f>
        <v/>
      </c>
      <c r="CU75" s="13">
        <f>IF(CU$74=1,INT((CU$72-1)/12)+1,0)</f>
        <v/>
      </c>
      <c r="CV75" s="13">
        <f>IF(CV$74=1,INT((CV$72-1)/12)+1,0)</f>
        <v/>
      </c>
      <c r="CW75" s="13">
        <f>IF(CW$74=1,INT((CW$72-1)/12)+1,0)</f>
        <v/>
      </c>
      <c r="CX75" s="13">
        <f>IF(CX$74=1,INT((CX$72-1)/12)+1,0)</f>
        <v/>
      </c>
      <c r="CY75" s="13">
        <f>IF(CY$74=1,INT((CY$72-1)/12)+1,0)</f>
        <v/>
      </c>
      <c r="CZ75" s="13">
        <f>IF(CZ$74=1,INT((CZ$72-1)/12)+1,0)</f>
        <v/>
      </c>
      <c r="DA75" s="13">
        <f>IF(DA$74=1,INT((DA$72-1)/12)+1,0)</f>
        <v/>
      </c>
      <c r="DB75" s="13">
        <f>IF(DB$74=1,INT((DB$72-1)/12)+1,0)</f>
        <v/>
      </c>
      <c r="DC75" s="13">
        <f>IF(DC$74=1,INT((DC$72-1)/12)+1,0)</f>
        <v/>
      </c>
      <c r="DD75" s="13">
        <f>IF(DD$74=1,INT((DD$72-1)/12)+1,0)</f>
        <v/>
      </c>
      <c r="DE75" s="13">
        <f>IF(DE$74=1,INT((DE$72-1)/12)+1,0)</f>
        <v/>
      </c>
      <c r="DF75" s="13">
        <f>IF(DF$74=1,INT((DF$72-1)/12)+1,0)</f>
        <v/>
      </c>
      <c r="DG75" s="13">
        <f>IF(DG$74=1,INT((DG$72-1)/12)+1,0)</f>
        <v/>
      </c>
      <c r="DH75" s="13">
        <f>IF(DH$74=1,INT((DH$72-1)/12)+1,0)</f>
        <v/>
      </c>
      <c r="DI75" s="13">
        <f>IF(DI$74=1,INT((DI$72-1)/12)+1,0)</f>
        <v/>
      </c>
      <c r="DJ75" s="13">
        <f>IF(DJ$74=1,INT((DJ$72-1)/12)+1,0)</f>
        <v/>
      </c>
      <c r="DK75" s="13">
        <f>IF(DK$74=1,INT((DK$72-1)/12)+1,0)</f>
        <v/>
      </c>
      <c r="DL75" s="13">
        <f>IF(DL$74=1,INT((DL$72-1)/12)+1,0)</f>
        <v/>
      </c>
      <c r="DM75" s="13">
        <f>IF(DM$74=1,INT((DM$72-1)/12)+1,0)</f>
        <v/>
      </c>
      <c r="DN75" s="13">
        <f>IF(DN$74=1,INT((DN$72-1)/12)+1,0)</f>
        <v/>
      </c>
      <c r="DO75" s="13">
        <f>IF(DO$74=1,INT((DO$72-1)/12)+1,0)</f>
        <v/>
      </c>
      <c r="DP75" s="13">
        <f>IF(DP$74=1,INT((DP$72-1)/12)+1,0)</f>
        <v/>
      </c>
      <c r="DQ75" s="13">
        <f>IF(DQ$74=1,INT((DQ$72-1)/12)+1,0)</f>
        <v/>
      </c>
      <c r="DR75" s="13">
        <f>IF(DR$74=1,INT((DR$72-1)/12)+1,0)</f>
        <v/>
      </c>
      <c r="DS75" s="13">
        <f>IF(DS$74=1,INT((DS$72-1)/12)+1,0)</f>
        <v/>
      </c>
      <c r="DT75" s="13">
        <f>IF(DT$74=1,INT((DT$72-1)/12)+1,0)</f>
        <v/>
      </c>
    </row>
    <row r="76">
      <c r="A76" s="3" t="inlineStr">
        <is>
          <t>Exit-month flag (1 at disposition)</t>
        </is>
      </c>
      <c r="E76" s="13">
        <f>IF(AND(E$74=1,F$74=0),1,0)</f>
        <v/>
      </c>
      <c r="F76" s="13">
        <f>IF(AND(F$74=1,G$74=0),1,0)</f>
        <v/>
      </c>
      <c r="G76" s="13">
        <f>IF(AND(G$74=1,H$74=0),1,0)</f>
        <v/>
      </c>
      <c r="H76" s="13">
        <f>IF(AND(H$74=1,I$74=0),1,0)</f>
        <v/>
      </c>
      <c r="I76" s="13">
        <f>IF(AND(I$74=1,J$74=0),1,0)</f>
        <v/>
      </c>
      <c r="J76" s="13">
        <f>IF(AND(J$74=1,K$74=0),1,0)</f>
        <v/>
      </c>
      <c r="K76" s="13">
        <f>IF(AND(K$74=1,L$74=0),1,0)</f>
        <v/>
      </c>
      <c r="L76" s="13">
        <f>IF(AND(L$74=1,M$74=0),1,0)</f>
        <v/>
      </c>
      <c r="M76" s="13">
        <f>IF(AND(M$74=1,N$74=0),1,0)</f>
        <v/>
      </c>
      <c r="N76" s="13">
        <f>IF(AND(N$74=1,O$74=0),1,0)</f>
        <v/>
      </c>
      <c r="O76" s="13">
        <f>IF(AND(O$74=1,P$74=0),1,0)</f>
        <v/>
      </c>
      <c r="P76" s="13">
        <f>IF(AND(P$74=1,Q$74=0),1,0)</f>
        <v/>
      </c>
      <c r="Q76" s="13">
        <f>IF(AND(Q$74=1,R$74=0),1,0)</f>
        <v/>
      </c>
      <c r="R76" s="13">
        <f>IF(AND(R$74=1,S$74=0),1,0)</f>
        <v/>
      </c>
      <c r="S76" s="13">
        <f>IF(AND(S$74=1,T$74=0),1,0)</f>
        <v/>
      </c>
      <c r="T76" s="13">
        <f>IF(AND(T$74=1,U$74=0),1,0)</f>
        <v/>
      </c>
      <c r="U76" s="13">
        <f>IF(AND(U$74=1,V$74=0),1,0)</f>
        <v/>
      </c>
      <c r="V76" s="13">
        <f>IF(AND(V$74=1,W$74=0),1,0)</f>
        <v/>
      </c>
      <c r="W76" s="13">
        <f>IF(AND(W$74=1,X$74=0),1,0)</f>
        <v/>
      </c>
      <c r="X76" s="13">
        <f>IF(AND(X$74=1,Y$74=0),1,0)</f>
        <v/>
      </c>
      <c r="Y76" s="13">
        <f>IF(AND(Y$74=1,Z$74=0),1,0)</f>
        <v/>
      </c>
      <c r="Z76" s="13">
        <f>IF(AND(Z$74=1,AA$74=0),1,0)</f>
        <v/>
      </c>
      <c r="AA76" s="13">
        <f>IF(AND(AA$74=1,AB$74=0),1,0)</f>
        <v/>
      </c>
      <c r="AB76" s="13">
        <f>IF(AND(AB$74=1,AC$74=0),1,0)</f>
        <v/>
      </c>
      <c r="AC76" s="13">
        <f>IF(AND(AC$74=1,AD$74=0),1,0)</f>
        <v/>
      </c>
      <c r="AD76" s="13">
        <f>IF(AND(AD$74=1,AE$74=0),1,0)</f>
        <v/>
      </c>
      <c r="AE76" s="13">
        <f>IF(AND(AE$74=1,AF$74=0),1,0)</f>
        <v/>
      </c>
      <c r="AF76" s="13">
        <f>IF(AND(AF$74=1,AG$74=0),1,0)</f>
        <v/>
      </c>
      <c r="AG76" s="13">
        <f>IF(AND(AG$74=1,AH$74=0),1,0)</f>
        <v/>
      </c>
      <c r="AH76" s="13">
        <f>IF(AND(AH$74=1,AI$74=0),1,0)</f>
        <v/>
      </c>
      <c r="AI76" s="13">
        <f>IF(AND(AI$74=1,AJ$74=0),1,0)</f>
        <v/>
      </c>
      <c r="AJ76" s="13">
        <f>IF(AND(AJ$74=1,AK$74=0),1,0)</f>
        <v/>
      </c>
      <c r="AK76" s="13">
        <f>IF(AND(AK$74=1,AL$74=0),1,0)</f>
        <v/>
      </c>
      <c r="AL76" s="13">
        <f>IF(AND(AL$74=1,AM$74=0),1,0)</f>
        <v/>
      </c>
      <c r="AM76" s="13">
        <f>IF(AND(AM$74=1,AN$74=0),1,0)</f>
        <v/>
      </c>
      <c r="AN76" s="13">
        <f>IF(AND(AN$74=1,AO$74=0),1,0)</f>
        <v/>
      </c>
      <c r="AO76" s="13">
        <f>IF(AND(AO$74=1,AP$74=0),1,0)</f>
        <v/>
      </c>
      <c r="AP76" s="13">
        <f>IF(AND(AP$74=1,AQ$74=0),1,0)</f>
        <v/>
      </c>
      <c r="AQ76" s="13">
        <f>IF(AND(AQ$74=1,AR$74=0),1,0)</f>
        <v/>
      </c>
      <c r="AR76" s="13">
        <f>IF(AND(AR$74=1,AS$74=0),1,0)</f>
        <v/>
      </c>
      <c r="AS76" s="13">
        <f>IF(AND(AS$74=1,AT$74=0),1,0)</f>
        <v/>
      </c>
      <c r="AT76" s="13">
        <f>IF(AND(AT$74=1,AU$74=0),1,0)</f>
        <v/>
      </c>
      <c r="AU76" s="13">
        <f>IF(AND(AU$74=1,AV$74=0),1,0)</f>
        <v/>
      </c>
      <c r="AV76" s="13">
        <f>IF(AND(AV$74=1,AW$74=0),1,0)</f>
        <v/>
      </c>
      <c r="AW76" s="13">
        <f>IF(AND(AW$74=1,AX$74=0),1,0)</f>
        <v/>
      </c>
      <c r="AX76" s="13">
        <f>IF(AND(AX$74=1,AY$74=0),1,0)</f>
        <v/>
      </c>
      <c r="AY76" s="13">
        <f>IF(AND(AY$74=1,AZ$74=0),1,0)</f>
        <v/>
      </c>
      <c r="AZ76" s="13">
        <f>IF(AND(AZ$74=1,BA$74=0),1,0)</f>
        <v/>
      </c>
      <c r="BA76" s="13">
        <f>IF(AND(BA$74=1,BB$74=0),1,0)</f>
        <v/>
      </c>
      <c r="BB76" s="13">
        <f>IF(AND(BB$74=1,BC$74=0),1,0)</f>
        <v/>
      </c>
      <c r="BC76" s="13">
        <f>IF(AND(BC$74=1,BD$74=0),1,0)</f>
        <v/>
      </c>
      <c r="BD76" s="13">
        <f>IF(AND(BD$74=1,BE$74=0),1,0)</f>
        <v/>
      </c>
      <c r="BE76" s="13">
        <f>IF(AND(BE$74=1,BF$74=0),1,0)</f>
        <v/>
      </c>
      <c r="BF76" s="13">
        <f>IF(AND(BF$74=1,BG$74=0),1,0)</f>
        <v/>
      </c>
      <c r="BG76" s="13">
        <f>IF(AND(BG$74=1,BH$74=0),1,0)</f>
        <v/>
      </c>
      <c r="BH76" s="13">
        <f>IF(AND(BH$74=1,BI$74=0),1,0)</f>
        <v/>
      </c>
      <c r="BI76" s="13">
        <f>IF(AND(BI$74=1,BJ$74=0),1,0)</f>
        <v/>
      </c>
      <c r="BJ76" s="13">
        <f>IF(AND(BJ$74=1,BK$74=0),1,0)</f>
        <v/>
      </c>
      <c r="BK76" s="13">
        <f>IF(AND(BK$74=1,BL$74=0),1,0)</f>
        <v/>
      </c>
      <c r="BL76" s="13">
        <f>IF(AND(BL$74=1,BM$74=0),1,0)</f>
        <v/>
      </c>
      <c r="BM76" s="13">
        <f>IF(AND(BM$74=1,BN$74=0),1,0)</f>
        <v/>
      </c>
      <c r="BN76" s="13">
        <f>IF(AND(BN$74=1,BO$74=0),1,0)</f>
        <v/>
      </c>
      <c r="BO76" s="13">
        <f>IF(AND(BO$74=1,BP$74=0),1,0)</f>
        <v/>
      </c>
      <c r="BP76" s="13">
        <f>IF(AND(BP$74=1,BQ$74=0),1,0)</f>
        <v/>
      </c>
      <c r="BQ76" s="13">
        <f>IF(AND(BQ$74=1,BR$74=0),1,0)</f>
        <v/>
      </c>
      <c r="BR76" s="13">
        <f>IF(AND(BR$74=1,BS$74=0),1,0)</f>
        <v/>
      </c>
      <c r="BS76" s="13">
        <f>IF(AND(BS$74=1,BT$74=0),1,0)</f>
        <v/>
      </c>
      <c r="BT76" s="13">
        <f>IF(AND(BT$74=1,BU$74=0),1,0)</f>
        <v/>
      </c>
      <c r="BU76" s="13">
        <f>IF(AND(BU$74=1,BV$74=0),1,0)</f>
        <v/>
      </c>
      <c r="BV76" s="13">
        <f>IF(AND(BV$74=1,BW$74=0),1,0)</f>
        <v/>
      </c>
      <c r="BW76" s="13">
        <f>IF(AND(BW$74=1,BX$74=0),1,0)</f>
        <v/>
      </c>
      <c r="BX76" s="13">
        <f>IF(AND(BX$74=1,BY$74=0),1,0)</f>
        <v/>
      </c>
      <c r="BY76" s="13">
        <f>IF(AND(BY$74=1,BZ$74=0),1,0)</f>
        <v/>
      </c>
      <c r="BZ76" s="13">
        <f>IF(AND(BZ$74=1,CA$74=0),1,0)</f>
        <v/>
      </c>
      <c r="CA76" s="13">
        <f>IF(AND(CA$74=1,CB$74=0),1,0)</f>
        <v/>
      </c>
      <c r="CB76" s="13">
        <f>IF(AND(CB$74=1,CC$74=0),1,0)</f>
        <v/>
      </c>
      <c r="CC76" s="13">
        <f>IF(AND(CC$74=1,CD$74=0),1,0)</f>
        <v/>
      </c>
      <c r="CD76" s="13">
        <f>IF(AND(CD$74=1,CE$74=0),1,0)</f>
        <v/>
      </c>
      <c r="CE76" s="13">
        <f>IF(AND(CE$74=1,CF$74=0),1,0)</f>
        <v/>
      </c>
      <c r="CF76" s="13">
        <f>IF(AND(CF$74=1,CG$74=0),1,0)</f>
        <v/>
      </c>
      <c r="CG76" s="13">
        <f>IF(AND(CG$74=1,CH$74=0),1,0)</f>
        <v/>
      </c>
      <c r="CH76" s="13">
        <f>IF(AND(CH$74=1,CI$74=0),1,0)</f>
        <v/>
      </c>
      <c r="CI76" s="13">
        <f>IF(AND(CI$74=1,CJ$74=0),1,0)</f>
        <v/>
      </c>
      <c r="CJ76" s="13">
        <f>IF(AND(CJ$74=1,CK$74=0),1,0)</f>
        <v/>
      </c>
      <c r="CK76" s="13">
        <f>IF(AND(CK$74=1,CL$74=0),1,0)</f>
        <v/>
      </c>
      <c r="CL76" s="13">
        <f>IF(AND(CL$74=1,CM$74=0),1,0)</f>
        <v/>
      </c>
      <c r="CM76" s="13">
        <f>IF(AND(CM$74=1,CN$74=0),1,0)</f>
        <v/>
      </c>
      <c r="CN76" s="13">
        <f>IF(AND(CN$74=1,CO$74=0),1,0)</f>
        <v/>
      </c>
      <c r="CO76" s="13">
        <f>IF(AND(CO$74=1,CP$74=0),1,0)</f>
        <v/>
      </c>
      <c r="CP76" s="13">
        <f>IF(AND(CP$74=1,CQ$74=0),1,0)</f>
        <v/>
      </c>
      <c r="CQ76" s="13">
        <f>IF(AND(CQ$74=1,CR$74=0),1,0)</f>
        <v/>
      </c>
      <c r="CR76" s="13">
        <f>IF(AND(CR$74=1,CS$74=0),1,0)</f>
        <v/>
      </c>
      <c r="CS76" s="13">
        <f>IF(AND(CS$74=1,CT$74=0),1,0)</f>
        <v/>
      </c>
      <c r="CT76" s="13">
        <f>IF(AND(CT$74=1,CU$74=0),1,0)</f>
        <v/>
      </c>
      <c r="CU76" s="13">
        <f>IF(AND(CU$74=1,CV$74=0),1,0)</f>
        <v/>
      </c>
      <c r="CV76" s="13">
        <f>IF(AND(CV$74=1,CW$74=0),1,0)</f>
        <v/>
      </c>
      <c r="CW76" s="13">
        <f>IF(AND(CW$74=1,CX$74=0),1,0)</f>
        <v/>
      </c>
      <c r="CX76" s="13">
        <f>IF(AND(CX$74=1,CY$74=0),1,0)</f>
        <v/>
      </c>
      <c r="CY76" s="13">
        <f>IF(AND(CY$74=1,CZ$74=0),1,0)</f>
        <v/>
      </c>
      <c r="CZ76" s="13">
        <f>IF(AND(CZ$74=1,DA$74=0),1,0)</f>
        <v/>
      </c>
      <c r="DA76" s="13">
        <f>IF(AND(DA$74=1,DB$74=0),1,0)</f>
        <v/>
      </c>
      <c r="DB76" s="13">
        <f>IF(AND(DB$74=1,DC$74=0),1,0)</f>
        <v/>
      </c>
      <c r="DC76" s="13">
        <f>IF(AND(DC$74=1,DD$74=0),1,0)</f>
        <v/>
      </c>
      <c r="DD76" s="13">
        <f>IF(AND(DD$74=1,DE$74=0),1,0)</f>
        <v/>
      </c>
      <c r="DE76" s="13">
        <f>IF(AND(DE$74=1,DF$74=0),1,0)</f>
        <v/>
      </c>
      <c r="DF76" s="13">
        <f>IF(AND(DF$74=1,DG$74=0),1,0)</f>
        <v/>
      </c>
      <c r="DG76" s="13">
        <f>IF(AND(DG$74=1,DH$74=0),1,0)</f>
        <v/>
      </c>
      <c r="DH76" s="13">
        <f>IF(AND(DH$74=1,DI$74=0),1,0)</f>
        <v/>
      </c>
      <c r="DI76" s="13">
        <f>IF(AND(DI$74=1,DJ$74=0),1,0)</f>
        <v/>
      </c>
      <c r="DJ76" s="13">
        <f>IF(AND(DJ$74=1,DK$74=0),1,0)</f>
        <v/>
      </c>
      <c r="DK76" s="13">
        <f>IF(AND(DK$74=1,DL$74=0),1,0)</f>
        <v/>
      </c>
      <c r="DL76" s="13">
        <f>IF(AND(DL$74=1,DM$74=0),1,0)</f>
        <v/>
      </c>
      <c r="DM76" s="13">
        <f>IF(AND(DM$74=1,DN$74=0),1,0)</f>
        <v/>
      </c>
      <c r="DN76" s="13">
        <f>IF(AND(DN$74=1,DO$74=0),1,0)</f>
        <v/>
      </c>
      <c r="DO76" s="13">
        <f>IF(AND(DO$74=1,DP$74=0),1,0)</f>
        <v/>
      </c>
      <c r="DP76" s="13">
        <f>IF(AND(DP$74=1,DQ$74=0),1,0)</f>
        <v/>
      </c>
      <c r="DQ76" s="13">
        <f>IF(AND(DQ$74=1,DR$74=0),1,0)</f>
        <v/>
      </c>
      <c r="DR76" s="13">
        <f>IF(AND(DR$74=1,DS$74=0),1,0)</f>
        <v/>
      </c>
      <c r="DS76" s="13">
        <f>IF(AND(DS$74=1,DT$74=0),1,0)</f>
        <v/>
      </c>
      <c r="DT76" s="13">
        <f>IF(DT$74=1,1,0)</f>
        <v/>
      </c>
    </row>
    <row r="77">
      <c r="A77" s="3" t="inlineStr">
        <is>
          <t>Year-fraction growth factor index (cum-factor col)</t>
        </is>
      </c>
      <c r="E77" s="13">
        <f>MIN(INT(MAX(E$75-1,0)),10)+1</f>
        <v/>
      </c>
      <c r="F77" s="13">
        <f>MIN(INT(MAX(F$75-1,0)),10)+1</f>
        <v/>
      </c>
      <c r="G77" s="13">
        <f>MIN(INT(MAX(G$75-1,0)),10)+1</f>
        <v/>
      </c>
      <c r="H77" s="13">
        <f>MIN(INT(MAX(H$75-1,0)),10)+1</f>
        <v/>
      </c>
      <c r="I77" s="13">
        <f>MIN(INT(MAX(I$75-1,0)),10)+1</f>
        <v/>
      </c>
      <c r="J77" s="13">
        <f>MIN(INT(MAX(J$75-1,0)),10)+1</f>
        <v/>
      </c>
      <c r="K77" s="13">
        <f>MIN(INT(MAX(K$75-1,0)),10)+1</f>
        <v/>
      </c>
      <c r="L77" s="13">
        <f>MIN(INT(MAX(L$75-1,0)),10)+1</f>
        <v/>
      </c>
      <c r="M77" s="13">
        <f>MIN(INT(MAX(M$75-1,0)),10)+1</f>
        <v/>
      </c>
      <c r="N77" s="13">
        <f>MIN(INT(MAX(N$75-1,0)),10)+1</f>
        <v/>
      </c>
      <c r="O77" s="13">
        <f>MIN(INT(MAX(O$75-1,0)),10)+1</f>
        <v/>
      </c>
      <c r="P77" s="13">
        <f>MIN(INT(MAX(P$75-1,0)),10)+1</f>
        <v/>
      </c>
      <c r="Q77" s="13">
        <f>MIN(INT(MAX(Q$75-1,0)),10)+1</f>
        <v/>
      </c>
      <c r="R77" s="13">
        <f>MIN(INT(MAX(R$75-1,0)),10)+1</f>
        <v/>
      </c>
      <c r="S77" s="13">
        <f>MIN(INT(MAX(S$75-1,0)),10)+1</f>
        <v/>
      </c>
      <c r="T77" s="13">
        <f>MIN(INT(MAX(T$75-1,0)),10)+1</f>
        <v/>
      </c>
      <c r="U77" s="13">
        <f>MIN(INT(MAX(U$75-1,0)),10)+1</f>
        <v/>
      </c>
      <c r="V77" s="13">
        <f>MIN(INT(MAX(V$75-1,0)),10)+1</f>
        <v/>
      </c>
      <c r="W77" s="13">
        <f>MIN(INT(MAX(W$75-1,0)),10)+1</f>
        <v/>
      </c>
      <c r="X77" s="13">
        <f>MIN(INT(MAX(X$75-1,0)),10)+1</f>
        <v/>
      </c>
      <c r="Y77" s="13">
        <f>MIN(INT(MAX(Y$75-1,0)),10)+1</f>
        <v/>
      </c>
      <c r="Z77" s="13">
        <f>MIN(INT(MAX(Z$75-1,0)),10)+1</f>
        <v/>
      </c>
      <c r="AA77" s="13">
        <f>MIN(INT(MAX(AA$75-1,0)),10)+1</f>
        <v/>
      </c>
      <c r="AB77" s="13">
        <f>MIN(INT(MAX(AB$75-1,0)),10)+1</f>
        <v/>
      </c>
      <c r="AC77" s="13">
        <f>MIN(INT(MAX(AC$75-1,0)),10)+1</f>
        <v/>
      </c>
      <c r="AD77" s="13">
        <f>MIN(INT(MAX(AD$75-1,0)),10)+1</f>
        <v/>
      </c>
      <c r="AE77" s="13">
        <f>MIN(INT(MAX(AE$75-1,0)),10)+1</f>
        <v/>
      </c>
      <c r="AF77" s="13">
        <f>MIN(INT(MAX(AF$75-1,0)),10)+1</f>
        <v/>
      </c>
      <c r="AG77" s="13">
        <f>MIN(INT(MAX(AG$75-1,0)),10)+1</f>
        <v/>
      </c>
      <c r="AH77" s="13">
        <f>MIN(INT(MAX(AH$75-1,0)),10)+1</f>
        <v/>
      </c>
      <c r="AI77" s="13">
        <f>MIN(INT(MAX(AI$75-1,0)),10)+1</f>
        <v/>
      </c>
      <c r="AJ77" s="13">
        <f>MIN(INT(MAX(AJ$75-1,0)),10)+1</f>
        <v/>
      </c>
      <c r="AK77" s="13">
        <f>MIN(INT(MAX(AK$75-1,0)),10)+1</f>
        <v/>
      </c>
      <c r="AL77" s="13">
        <f>MIN(INT(MAX(AL$75-1,0)),10)+1</f>
        <v/>
      </c>
      <c r="AM77" s="13">
        <f>MIN(INT(MAX(AM$75-1,0)),10)+1</f>
        <v/>
      </c>
      <c r="AN77" s="13">
        <f>MIN(INT(MAX(AN$75-1,0)),10)+1</f>
        <v/>
      </c>
      <c r="AO77" s="13">
        <f>MIN(INT(MAX(AO$75-1,0)),10)+1</f>
        <v/>
      </c>
      <c r="AP77" s="13">
        <f>MIN(INT(MAX(AP$75-1,0)),10)+1</f>
        <v/>
      </c>
      <c r="AQ77" s="13">
        <f>MIN(INT(MAX(AQ$75-1,0)),10)+1</f>
        <v/>
      </c>
      <c r="AR77" s="13">
        <f>MIN(INT(MAX(AR$75-1,0)),10)+1</f>
        <v/>
      </c>
      <c r="AS77" s="13">
        <f>MIN(INT(MAX(AS$75-1,0)),10)+1</f>
        <v/>
      </c>
      <c r="AT77" s="13">
        <f>MIN(INT(MAX(AT$75-1,0)),10)+1</f>
        <v/>
      </c>
      <c r="AU77" s="13">
        <f>MIN(INT(MAX(AU$75-1,0)),10)+1</f>
        <v/>
      </c>
      <c r="AV77" s="13">
        <f>MIN(INT(MAX(AV$75-1,0)),10)+1</f>
        <v/>
      </c>
      <c r="AW77" s="13">
        <f>MIN(INT(MAX(AW$75-1,0)),10)+1</f>
        <v/>
      </c>
      <c r="AX77" s="13">
        <f>MIN(INT(MAX(AX$75-1,0)),10)+1</f>
        <v/>
      </c>
      <c r="AY77" s="13">
        <f>MIN(INT(MAX(AY$75-1,0)),10)+1</f>
        <v/>
      </c>
      <c r="AZ77" s="13">
        <f>MIN(INT(MAX(AZ$75-1,0)),10)+1</f>
        <v/>
      </c>
      <c r="BA77" s="13">
        <f>MIN(INT(MAX(BA$75-1,0)),10)+1</f>
        <v/>
      </c>
      <c r="BB77" s="13">
        <f>MIN(INT(MAX(BB$75-1,0)),10)+1</f>
        <v/>
      </c>
      <c r="BC77" s="13">
        <f>MIN(INT(MAX(BC$75-1,0)),10)+1</f>
        <v/>
      </c>
      <c r="BD77" s="13">
        <f>MIN(INT(MAX(BD$75-1,0)),10)+1</f>
        <v/>
      </c>
      <c r="BE77" s="13">
        <f>MIN(INT(MAX(BE$75-1,0)),10)+1</f>
        <v/>
      </c>
      <c r="BF77" s="13">
        <f>MIN(INT(MAX(BF$75-1,0)),10)+1</f>
        <v/>
      </c>
      <c r="BG77" s="13">
        <f>MIN(INT(MAX(BG$75-1,0)),10)+1</f>
        <v/>
      </c>
      <c r="BH77" s="13">
        <f>MIN(INT(MAX(BH$75-1,0)),10)+1</f>
        <v/>
      </c>
      <c r="BI77" s="13">
        <f>MIN(INT(MAX(BI$75-1,0)),10)+1</f>
        <v/>
      </c>
      <c r="BJ77" s="13">
        <f>MIN(INT(MAX(BJ$75-1,0)),10)+1</f>
        <v/>
      </c>
      <c r="BK77" s="13">
        <f>MIN(INT(MAX(BK$75-1,0)),10)+1</f>
        <v/>
      </c>
      <c r="BL77" s="13">
        <f>MIN(INT(MAX(BL$75-1,0)),10)+1</f>
        <v/>
      </c>
      <c r="BM77" s="13">
        <f>MIN(INT(MAX(BM$75-1,0)),10)+1</f>
        <v/>
      </c>
      <c r="BN77" s="13">
        <f>MIN(INT(MAX(BN$75-1,0)),10)+1</f>
        <v/>
      </c>
      <c r="BO77" s="13">
        <f>MIN(INT(MAX(BO$75-1,0)),10)+1</f>
        <v/>
      </c>
      <c r="BP77" s="13">
        <f>MIN(INT(MAX(BP$75-1,0)),10)+1</f>
        <v/>
      </c>
      <c r="BQ77" s="13">
        <f>MIN(INT(MAX(BQ$75-1,0)),10)+1</f>
        <v/>
      </c>
      <c r="BR77" s="13">
        <f>MIN(INT(MAX(BR$75-1,0)),10)+1</f>
        <v/>
      </c>
      <c r="BS77" s="13">
        <f>MIN(INT(MAX(BS$75-1,0)),10)+1</f>
        <v/>
      </c>
      <c r="BT77" s="13">
        <f>MIN(INT(MAX(BT$75-1,0)),10)+1</f>
        <v/>
      </c>
      <c r="BU77" s="13">
        <f>MIN(INT(MAX(BU$75-1,0)),10)+1</f>
        <v/>
      </c>
      <c r="BV77" s="13">
        <f>MIN(INT(MAX(BV$75-1,0)),10)+1</f>
        <v/>
      </c>
      <c r="BW77" s="13">
        <f>MIN(INT(MAX(BW$75-1,0)),10)+1</f>
        <v/>
      </c>
      <c r="BX77" s="13">
        <f>MIN(INT(MAX(BX$75-1,0)),10)+1</f>
        <v/>
      </c>
      <c r="BY77" s="13">
        <f>MIN(INT(MAX(BY$75-1,0)),10)+1</f>
        <v/>
      </c>
      <c r="BZ77" s="13">
        <f>MIN(INT(MAX(BZ$75-1,0)),10)+1</f>
        <v/>
      </c>
      <c r="CA77" s="13">
        <f>MIN(INT(MAX(CA$75-1,0)),10)+1</f>
        <v/>
      </c>
      <c r="CB77" s="13">
        <f>MIN(INT(MAX(CB$75-1,0)),10)+1</f>
        <v/>
      </c>
      <c r="CC77" s="13">
        <f>MIN(INT(MAX(CC$75-1,0)),10)+1</f>
        <v/>
      </c>
      <c r="CD77" s="13">
        <f>MIN(INT(MAX(CD$75-1,0)),10)+1</f>
        <v/>
      </c>
      <c r="CE77" s="13">
        <f>MIN(INT(MAX(CE$75-1,0)),10)+1</f>
        <v/>
      </c>
      <c r="CF77" s="13">
        <f>MIN(INT(MAX(CF$75-1,0)),10)+1</f>
        <v/>
      </c>
      <c r="CG77" s="13">
        <f>MIN(INT(MAX(CG$75-1,0)),10)+1</f>
        <v/>
      </c>
      <c r="CH77" s="13">
        <f>MIN(INT(MAX(CH$75-1,0)),10)+1</f>
        <v/>
      </c>
      <c r="CI77" s="13">
        <f>MIN(INT(MAX(CI$75-1,0)),10)+1</f>
        <v/>
      </c>
      <c r="CJ77" s="13">
        <f>MIN(INT(MAX(CJ$75-1,0)),10)+1</f>
        <v/>
      </c>
      <c r="CK77" s="13">
        <f>MIN(INT(MAX(CK$75-1,0)),10)+1</f>
        <v/>
      </c>
      <c r="CL77" s="13">
        <f>MIN(INT(MAX(CL$75-1,0)),10)+1</f>
        <v/>
      </c>
      <c r="CM77" s="13">
        <f>MIN(INT(MAX(CM$75-1,0)),10)+1</f>
        <v/>
      </c>
      <c r="CN77" s="13">
        <f>MIN(INT(MAX(CN$75-1,0)),10)+1</f>
        <v/>
      </c>
      <c r="CO77" s="13">
        <f>MIN(INT(MAX(CO$75-1,0)),10)+1</f>
        <v/>
      </c>
      <c r="CP77" s="13">
        <f>MIN(INT(MAX(CP$75-1,0)),10)+1</f>
        <v/>
      </c>
      <c r="CQ77" s="13">
        <f>MIN(INT(MAX(CQ$75-1,0)),10)+1</f>
        <v/>
      </c>
      <c r="CR77" s="13">
        <f>MIN(INT(MAX(CR$75-1,0)),10)+1</f>
        <v/>
      </c>
      <c r="CS77" s="13">
        <f>MIN(INT(MAX(CS$75-1,0)),10)+1</f>
        <v/>
      </c>
      <c r="CT77" s="13">
        <f>MIN(INT(MAX(CT$75-1,0)),10)+1</f>
        <v/>
      </c>
      <c r="CU77" s="13">
        <f>MIN(INT(MAX(CU$75-1,0)),10)+1</f>
        <v/>
      </c>
      <c r="CV77" s="13">
        <f>MIN(INT(MAX(CV$75-1,0)),10)+1</f>
        <v/>
      </c>
      <c r="CW77" s="13">
        <f>MIN(INT(MAX(CW$75-1,0)),10)+1</f>
        <v/>
      </c>
      <c r="CX77" s="13">
        <f>MIN(INT(MAX(CX$75-1,0)),10)+1</f>
        <v/>
      </c>
      <c r="CY77" s="13">
        <f>MIN(INT(MAX(CY$75-1,0)),10)+1</f>
        <v/>
      </c>
      <c r="CZ77" s="13">
        <f>MIN(INT(MAX(CZ$75-1,0)),10)+1</f>
        <v/>
      </c>
      <c r="DA77" s="13">
        <f>MIN(INT(MAX(DA$75-1,0)),10)+1</f>
        <v/>
      </c>
      <c r="DB77" s="13">
        <f>MIN(INT(MAX(DB$75-1,0)),10)+1</f>
        <v/>
      </c>
      <c r="DC77" s="13">
        <f>MIN(INT(MAX(DC$75-1,0)),10)+1</f>
        <v/>
      </c>
      <c r="DD77" s="13">
        <f>MIN(INT(MAX(DD$75-1,0)),10)+1</f>
        <v/>
      </c>
      <c r="DE77" s="13">
        <f>MIN(INT(MAX(DE$75-1,0)),10)+1</f>
        <v/>
      </c>
      <c r="DF77" s="13">
        <f>MIN(INT(MAX(DF$75-1,0)),10)+1</f>
        <v/>
      </c>
      <c r="DG77" s="13">
        <f>MIN(INT(MAX(DG$75-1,0)),10)+1</f>
        <v/>
      </c>
      <c r="DH77" s="13">
        <f>MIN(INT(MAX(DH$75-1,0)),10)+1</f>
        <v/>
      </c>
      <c r="DI77" s="13">
        <f>MIN(INT(MAX(DI$75-1,0)),10)+1</f>
        <v/>
      </c>
      <c r="DJ77" s="13">
        <f>MIN(INT(MAX(DJ$75-1,0)),10)+1</f>
        <v/>
      </c>
      <c r="DK77" s="13">
        <f>MIN(INT(MAX(DK$75-1,0)),10)+1</f>
        <v/>
      </c>
      <c r="DL77" s="13">
        <f>MIN(INT(MAX(DL$75-1,0)),10)+1</f>
        <v/>
      </c>
      <c r="DM77" s="13">
        <f>MIN(INT(MAX(DM$75-1,0)),10)+1</f>
        <v/>
      </c>
      <c r="DN77" s="13">
        <f>MIN(INT(MAX(DN$75-1,0)),10)+1</f>
        <v/>
      </c>
      <c r="DO77" s="13">
        <f>MIN(INT(MAX(DO$75-1,0)),10)+1</f>
        <v/>
      </c>
      <c r="DP77" s="13">
        <f>MIN(INT(MAX(DP$75-1,0)),10)+1</f>
        <v/>
      </c>
      <c r="DQ77" s="13">
        <f>MIN(INT(MAX(DQ$75-1,0)),10)+1</f>
        <v/>
      </c>
      <c r="DR77" s="13">
        <f>MIN(INT(MAX(DR$75-1,0)),10)+1</f>
        <v/>
      </c>
      <c r="DS77" s="13">
        <f>MIN(INT(MAX(DS$75-1,0)),10)+1</f>
        <v/>
      </c>
      <c r="DT77" s="13">
        <f>MIN(INT(MAX(DT$75-1,0)),10)+1</f>
        <v/>
      </c>
    </row>
    <row r="79">
      <c r="A79" s="8" t="inlineStr">
        <is>
          <t>Derived exit &amp; cost metrics</t>
        </is>
      </c>
      <c r="B79" s="9" t="n"/>
      <c r="C79" s="9" t="n"/>
      <c r="D79" s="9" t="n"/>
      <c r="E79" s="9" t="n"/>
      <c r="F79" s="9" t="n"/>
    </row>
    <row r="80">
      <c r="A80" s="10" t="inlineStr">
        <is>
          <t>Trailing 12-mo exit NOI ($)</t>
        </is>
      </c>
      <c r="B80" s="50">
        <f>SUMIFS('Monthly CF'!E$12:DT$12,Assumptions!E$72:DT$72,"&gt;"&amp;(HoldMonths-12),Assumptions!E$72:DT$72,"&lt;="&amp;HoldMonths)</f>
        <v/>
      </c>
    </row>
    <row r="81">
      <c r="A81" s="10" t="inlineStr">
        <is>
          <t>Forward 12-mo exit NOI ($)</t>
        </is>
      </c>
      <c r="B81" s="52">
        <f>ExitNOI_Trailing*(1+INDEX(Vec_MFRent,1,1))</f>
        <v/>
      </c>
    </row>
    <row r="82">
      <c r="A82" s="10" t="inlineStr">
        <is>
          <t>Exit NOI (basis-selected) ($)</t>
        </is>
      </c>
      <c r="B82" s="52">
        <f>IF(ExitNOIBasis="Trailing 12-mo",ExitNOI_Trailing,ExitNOI_Forward)</f>
        <v/>
      </c>
    </row>
    <row r="83">
      <c r="A83" s="10" t="inlineStr">
        <is>
          <t>MF NOI share (exit, by EGI)</t>
        </is>
      </c>
      <c r="B83" s="60">
        <f>SUMIFS('Monthly CF'!E$7:DT$7,Assumptions!E$72:DT$72,"&gt;"&amp;(HoldMonths-12),Assumptions!E$72:DT$72,"&lt;="&amp;HoldMonths)/MAX(1,SUMIFS('Monthly CF'!E$7:DT$7,Assumptions!E$72:DT$72,"&gt;"&amp;(HoldMonths-12),Assumptions!E$72:DT$72,"&lt;="&amp;HoldMonths)+SUMIFS('Monthly CF'!E$8:DT$8,Assumptions!E$72:DT$72,"&gt;"&amp;(HoldMonths-12),Assumptions!E$72:DT$72,"&lt;="&amp;HoldMonths))</f>
        <v/>
      </c>
    </row>
    <row r="84">
      <c r="A84" s="10" t="inlineStr">
        <is>
          <t>Exit gross value ($)</t>
        </is>
      </c>
      <c r="B84" s="52">
        <f>IF(ExitValMethod="Component Caps (MF + Retail summed)",ExitNOI*MF_NOI_Share/ExitCapMF+ExitNOI*(1-MF_NOI_Share)/ExitCapRetail,ExitNOI/ExitCapBlended)</f>
        <v/>
      </c>
    </row>
    <row r="85">
      <c r="A85" s="10" t="inlineStr">
        <is>
          <t>Total cost ($)</t>
        </is>
      </c>
      <c r="B85" s="52">
        <f>PurchasePrice+PurchasePrice*ClosingCostPct+TotalCapBudget+FinancingCosts</f>
        <v/>
      </c>
    </row>
    <row r="86">
      <c r="A86" s="10" t="inlineStr">
        <is>
          <t>Yield-on-cost (stabilized) (%)</t>
        </is>
      </c>
      <c r="B86" s="35">
        <f>StabNOI/TotalCost</f>
        <v/>
      </c>
    </row>
    <row r="87">
      <c r="A87" s="10" t="inlineStr">
        <is>
          <t>Development spread (YoC - exit cap) (bps)</t>
        </is>
      </c>
      <c r="B87" s="61">
        <f>(YieldOnCost-ExitCapBlended)*10000</f>
        <v/>
      </c>
    </row>
    <row r="88">
      <c r="A88" s="10" t="inlineStr">
        <is>
          <t>Going-in cap (%)</t>
        </is>
      </c>
      <c r="B88" s="35">
        <f>GoingInNOI/PurchasePrice</f>
        <v/>
      </c>
    </row>
    <row r="89">
      <c r="A89" s="10" t="inlineStr">
        <is>
          <t>Stabilized cap (%)</t>
        </is>
      </c>
      <c r="B89" s="35">
        <f>StabNOI/PurchasePrice</f>
        <v/>
      </c>
    </row>
    <row r="90">
      <c r="A90" s="10" t="inlineStr">
        <is>
          <t>Initial equity ($) [= total cost - loan]</t>
        </is>
      </c>
      <c r="B90" s="52">
        <f>TotalCost-LoanAmount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1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MF REVENUE — Unit-by-Unit Rent Roll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37" t="inlineStr">
        <is>
          <t>Unit ID</t>
        </is>
      </c>
      <c r="B5" s="37" t="inlineStr">
        <is>
          <t>Type</t>
        </is>
      </c>
      <c r="C5" s="37" t="inlineStr">
        <is>
          <t>SF</t>
        </is>
      </c>
      <c r="D5" s="37" t="inlineStr">
        <is>
          <t>In-place rent ($/mo)</t>
        </is>
      </c>
      <c r="E5" s="37" t="inlineStr">
        <is>
          <t>Market rent ($/mo)</t>
        </is>
      </c>
      <c r="F5" s="37" t="inlineStr">
        <is>
          <t>Lease expiry (mo idx)</t>
        </is>
      </c>
      <c r="G5" s="37" t="inlineStr">
        <is>
          <t>Status</t>
        </is>
      </c>
    </row>
    <row r="6">
      <c r="A6" s="38" t="inlineStr">
        <is>
          <t>U001</t>
        </is>
      </c>
      <c r="B6" s="38" t="inlineStr">
        <is>
          <t>Studio</t>
        </is>
      </c>
      <c r="C6" s="29" t="n">
        <v>520</v>
      </c>
      <c r="D6" s="55" t="n">
        <v>1452</v>
      </c>
      <c r="E6" s="55" t="n">
        <v>1650</v>
      </c>
      <c r="F6" s="29" t="n">
        <v>1</v>
      </c>
      <c r="G6" s="38" t="inlineStr">
        <is>
          <t>Occupied</t>
        </is>
      </c>
    </row>
    <row r="7">
      <c r="A7" s="38" t="inlineStr">
        <is>
          <t>U002</t>
        </is>
      </c>
      <c r="B7" s="38" t="inlineStr">
        <is>
          <t>1BR</t>
        </is>
      </c>
      <c r="C7" s="29" t="n">
        <v>720</v>
      </c>
      <c r="D7" s="55" t="n">
        <v>1905</v>
      </c>
      <c r="E7" s="55" t="n">
        <v>2165</v>
      </c>
      <c r="F7" s="29" t="n">
        <v>2</v>
      </c>
      <c r="G7" s="38" t="inlineStr">
        <is>
          <t>Occupied</t>
        </is>
      </c>
    </row>
    <row r="8">
      <c r="A8" s="38" t="inlineStr">
        <is>
          <t>U003</t>
        </is>
      </c>
      <c r="B8" s="38" t="inlineStr">
        <is>
          <t>1BR</t>
        </is>
      </c>
      <c r="C8" s="29" t="n">
        <v>760</v>
      </c>
      <c r="D8" s="55" t="n">
        <v>2006</v>
      </c>
      <c r="E8" s="55" t="n">
        <v>2280</v>
      </c>
      <c r="F8" s="29" t="n">
        <v>3</v>
      </c>
      <c r="G8" s="38" t="inlineStr">
        <is>
          <t>Occupied</t>
        </is>
      </c>
    </row>
    <row r="9">
      <c r="A9" s="38" t="inlineStr">
        <is>
          <t>U004</t>
        </is>
      </c>
      <c r="B9" s="38" t="inlineStr">
        <is>
          <t>2BR</t>
        </is>
      </c>
      <c r="C9" s="29" t="n">
        <v>1050</v>
      </c>
      <c r="D9" s="55" t="n">
        <v>2504</v>
      </c>
      <c r="E9" s="55" t="n">
        <v>2845</v>
      </c>
      <c r="F9" s="29" t="n">
        <v>4</v>
      </c>
      <c r="G9" s="38" t="inlineStr">
        <is>
          <t>Occupied</t>
        </is>
      </c>
    </row>
    <row r="10">
      <c r="A10" s="38" t="inlineStr">
        <is>
          <t>U005</t>
        </is>
      </c>
      <c r="B10" s="38" t="inlineStr">
        <is>
          <t>2BR</t>
        </is>
      </c>
      <c r="C10" s="29" t="n">
        <v>1080</v>
      </c>
      <c r="D10" s="55" t="n">
        <v>2561</v>
      </c>
      <c r="E10" s="55" t="n">
        <v>2910</v>
      </c>
      <c r="F10" s="29" t="n">
        <v>5</v>
      </c>
      <c r="G10" s="38" t="inlineStr">
        <is>
          <t>Occupied</t>
        </is>
      </c>
    </row>
    <row r="11">
      <c r="A11" s="38" t="inlineStr">
        <is>
          <t>U006</t>
        </is>
      </c>
      <c r="B11" s="38" t="inlineStr">
        <is>
          <t>3BR</t>
        </is>
      </c>
      <c r="C11" s="29" t="n">
        <v>1320</v>
      </c>
      <c r="D11" s="55" t="n">
        <v>3080</v>
      </c>
      <c r="E11" s="55" t="n">
        <v>3500</v>
      </c>
      <c r="F11" s="29" t="n">
        <v>6</v>
      </c>
      <c r="G11" s="38" t="inlineStr">
        <is>
          <t>Occupied</t>
        </is>
      </c>
    </row>
    <row r="12">
      <c r="A12" s="38" t="inlineStr">
        <is>
          <t>U007</t>
        </is>
      </c>
      <c r="B12" s="38" t="inlineStr">
        <is>
          <t>Studio</t>
        </is>
      </c>
      <c r="C12" s="29" t="n">
        <v>520</v>
      </c>
      <c r="D12" s="55" t="n">
        <v>1465</v>
      </c>
      <c r="E12" s="55" t="n">
        <v>1665</v>
      </c>
      <c r="F12" s="29" t="n">
        <v>7</v>
      </c>
      <c r="G12" s="38" t="inlineStr">
        <is>
          <t>Occupied</t>
        </is>
      </c>
    </row>
    <row r="13">
      <c r="A13" s="38" t="inlineStr">
        <is>
          <t>U008</t>
        </is>
      </c>
      <c r="B13" s="38" t="inlineStr">
        <is>
          <t>1BR</t>
        </is>
      </c>
      <c r="C13" s="29" t="n">
        <v>720</v>
      </c>
      <c r="D13" s="55" t="n">
        <v>1918</v>
      </c>
      <c r="E13" s="55" t="n">
        <v>2180</v>
      </c>
      <c r="F13" s="29" t="n">
        <v>8</v>
      </c>
      <c r="G13" s="38" t="inlineStr">
        <is>
          <t>Occupied</t>
        </is>
      </c>
    </row>
    <row r="14">
      <c r="A14" s="38" t="inlineStr">
        <is>
          <t>U009</t>
        </is>
      </c>
      <c r="B14" s="38" t="inlineStr">
        <is>
          <t>1BR</t>
        </is>
      </c>
      <c r="C14" s="29" t="n">
        <v>760</v>
      </c>
      <c r="D14" s="55" t="n">
        <v>2020</v>
      </c>
      <c r="E14" s="55" t="n">
        <v>2295</v>
      </c>
      <c r="F14" s="29" t="n">
        <v>9</v>
      </c>
      <c r="G14" s="38" t="inlineStr">
        <is>
          <t>Occupied</t>
        </is>
      </c>
    </row>
    <row r="15">
      <c r="A15" s="38" t="inlineStr">
        <is>
          <t>U010</t>
        </is>
      </c>
      <c r="B15" s="38" t="inlineStr">
        <is>
          <t>2BR</t>
        </is>
      </c>
      <c r="C15" s="29" t="n">
        <v>1050</v>
      </c>
      <c r="D15" s="55" t="n">
        <v>2517</v>
      </c>
      <c r="E15" s="55" t="n">
        <v>2860</v>
      </c>
      <c r="F15" s="29" t="n">
        <v>10</v>
      </c>
      <c r="G15" s="38" t="inlineStr">
        <is>
          <t>Occupied</t>
        </is>
      </c>
    </row>
    <row r="16">
      <c r="A16" s="38" t="inlineStr">
        <is>
          <t>U011</t>
        </is>
      </c>
      <c r="B16" s="38" t="inlineStr">
        <is>
          <t>2BR</t>
        </is>
      </c>
      <c r="C16" s="29" t="n">
        <v>1080</v>
      </c>
      <c r="D16" s="55" t="n">
        <v>2508</v>
      </c>
      <c r="E16" s="55" t="n">
        <v>2850</v>
      </c>
      <c r="F16" s="29" t="n">
        <v>11</v>
      </c>
      <c r="G16" s="38" t="inlineStr">
        <is>
          <t>Occupied</t>
        </is>
      </c>
    </row>
    <row r="17">
      <c r="A17" s="38" t="inlineStr">
        <is>
          <t>U012</t>
        </is>
      </c>
      <c r="B17" s="38" t="inlineStr">
        <is>
          <t>3BR</t>
        </is>
      </c>
      <c r="C17" s="29" t="n">
        <v>1320</v>
      </c>
      <c r="D17" s="55" t="n">
        <v>3093</v>
      </c>
      <c r="E17" s="55" t="n">
        <v>3515</v>
      </c>
      <c r="F17" s="29" t="n">
        <v>12</v>
      </c>
      <c r="G17" s="38" t="inlineStr">
        <is>
          <t>Occupied</t>
        </is>
      </c>
    </row>
    <row r="18">
      <c r="A18" s="38" t="inlineStr">
        <is>
          <t>U013</t>
        </is>
      </c>
      <c r="B18" s="38" t="inlineStr">
        <is>
          <t>Studio</t>
        </is>
      </c>
      <c r="C18" s="29" t="n">
        <v>520</v>
      </c>
      <c r="D18" s="55" t="n">
        <v>1478</v>
      </c>
      <c r="E18" s="55" t="n">
        <v>1680</v>
      </c>
      <c r="F18" s="29" t="n">
        <v>13</v>
      </c>
      <c r="G18" s="38" t="inlineStr">
        <is>
          <t>Occupied</t>
        </is>
      </c>
    </row>
    <row r="19">
      <c r="A19" s="38" t="inlineStr">
        <is>
          <t>U014</t>
        </is>
      </c>
      <c r="B19" s="38" t="inlineStr">
        <is>
          <t>1BR</t>
        </is>
      </c>
      <c r="C19" s="29" t="n">
        <v>720</v>
      </c>
      <c r="D19" s="55" t="n">
        <v>1932</v>
      </c>
      <c r="E19" s="55" t="n">
        <v>2195</v>
      </c>
      <c r="F19" s="29" t="n">
        <v>14</v>
      </c>
      <c r="G19" s="38" t="inlineStr">
        <is>
          <t>Occupied</t>
        </is>
      </c>
    </row>
    <row r="20">
      <c r="A20" s="38" t="inlineStr">
        <is>
          <t>U015</t>
        </is>
      </c>
      <c r="B20" s="38" t="inlineStr">
        <is>
          <t>1BR</t>
        </is>
      </c>
      <c r="C20" s="29" t="n">
        <v>760</v>
      </c>
      <c r="D20" s="55" t="n">
        <v>2033</v>
      </c>
      <c r="E20" s="55" t="n">
        <v>2310</v>
      </c>
      <c r="F20" s="29" t="n">
        <v>15</v>
      </c>
      <c r="G20" s="38" t="inlineStr">
        <is>
          <t>Occupied</t>
        </is>
      </c>
    </row>
    <row r="21">
      <c r="A21" s="38" t="inlineStr">
        <is>
          <t>U016</t>
        </is>
      </c>
      <c r="B21" s="38" t="inlineStr">
        <is>
          <t>2BR</t>
        </is>
      </c>
      <c r="C21" s="29" t="n">
        <v>1050</v>
      </c>
      <c r="D21" s="55" t="n">
        <v>2464</v>
      </c>
      <c r="E21" s="55" t="n">
        <v>2800</v>
      </c>
      <c r="F21" s="29" t="n">
        <v>16</v>
      </c>
      <c r="G21" s="38" t="inlineStr">
        <is>
          <t>Occupied</t>
        </is>
      </c>
    </row>
    <row r="22">
      <c r="A22" s="38" t="inlineStr">
        <is>
          <t>U017</t>
        </is>
      </c>
      <c r="B22" s="38" t="inlineStr">
        <is>
          <t>2BR</t>
        </is>
      </c>
      <c r="C22" s="29" t="n">
        <v>1080</v>
      </c>
      <c r="D22" s="55" t="n">
        <v>2521</v>
      </c>
      <c r="E22" s="55" t="n">
        <v>2865</v>
      </c>
      <c r="F22" s="29" t="n">
        <v>17</v>
      </c>
      <c r="G22" s="38" t="inlineStr">
        <is>
          <t>Occupied</t>
        </is>
      </c>
    </row>
    <row r="23">
      <c r="A23" s="38" t="inlineStr">
        <is>
          <t>U018</t>
        </is>
      </c>
      <c r="B23" s="38" t="inlineStr">
        <is>
          <t>3BR</t>
        </is>
      </c>
      <c r="C23" s="29" t="n">
        <v>1320</v>
      </c>
      <c r="D23" s="55" t="n">
        <v>3106</v>
      </c>
      <c r="E23" s="55" t="n">
        <v>3530</v>
      </c>
      <c r="F23" s="29" t="n">
        <v>18</v>
      </c>
      <c r="G23" s="38" t="inlineStr">
        <is>
          <t>Occupied</t>
        </is>
      </c>
    </row>
    <row r="24">
      <c r="A24" s="38" t="inlineStr">
        <is>
          <t>U019</t>
        </is>
      </c>
      <c r="B24" s="38" t="inlineStr">
        <is>
          <t>Studio</t>
        </is>
      </c>
      <c r="C24" s="29" t="n">
        <v>520</v>
      </c>
      <c r="D24" s="55" t="n">
        <v>1492</v>
      </c>
      <c r="E24" s="55" t="n">
        <v>1695</v>
      </c>
      <c r="F24" s="29" t="n">
        <v>19</v>
      </c>
      <c r="G24" s="38" t="inlineStr">
        <is>
          <t>Occupied</t>
        </is>
      </c>
    </row>
    <row r="25">
      <c r="A25" s="38" t="inlineStr">
        <is>
          <t>U020</t>
        </is>
      </c>
      <c r="B25" s="38" t="inlineStr">
        <is>
          <t>1BR</t>
        </is>
      </c>
      <c r="C25" s="29" t="n">
        <v>720</v>
      </c>
      <c r="D25" s="55" t="n">
        <v>1945</v>
      </c>
      <c r="E25" s="55" t="n">
        <v>2210</v>
      </c>
      <c r="F25" s="29" t="n">
        <v>20</v>
      </c>
      <c r="G25" s="38" t="inlineStr">
        <is>
          <t>Occupied</t>
        </is>
      </c>
    </row>
    <row r="26">
      <c r="A26" s="38" t="inlineStr">
        <is>
          <t>U021</t>
        </is>
      </c>
      <c r="B26" s="38" t="inlineStr">
        <is>
          <t>1BR</t>
        </is>
      </c>
      <c r="C26" s="29" t="n">
        <v>760</v>
      </c>
      <c r="D26" s="55" t="n">
        <v>1980</v>
      </c>
      <c r="E26" s="55" t="n">
        <v>2250</v>
      </c>
      <c r="F26" s="29" t="n">
        <v>21</v>
      </c>
      <c r="G26" s="38" t="inlineStr">
        <is>
          <t>Occupied</t>
        </is>
      </c>
    </row>
    <row r="27">
      <c r="A27" s="38" t="inlineStr">
        <is>
          <t>U022</t>
        </is>
      </c>
      <c r="B27" s="38" t="inlineStr">
        <is>
          <t>2BR</t>
        </is>
      </c>
      <c r="C27" s="29" t="n">
        <v>1050</v>
      </c>
      <c r="D27" s="55" t="n">
        <v>2477</v>
      </c>
      <c r="E27" s="55" t="n">
        <v>2815</v>
      </c>
      <c r="F27" s="29" t="n">
        <v>22</v>
      </c>
      <c r="G27" s="38" t="inlineStr">
        <is>
          <t>Occupied</t>
        </is>
      </c>
    </row>
    <row r="28">
      <c r="A28" s="38" t="inlineStr">
        <is>
          <t>U023</t>
        </is>
      </c>
      <c r="B28" s="38" t="inlineStr">
        <is>
          <t>2BR</t>
        </is>
      </c>
      <c r="C28" s="29" t="n">
        <v>1080</v>
      </c>
      <c r="D28" s="55" t="n">
        <v>2534</v>
      </c>
      <c r="E28" s="55" t="n">
        <v>2880</v>
      </c>
      <c r="F28" s="29" t="n">
        <v>23</v>
      </c>
      <c r="G28" s="38" t="inlineStr">
        <is>
          <t>Occupied</t>
        </is>
      </c>
    </row>
    <row r="29">
      <c r="A29" s="38" t="inlineStr">
        <is>
          <t>U024</t>
        </is>
      </c>
      <c r="B29" s="38" t="inlineStr">
        <is>
          <t>3BR</t>
        </is>
      </c>
      <c r="C29" s="29" t="n">
        <v>1320</v>
      </c>
      <c r="D29" s="55" t="n">
        <v>3120</v>
      </c>
      <c r="E29" s="55" t="n">
        <v>3545</v>
      </c>
      <c r="F29" s="29" t="n">
        <v>24</v>
      </c>
      <c r="G29" s="38" t="inlineStr">
        <is>
          <t>Occupied</t>
        </is>
      </c>
    </row>
    <row r="30">
      <c r="A30" s="38" t="inlineStr">
        <is>
          <t>U025</t>
        </is>
      </c>
      <c r="B30" s="38" t="inlineStr">
        <is>
          <t>Studio</t>
        </is>
      </c>
      <c r="C30" s="29" t="n">
        <v>520</v>
      </c>
      <c r="D30" s="55" t="n">
        <v>1505</v>
      </c>
      <c r="E30" s="55" t="n">
        <v>1710</v>
      </c>
      <c r="F30" s="29" t="n">
        <v>1</v>
      </c>
      <c r="G30" s="38" t="inlineStr">
        <is>
          <t>Occupied</t>
        </is>
      </c>
    </row>
    <row r="31">
      <c r="A31" s="38" t="inlineStr">
        <is>
          <t>U026</t>
        </is>
      </c>
      <c r="B31" s="38" t="inlineStr">
        <is>
          <t>1BR</t>
        </is>
      </c>
      <c r="C31" s="29" t="n">
        <v>720</v>
      </c>
      <c r="D31" s="55" t="n">
        <v>1892</v>
      </c>
      <c r="E31" s="55" t="n">
        <v>2150</v>
      </c>
      <c r="F31" s="29" t="n">
        <v>2</v>
      </c>
      <c r="G31" s="38" t="inlineStr">
        <is>
          <t>Occupied</t>
        </is>
      </c>
    </row>
    <row r="32">
      <c r="A32" s="38" t="inlineStr">
        <is>
          <t>U027</t>
        </is>
      </c>
      <c r="B32" s="38" t="inlineStr">
        <is>
          <t>1BR</t>
        </is>
      </c>
      <c r="C32" s="29" t="n">
        <v>760</v>
      </c>
      <c r="D32" s="55" t="n">
        <v>1993</v>
      </c>
      <c r="E32" s="55" t="n">
        <v>2265</v>
      </c>
      <c r="F32" s="29" t="n">
        <v>3</v>
      </c>
      <c r="G32" s="38" t="inlineStr">
        <is>
          <t>Occupied</t>
        </is>
      </c>
    </row>
    <row r="33">
      <c r="A33" s="38" t="inlineStr">
        <is>
          <t>U028</t>
        </is>
      </c>
      <c r="B33" s="38" t="inlineStr">
        <is>
          <t>2BR</t>
        </is>
      </c>
      <c r="C33" s="29" t="n">
        <v>1050</v>
      </c>
      <c r="D33" s="55" t="n">
        <v>2490</v>
      </c>
      <c r="E33" s="55" t="n">
        <v>2830</v>
      </c>
      <c r="F33" s="29" t="n">
        <v>4</v>
      </c>
      <c r="G33" s="38" t="inlineStr">
        <is>
          <t>Occupied</t>
        </is>
      </c>
    </row>
    <row r="34">
      <c r="A34" s="38" t="inlineStr">
        <is>
          <t>U029</t>
        </is>
      </c>
      <c r="B34" s="38" t="inlineStr">
        <is>
          <t>2BR</t>
        </is>
      </c>
      <c r="C34" s="29" t="n">
        <v>1080</v>
      </c>
      <c r="D34" s="55" t="n">
        <v>2548</v>
      </c>
      <c r="E34" s="55" t="n">
        <v>2895</v>
      </c>
      <c r="F34" s="29" t="n">
        <v>5</v>
      </c>
      <c r="G34" s="38" t="inlineStr">
        <is>
          <t>Occupied</t>
        </is>
      </c>
    </row>
    <row r="35">
      <c r="A35" s="38" t="inlineStr">
        <is>
          <t>U030</t>
        </is>
      </c>
      <c r="B35" s="38" t="inlineStr">
        <is>
          <t>3BR</t>
        </is>
      </c>
      <c r="C35" s="29" t="n">
        <v>1320</v>
      </c>
      <c r="D35" s="55" t="n">
        <v>3133</v>
      </c>
      <c r="E35" s="55" t="n">
        <v>3560</v>
      </c>
      <c r="F35" s="29" t="n">
        <v>6</v>
      </c>
      <c r="G35" s="38" t="inlineStr">
        <is>
          <t>Occupied</t>
        </is>
      </c>
    </row>
    <row r="36">
      <c r="A36" s="38" t="inlineStr">
        <is>
          <t>U031</t>
        </is>
      </c>
      <c r="B36" s="38" t="inlineStr">
        <is>
          <t>Studio</t>
        </is>
      </c>
      <c r="C36" s="29" t="n">
        <v>520</v>
      </c>
      <c r="D36" s="55" t="n">
        <v>1452</v>
      </c>
      <c r="E36" s="55" t="n">
        <v>1650</v>
      </c>
      <c r="F36" s="29" t="n">
        <v>7</v>
      </c>
      <c r="G36" s="38" t="inlineStr">
        <is>
          <t>Occupied</t>
        </is>
      </c>
    </row>
    <row r="37">
      <c r="A37" s="38" t="inlineStr">
        <is>
          <t>U032</t>
        </is>
      </c>
      <c r="B37" s="38" t="inlineStr">
        <is>
          <t>1BR</t>
        </is>
      </c>
      <c r="C37" s="29" t="n">
        <v>720</v>
      </c>
      <c r="D37" s="55" t="n">
        <v>1905</v>
      </c>
      <c r="E37" s="55" t="n">
        <v>2165</v>
      </c>
      <c r="F37" s="29" t="n">
        <v>8</v>
      </c>
      <c r="G37" s="38" t="inlineStr">
        <is>
          <t>Occupied</t>
        </is>
      </c>
    </row>
    <row r="38">
      <c r="A38" s="38" t="inlineStr">
        <is>
          <t>U033</t>
        </is>
      </c>
      <c r="B38" s="38" t="inlineStr">
        <is>
          <t>1BR</t>
        </is>
      </c>
      <c r="C38" s="29" t="n">
        <v>760</v>
      </c>
      <c r="D38" s="55" t="n">
        <v>2006</v>
      </c>
      <c r="E38" s="55" t="n">
        <v>2280</v>
      </c>
      <c r="F38" s="29" t="n">
        <v>9</v>
      </c>
      <c r="G38" s="38" t="inlineStr">
        <is>
          <t>Occupied</t>
        </is>
      </c>
    </row>
    <row r="39">
      <c r="A39" s="38" t="inlineStr">
        <is>
          <t>U034</t>
        </is>
      </c>
      <c r="B39" s="38" t="inlineStr">
        <is>
          <t>2BR</t>
        </is>
      </c>
      <c r="C39" s="29" t="n">
        <v>1050</v>
      </c>
      <c r="D39" s="55" t="n">
        <v>2504</v>
      </c>
      <c r="E39" s="55" t="n">
        <v>2845</v>
      </c>
      <c r="F39" s="29" t="n">
        <v>10</v>
      </c>
      <c r="G39" s="38" t="inlineStr">
        <is>
          <t>Occupied</t>
        </is>
      </c>
    </row>
    <row r="40">
      <c r="A40" s="38" t="inlineStr">
        <is>
          <t>U035</t>
        </is>
      </c>
      <c r="B40" s="38" t="inlineStr">
        <is>
          <t>2BR</t>
        </is>
      </c>
      <c r="C40" s="29" t="n">
        <v>1080</v>
      </c>
      <c r="D40" s="55" t="n">
        <v>2561</v>
      </c>
      <c r="E40" s="55" t="n">
        <v>2910</v>
      </c>
      <c r="F40" s="29" t="n">
        <v>11</v>
      </c>
      <c r="G40" s="38" t="inlineStr">
        <is>
          <t>Occupied</t>
        </is>
      </c>
    </row>
    <row r="41">
      <c r="A41" s="38" t="inlineStr">
        <is>
          <t>U036</t>
        </is>
      </c>
      <c r="B41" s="38" t="inlineStr">
        <is>
          <t>3BR</t>
        </is>
      </c>
      <c r="C41" s="29" t="n">
        <v>1320</v>
      </c>
      <c r="D41" s="55" t="n">
        <v>3080</v>
      </c>
      <c r="E41" s="55" t="n">
        <v>3500</v>
      </c>
      <c r="F41" s="29" t="n">
        <v>12</v>
      </c>
      <c r="G41" s="38" t="inlineStr">
        <is>
          <t>Occupied</t>
        </is>
      </c>
    </row>
    <row r="42">
      <c r="A42" s="38" t="inlineStr">
        <is>
          <t>U037</t>
        </is>
      </c>
      <c r="B42" s="38" t="inlineStr">
        <is>
          <t>Studio</t>
        </is>
      </c>
      <c r="C42" s="29" t="n">
        <v>520</v>
      </c>
      <c r="D42" s="55" t="n">
        <v>1465</v>
      </c>
      <c r="E42" s="55" t="n">
        <v>1665</v>
      </c>
      <c r="F42" s="29" t="n">
        <v>13</v>
      </c>
      <c r="G42" s="38" t="inlineStr">
        <is>
          <t>Occupied</t>
        </is>
      </c>
    </row>
    <row r="43">
      <c r="A43" s="38" t="inlineStr">
        <is>
          <t>U038</t>
        </is>
      </c>
      <c r="B43" s="38" t="inlineStr">
        <is>
          <t>1BR</t>
        </is>
      </c>
      <c r="C43" s="29" t="n">
        <v>720</v>
      </c>
      <c r="D43" s="55" t="n">
        <v>1918</v>
      </c>
      <c r="E43" s="55" t="n">
        <v>2180</v>
      </c>
      <c r="F43" s="29" t="n">
        <v>14</v>
      </c>
      <c r="G43" s="38" t="inlineStr">
        <is>
          <t>Occupied</t>
        </is>
      </c>
    </row>
    <row r="44">
      <c r="A44" s="38" t="inlineStr">
        <is>
          <t>U039</t>
        </is>
      </c>
      <c r="B44" s="38" t="inlineStr">
        <is>
          <t>1BR</t>
        </is>
      </c>
      <c r="C44" s="29" t="n">
        <v>760</v>
      </c>
      <c r="D44" s="55" t="n">
        <v>2020</v>
      </c>
      <c r="E44" s="55" t="n">
        <v>2295</v>
      </c>
      <c r="F44" s="29" t="n">
        <v>15</v>
      </c>
      <c r="G44" s="38" t="inlineStr">
        <is>
          <t>Occupied</t>
        </is>
      </c>
    </row>
    <row r="45">
      <c r="A45" s="38" t="inlineStr">
        <is>
          <t>U040</t>
        </is>
      </c>
      <c r="B45" s="38" t="inlineStr">
        <is>
          <t>2BR</t>
        </is>
      </c>
      <c r="C45" s="29" t="n">
        <v>1050</v>
      </c>
      <c r="D45" s="55" t="n">
        <v>2517</v>
      </c>
      <c r="E45" s="55" t="n">
        <v>2860</v>
      </c>
      <c r="F45" s="29" t="n">
        <v>16</v>
      </c>
      <c r="G45" s="38" t="inlineStr">
        <is>
          <t>Occupied</t>
        </is>
      </c>
    </row>
    <row r="46">
      <c r="A46" s="38" t="inlineStr">
        <is>
          <t>U041</t>
        </is>
      </c>
      <c r="B46" s="38" t="inlineStr">
        <is>
          <t>2BR</t>
        </is>
      </c>
      <c r="C46" s="29" t="n">
        <v>1080</v>
      </c>
      <c r="D46" s="55" t="n">
        <v>2508</v>
      </c>
      <c r="E46" s="55" t="n">
        <v>2850</v>
      </c>
      <c r="F46" s="29" t="n">
        <v>17</v>
      </c>
      <c r="G46" s="38" t="inlineStr">
        <is>
          <t>Occupied</t>
        </is>
      </c>
    </row>
    <row r="47">
      <c r="A47" s="38" t="inlineStr">
        <is>
          <t>U042</t>
        </is>
      </c>
      <c r="B47" s="38" t="inlineStr">
        <is>
          <t>3BR</t>
        </is>
      </c>
      <c r="C47" s="29" t="n">
        <v>1320</v>
      </c>
      <c r="D47" s="55" t="n">
        <v>3093</v>
      </c>
      <c r="E47" s="55" t="n">
        <v>3515</v>
      </c>
      <c r="F47" s="29" t="n">
        <v>18</v>
      </c>
      <c r="G47" s="38" t="inlineStr">
        <is>
          <t>Occupied</t>
        </is>
      </c>
    </row>
    <row r="48">
      <c r="A48" s="38" t="inlineStr">
        <is>
          <t>U043</t>
        </is>
      </c>
      <c r="B48" s="38" t="inlineStr">
        <is>
          <t>Studio</t>
        </is>
      </c>
      <c r="C48" s="29" t="n">
        <v>520</v>
      </c>
      <c r="D48" s="55" t="n">
        <v>1478</v>
      </c>
      <c r="E48" s="55" t="n">
        <v>1680</v>
      </c>
      <c r="F48" s="29" t="n">
        <v>19</v>
      </c>
      <c r="G48" s="38" t="inlineStr">
        <is>
          <t>Occupied</t>
        </is>
      </c>
    </row>
    <row r="49">
      <c r="A49" s="38" t="inlineStr">
        <is>
          <t>U044</t>
        </is>
      </c>
      <c r="B49" s="38" t="inlineStr">
        <is>
          <t>1BR</t>
        </is>
      </c>
      <c r="C49" s="29" t="n">
        <v>720</v>
      </c>
      <c r="D49" s="55" t="n">
        <v>1932</v>
      </c>
      <c r="E49" s="55" t="n">
        <v>2195</v>
      </c>
      <c r="F49" s="29" t="n">
        <v>20</v>
      </c>
      <c r="G49" s="38" t="inlineStr">
        <is>
          <t>Occupied</t>
        </is>
      </c>
    </row>
    <row r="50">
      <c r="A50" s="38" t="inlineStr">
        <is>
          <t>U045</t>
        </is>
      </c>
      <c r="B50" s="38" t="inlineStr">
        <is>
          <t>1BR</t>
        </is>
      </c>
      <c r="C50" s="29" t="n">
        <v>760</v>
      </c>
      <c r="D50" s="55" t="n">
        <v>2033</v>
      </c>
      <c r="E50" s="55" t="n">
        <v>2310</v>
      </c>
      <c r="F50" s="29" t="n">
        <v>21</v>
      </c>
      <c r="G50" s="38" t="inlineStr">
        <is>
          <t>Occupied</t>
        </is>
      </c>
    </row>
    <row r="51">
      <c r="A51" s="38" t="inlineStr">
        <is>
          <t>U046</t>
        </is>
      </c>
      <c r="B51" s="38" t="inlineStr">
        <is>
          <t>2BR</t>
        </is>
      </c>
      <c r="C51" s="29" t="n">
        <v>1050</v>
      </c>
      <c r="D51" s="55" t="n">
        <v>2464</v>
      </c>
      <c r="E51" s="55" t="n">
        <v>2800</v>
      </c>
      <c r="F51" s="29" t="n">
        <v>22</v>
      </c>
      <c r="G51" s="38" t="inlineStr">
        <is>
          <t>Occupied</t>
        </is>
      </c>
    </row>
    <row r="52">
      <c r="A52" s="38" t="inlineStr">
        <is>
          <t>U047</t>
        </is>
      </c>
      <c r="B52" s="38" t="inlineStr">
        <is>
          <t>2BR</t>
        </is>
      </c>
      <c r="C52" s="29" t="n">
        <v>1080</v>
      </c>
      <c r="D52" s="55" t="n">
        <v>2521</v>
      </c>
      <c r="E52" s="55" t="n">
        <v>2865</v>
      </c>
      <c r="F52" s="29" t="n">
        <v>23</v>
      </c>
      <c r="G52" s="38" t="inlineStr">
        <is>
          <t>Occupied</t>
        </is>
      </c>
    </row>
    <row r="53">
      <c r="A53" s="38" t="inlineStr">
        <is>
          <t>U048</t>
        </is>
      </c>
      <c r="B53" s="38" t="inlineStr">
        <is>
          <t>3BR</t>
        </is>
      </c>
      <c r="C53" s="29" t="n">
        <v>1320</v>
      </c>
      <c r="D53" s="55" t="n">
        <v>3106</v>
      </c>
      <c r="E53" s="55" t="n">
        <v>3530</v>
      </c>
      <c r="F53" s="29" t="n">
        <v>24</v>
      </c>
      <c r="G53" s="38" t="inlineStr">
        <is>
          <t>Occupied</t>
        </is>
      </c>
    </row>
    <row r="54">
      <c r="A54" s="38" t="inlineStr">
        <is>
          <t>U049</t>
        </is>
      </c>
      <c r="B54" s="38" t="inlineStr">
        <is>
          <t>Studio</t>
        </is>
      </c>
      <c r="C54" s="29" t="n">
        <v>520</v>
      </c>
      <c r="D54" s="55" t="n">
        <v>1492</v>
      </c>
      <c r="E54" s="55" t="n">
        <v>1695</v>
      </c>
      <c r="F54" s="29" t="n">
        <v>1</v>
      </c>
      <c r="G54" s="38" t="inlineStr">
        <is>
          <t>Occupied</t>
        </is>
      </c>
    </row>
    <row r="55">
      <c r="A55" s="38" t="inlineStr">
        <is>
          <t>U050</t>
        </is>
      </c>
      <c r="B55" s="38" t="inlineStr">
        <is>
          <t>1BR</t>
        </is>
      </c>
      <c r="C55" s="29" t="n">
        <v>720</v>
      </c>
      <c r="D55" s="55" t="n">
        <v>1945</v>
      </c>
      <c r="E55" s="55" t="n">
        <v>2210</v>
      </c>
      <c r="F55" s="29" t="n">
        <v>2</v>
      </c>
      <c r="G55" s="38" t="inlineStr">
        <is>
          <t>Occupied</t>
        </is>
      </c>
    </row>
    <row r="56">
      <c r="A56" s="38" t="inlineStr">
        <is>
          <t>U051</t>
        </is>
      </c>
      <c r="B56" s="38" t="inlineStr">
        <is>
          <t>1BR</t>
        </is>
      </c>
      <c r="C56" s="29" t="n">
        <v>760</v>
      </c>
      <c r="D56" s="55" t="n">
        <v>1980</v>
      </c>
      <c r="E56" s="55" t="n">
        <v>2250</v>
      </c>
      <c r="F56" s="29" t="n">
        <v>3</v>
      </c>
      <c r="G56" s="38" t="inlineStr">
        <is>
          <t>Occupied</t>
        </is>
      </c>
    </row>
    <row r="57">
      <c r="A57" s="38" t="inlineStr">
        <is>
          <t>U052</t>
        </is>
      </c>
      <c r="B57" s="38" t="inlineStr">
        <is>
          <t>2BR</t>
        </is>
      </c>
      <c r="C57" s="29" t="n">
        <v>1050</v>
      </c>
      <c r="D57" s="55" t="n">
        <v>2477</v>
      </c>
      <c r="E57" s="55" t="n">
        <v>2815</v>
      </c>
      <c r="F57" s="29" t="n">
        <v>4</v>
      </c>
      <c r="G57" s="38" t="inlineStr">
        <is>
          <t>Occupied</t>
        </is>
      </c>
    </row>
    <row r="58">
      <c r="A58" s="38" t="inlineStr">
        <is>
          <t>U053</t>
        </is>
      </c>
      <c r="B58" s="38" t="inlineStr">
        <is>
          <t>2BR</t>
        </is>
      </c>
      <c r="C58" s="29" t="n">
        <v>1080</v>
      </c>
      <c r="D58" s="55" t="n">
        <v>2534</v>
      </c>
      <c r="E58" s="55" t="n">
        <v>2880</v>
      </c>
      <c r="F58" s="29" t="n">
        <v>5</v>
      </c>
      <c r="G58" s="38" t="inlineStr">
        <is>
          <t>Occupied</t>
        </is>
      </c>
    </row>
    <row r="59">
      <c r="A59" s="38" t="inlineStr">
        <is>
          <t>U054</t>
        </is>
      </c>
      <c r="B59" s="38" t="inlineStr">
        <is>
          <t>3BR</t>
        </is>
      </c>
      <c r="C59" s="29" t="n">
        <v>1320</v>
      </c>
      <c r="D59" s="55" t="n">
        <v>3120</v>
      </c>
      <c r="E59" s="55" t="n">
        <v>3545</v>
      </c>
      <c r="F59" s="29" t="n">
        <v>6</v>
      </c>
      <c r="G59" s="38" t="inlineStr">
        <is>
          <t>Occupied</t>
        </is>
      </c>
    </row>
    <row r="60">
      <c r="A60" s="38" t="inlineStr">
        <is>
          <t>U055</t>
        </is>
      </c>
      <c r="B60" s="38" t="inlineStr">
        <is>
          <t>Studio</t>
        </is>
      </c>
      <c r="C60" s="29" t="n">
        <v>520</v>
      </c>
      <c r="D60" s="55" t="n">
        <v>1505</v>
      </c>
      <c r="E60" s="55" t="n">
        <v>1710</v>
      </c>
      <c r="F60" s="29" t="n">
        <v>7</v>
      </c>
      <c r="G60" s="38" t="inlineStr">
        <is>
          <t>Occupied</t>
        </is>
      </c>
    </row>
    <row r="61">
      <c r="A61" s="38" t="inlineStr">
        <is>
          <t>U056</t>
        </is>
      </c>
      <c r="B61" s="38" t="inlineStr">
        <is>
          <t>1BR</t>
        </is>
      </c>
      <c r="C61" s="29" t="n">
        <v>720</v>
      </c>
      <c r="D61" s="55" t="n">
        <v>1892</v>
      </c>
      <c r="E61" s="55" t="n">
        <v>2150</v>
      </c>
      <c r="F61" s="29" t="n">
        <v>8</v>
      </c>
      <c r="G61" s="38" t="inlineStr">
        <is>
          <t>Occupied</t>
        </is>
      </c>
    </row>
    <row r="62">
      <c r="A62" s="38" t="inlineStr">
        <is>
          <t>U057</t>
        </is>
      </c>
      <c r="B62" s="38" t="inlineStr">
        <is>
          <t>1BR</t>
        </is>
      </c>
      <c r="C62" s="29" t="n">
        <v>760</v>
      </c>
      <c r="D62" s="55" t="n">
        <v>1993</v>
      </c>
      <c r="E62" s="55" t="n">
        <v>2265</v>
      </c>
      <c r="F62" s="29" t="n">
        <v>9</v>
      </c>
      <c r="G62" s="38" t="inlineStr">
        <is>
          <t>Occupied</t>
        </is>
      </c>
    </row>
    <row r="63">
      <c r="A63" s="38" t="inlineStr">
        <is>
          <t>U058</t>
        </is>
      </c>
      <c r="B63" s="38" t="inlineStr">
        <is>
          <t>2BR</t>
        </is>
      </c>
      <c r="C63" s="29" t="n">
        <v>1050</v>
      </c>
      <c r="D63" s="55" t="n">
        <v>2490</v>
      </c>
      <c r="E63" s="55" t="n">
        <v>2830</v>
      </c>
      <c r="F63" s="29" t="n">
        <v>10</v>
      </c>
      <c r="G63" s="38" t="inlineStr">
        <is>
          <t>Occupied</t>
        </is>
      </c>
    </row>
    <row r="64">
      <c r="A64" s="38" t="inlineStr">
        <is>
          <t>U059</t>
        </is>
      </c>
      <c r="B64" s="38" t="inlineStr">
        <is>
          <t>2BR</t>
        </is>
      </c>
      <c r="C64" s="29" t="n">
        <v>1080</v>
      </c>
      <c r="D64" s="55" t="n">
        <v>2548</v>
      </c>
      <c r="E64" s="55" t="n">
        <v>2895</v>
      </c>
      <c r="F64" s="29" t="n">
        <v>11</v>
      </c>
      <c r="G64" s="38" t="inlineStr">
        <is>
          <t>Occupied</t>
        </is>
      </c>
    </row>
    <row r="65">
      <c r="A65" s="38" t="inlineStr">
        <is>
          <t>U060</t>
        </is>
      </c>
      <c r="B65" s="38" t="inlineStr">
        <is>
          <t>3BR</t>
        </is>
      </c>
      <c r="C65" s="29" t="n">
        <v>1320</v>
      </c>
      <c r="D65" s="55" t="n">
        <v>3133</v>
      </c>
      <c r="E65" s="55" t="n">
        <v>3560</v>
      </c>
      <c r="F65" s="29" t="n">
        <v>12</v>
      </c>
      <c r="G65" s="38" t="inlineStr">
        <is>
          <t>Occupied</t>
        </is>
      </c>
    </row>
    <row r="66">
      <c r="A66" s="38" t="inlineStr">
        <is>
          <t>U061</t>
        </is>
      </c>
      <c r="B66" s="38" t="inlineStr">
        <is>
          <t>Studio</t>
        </is>
      </c>
      <c r="C66" s="29" t="n">
        <v>520</v>
      </c>
      <c r="D66" s="55" t="n">
        <v>1452</v>
      </c>
      <c r="E66" s="55" t="n">
        <v>1650</v>
      </c>
      <c r="F66" s="29" t="n">
        <v>13</v>
      </c>
      <c r="G66" s="38" t="inlineStr">
        <is>
          <t>Occupied</t>
        </is>
      </c>
    </row>
    <row r="67">
      <c r="A67" s="38" t="inlineStr">
        <is>
          <t>U062</t>
        </is>
      </c>
      <c r="B67" s="38" t="inlineStr">
        <is>
          <t>1BR</t>
        </is>
      </c>
      <c r="C67" s="29" t="n">
        <v>720</v>
      </c>
      <c r="D67" s="55" t="n">
        <v>1905</v>
      </c>
      <c r="E67" s="55" t="n">
        <v>2165</v>
      </c>
      <c r="F67" s="29" t="n">
        <v>14</v>
      </c>
      <c r="G67" s="38" t="inlineStr">
        <is>
          <t>Occupied</t>
        </is>
      </c>
    </row>
    <row r="68">
      <c r="A68" s="38" t="inlineStr">
        <is>
          <t>U063</t>
        </is>
      </c>
      <c r="B68" s="38" t="inlineStr">
        <is>
          <t>1BR</t>
        </is>
      </c>
      <c r="C68" s="29" t="n">
        <v>760</v>
      </c>
      <c r="D68" s="55" t="n">
        <v>2006</v>
      </c>
      <c r="E68" s="55" t="n">
        <v>2280</v>
      </c>
      <c r="F68" s="29" t="n">
        <v>15</v>
      </c>
      <c r="G68" s="38" t="inlineStr">
        <is>
          <t>Occupied</t>
        </is>
      </c>
    </row>
    <row r="69">
      <c r="A69" s="38" t="inlineStr">
        <is>
          <t>U064</t>
        </is>
      </c>
      <c r="B69" s="38" t="inlineStr">
        <is>
          <t>2BR</t>
        </is>
      </c>
      <c r="C69" s="29" t="n">
        <v>1050</v>
      </c>
      <c r="D69" s="55" t="n">
        <v>2504</v>
      </c>
      <c r="E69" s="55" t="n">
        <v>2845</v>
      </c>
      <c r="F69" s="29" t="n">
        <v>16</v>
      </c>
      <c r="G69" s="38" t="inlineStr">
        <is>
          <t>Occupied</t>
        </is>
      </c>
    </row>
    <row r="70">
      <c r="A70" s="38" t="inlineStr">
        <is>
          <t>U065</t>
        </is>
      </c>
      <c r="B70" s="38" t="inlineStr">
        <is>
          <t>2BR</t>
        </is>
      </c>
      <c r="C70" s="29" t="n">
        <v>1080</v>
      </c>
      <c r="D70" s="55" t="n">
        <v>2561</v>
      </c>
      <c r="E70" s="55" t="n">
        <v>2910</v>
      </c>
      <c r="F70" s="29" t="n">
        <v>17</v>
      </c>
      <c r="G70" s="38" t="inlineStr">
        <is>
          <t>Occupied</t>
        </is>
      </c>
    </row>
    <row r="71">
      <c r="A71" s="38" t="inlineStr">
        <is>
          <t>U066</t>
        </is>
      </c>
      <c r="B71" s="38" t="inlineStr">
        <is>
          <t>3BR</t>
        </is>
      </c>
      <c r="C71" s="29" t="n">
        <v>1320</v>
      </c>
      <c r="D71" s="55" t="n">
        <v>3080</v>
      </c>
      <c r="E71" s="55" t="n">
        <v>3500</v>
      </c>
      <c r="F71" s="29" t="n">
        <v>18</v>
      </c>
      <c r="G71" s="38" t="inlineStr">
        <is>
          <t>Occupied</t>
        </is>
      </c>
    </row>
    <row r="72">
      <c r="A72" s="38" t="inlineStr">
        <is>
          <t>U067</t>
        </is>
      </c>
      <c r="B72" s="38" t="inlineStr">
        <is>
          <t>Studio</t>
        </is>
      </c>
      <c r="C72" s="29" t="n">
        <v>520</v>
      </c>
      <c r="D72" s="55" t="n">
        <v>1465</v>
      </c>
      <c r="E72" s="55" t="n">
        <v>1665</v>
      </c>
      <c r="F72" s="29" t="n">
        <v>19</v>
      </c>
      <c r="G72" s="38" t="inlineStr">
        <is>
          <t>Occupied</t>
        </is>
      </c>
    </row>
    <row r="73">
      <c r="A73" s="38" t="inlineStr">
        <is>
          <t>U068</t>
        </is>
      </c>
      <c r="B73" s="38" t="inlineStr">
        <is>
          <t>1BR</t>
        </is>
      </c>
      <c r="C73" s="29" t="n">
        <v>720</v>
      </c>
      <c r="D73" s="55" t="n">
        <v>1918</v>
      </c>
      <c r="E73" s="55" t="n">
        <v>2180</v>
      </c>
      <c r="F73" s="29" t="n">
        <v>20</v>
      </c>
      <c r="G73" s="38" t="inlineStr">
        <is>
          <t>Occupied</t>
        </is>
      </c>
    </row>
    <row r="74">
      <c r="A74" s="38" t="inlineStr">
        <is>
          <t>U069</t>
        </is>
      </c>
      <c r="B74" s="38" t="inlineStr">
        <is>
          <t>1BR</t>
        </is>
      </c>
      <c r="C74" s="29" t="n">
        <v>760</v>
      </c>
      <c r="D74" s="55" t="n">
        <v>2020</v>
      </c>
      <c r="E74" s="55" t="n">
        <v>2295</v>
      </c>
      <c r="F74" s="29" t="n">
        <v>21</v>
      </c>
      <c r="G74" s="38" t="inlineStr">
        <is>
          <t>Occupied</t>
        </is>
      </c>
    </row>
    <row r="75">
      <c r="A75" s="38" t="inlineStr">
        <is>
          <t>U070</t>
        </is>
      </c>
      <c r="B75" s="38" t="inlineStr">
        <is>
          <t>2BR</t>
        </is>
      </c>
      <c r="C75" s="29" t="n">
        <v>1050</v>
      </c>
      <c r="D75" s="55" t="n">
        <v>2517</v>
      </c>
      <c r="E75" s="55" t="n">
        <v>2860</v>
      </c>
      <c r="F75" s="29" t="n">
        <v>22</v>
      </c>
      <c r="G75" s="38" t="inlineStr">
        <is>
          <t>Occupied</t>
        </is>
      </c>
    </row>
    <row r="76">
      <c r="A76" s="38" t="inlineStr">
        <is>
          <t>U071</t>
        </is>
      </c>
      <c r="B76" s="38" t="inlineStr">
        <is>
          <t>2BR</t>
        </is>
      </c>
      <c r="C76" s="29" t="n">
        <v>1080</v>
      </c>
      <c r="D76" s="55" t="n">
        <v>2508</v>
      </c>
      <c r="E76" s="55" t="n">
        <v>2850</v>
      </c>
      <c r="F76" s="29" t="n">
        <v>23</v>
      </c>
      <c r="G76" s="38" t="inlineStr">
        <is>
          <t>Occupied</t>
        </is>
      </c>
    </row>
    <row r="77">
      <c r="A77" s="38" t="inlineStr">
        <is>
          <t>U072</t>
        </is>
      </c>
      <c r="B77" s="38" t="inlineStr">
        <is>
          <t>3BR</t>
        </is>
      </c>
      <c r="C77" s="29" t="n">
        <v>1320</v>
      </c>
      <c r="D77" s="55" t="n">
        <v>3093</v>
      </c>
      <c r="E77" s="55" t="n">
        <v>3515</v>
      </c>
      <c r="F77" s="29" t="n">
        <v>24</v>
      </c>
      <c r="G77" s="38" t="inlineStr">
        <is>
          <t>Occupied</t>
        </is>
      </c>
    </row>
    <row r="78">
      <c r="A78" s="38" t="inlineStr">
        <is>
          <t>U073</t>
        </is>
      </c>
      <c r="B78" s="38" t="inlineStr">
        <is>
          <t>Studio</t>
        </is>
      </c>
      <c r="C78" s="29" t="n">
        <v>520</v>
      </c>
      <c r="D78" s="55" t="n">
        <v>1478</v>
      </c>
      <c r="E78" s="55" t="n">
        <v>1680</v>
      </c>
      <c r="F78" s="29" t="n">
        <v>1</v>
      </c>
      <c r="G78" s="38" t="inlineStr">
        <is>
          <t>Occupied</t>
        </is>
      </c>
    </row>
    <row r="79">
      <c r="A79" s="38" t="inlineStr">
        <is>
          <t>U074</t>
        </is>
      </c>
      <c r="B79" s="38" t="inlineStr">
        <is>
          <t>1BR</t>
        </is>
      </c>
      <c r="C79" s="29" t="n">
        <v>720</v>
      </c>
      <c r="D79" s="55" t="n">
        <v>1932</v>
      </c>
      <c r="E79" s="55" t="n">
        <v>2195</v>
      </c>
      <c r="F79" s="29" t="n">
        <v>2</v>
      </c>
      <c r="G79" s="38" t="inlineStr">
        <is>
          <t>Occupied</t>
        </is>
      </c>
    </row>
    <row r="80">
      <c r="A80" s="38" t="inlineStr">
        <is>
          <t>U075</t>
        </is>
      </c>
      <c r="B80" s="38" t="inlineStr">
        <is>
          <t>1BR</t>
        </is>
      </c>
      <c r="C80" s="29" t="n">
        <v>760</v>
      </c>
      <c r="D80" s="55" t="n">
        <v>2033</v>
      </c>
      <c r="E80" s="55" t="n">
        <v>2310</v>
      </c>
      <c r="F80" s="29" t="n">
        <v>3</v>
      </c>
      <c r="G80" s="38" t="inlineStr">
        <is>
          <t>Occupied</t>
        </is>
      </c>
    </row>
    <row r="81">
      <c r="A81" s="38" t="inlineStr">
        <is>
          <t>U076</t>
        </is>
      </c>
      <c r="B81" s="38" t="inlineStr">
        <is>
          <t>2BR</t>
        </is>
      </c>
      <c r="C81" s="29" t="n">
        <v>1050</v>
      </c>
      <c r="D81" s="55" t="n">
        <v>2464</v>
      </c>
      <c r="E81" s="55" t="n">
        <v>2800</v>
      </c>
      <c r="F81" s="29" t="n">
        <v>4</v>
      </c>
      <c r="G81" s="38" t="inlineStr">
        <is>
          <t>Occupied</t>
        </is>
      </c>
    </row>
    <row r="82">
      <c r="A82" s="38" t="inlineStr">
        <is>
          <t>U077</t>
        </is>
      </c>
      <c r="B82" s="38" t="inlineStr">
        <is>
          <t>2BR</t>
        </is>
      </c>
      <c r="C82" s="29" t="n">
        <v>1080</v>
      </c>
      <c r="D82" s="55" t="n">
        <v>2521</v>
      </c>
      <c r="E82" s="55" t="n">
        <v>2865</v>
      </c>
      <c r="F82" s="29" t="n">
        <v>5</v>
      </c>
      <c r="G82" s="38" t="inlineStr">
        <is>
          <t>Occupied</t>
        </is>
      </c>
    </row>
    <row r="83">
      <c r="A83" s="38" t="inlineStr">
        <is>
          <t>U078</t>
        </is>
      </c>
      <c r="B83" s="38" t="inlineStr">
        <is>
          <t>3BR</t>
        </is>
      </c>
      <c r="C83" s="29" t="n">
        <v>1320</v>
      </c>
      <c r="D83" s="55" t="n">
        <v>3106</v>
      </c>
      <c r="E83" s="55" t="n">
        <v>3530</v>
      </c>
      <c r="F83" s="29" t="n">
        <v>6</v>
      </c>
      <c r="G83" s="38" t="inlineStr">
        <is>
          <t>Occupied</t>
        </is>
      </c>
    </row>
    <row r="84">
      <c r="A84" s="38" t="inlineStr">
        <is>
          <t>U079</t>
        </is>
      </c>
      <c r="B84" s="38" t="inlineStr">
        <is>
          <t>Studio</t>
        </is>
      </c>
      <c r="C84" s="29" t="n">
        <v>520</v>
      </c>
      <c r="D84" s="55" t="n">
        <v>1492</v>
      </c>
      <c r="E84" s="55" t="n">
        <v>1695</v>
      </c>
      <c r="F84" s="29" t="n">
        <v>7</v>
      </c>
      <c r="G84" s="38" t="inlineStr">
        <is>
          <t>Occupied</t>
        </is>
      </c>
    </row>
    <row r="85">
      <c r="A85" s="38" t="inlineStr">
        <is>
          <t>U080</t>
        </is>
      </c>
      <c r="B85" s="38" t="inlineStr">
        <is>
          <t>1BR</t>
        </is>
      </c>
      <c r="C85" s="29" t="n">
        <v>720</v>
      </c>
      <c r="D85" s="55" t="n">
        <v>1945</v>
      </c>
      <c r="E85" s="55" t="n">
        <v>2210</v>
      </c>
      <c r="F85" s="29" t="n">
        <v>8</v>
      </c>
      <c r="G85" s="38" t="inlineStr">
        <is>
          <t>Occupied</t>
        </is>
      </c>
    </row>
    <row r="86">
      <c r="A86" s="38" t="inlineStr">
        <is>
          <t>U081</t>
        </is>
      </c>
      <c r="B86" s="38" t="inlineStr">
        <is>
          <t>1BR</t>
        </is>
      </c>
      <c r="C86" s="29" t="n">
        <v>760</v>
      </c>
      <c r="D86" s="55" t="n">
        <v>1980</v>
      </c>
      <c r="E86" s="55" t="n">
        <v>2250</v>
      </c>
      <c r="F86" s="29" t="n">
        <v>9</v>
      </c>
      <c r="G86" s="38" t="inlineStr">
        <is>
          <t>Occupied</t>
        </is>
      </c>
    </row>
    <row r="87">
      <c r="A87" s="38" t="inlineStr">
        <is>
          <t>U082</t>
        </is>
      </c>
      <c r="B87" s="38" t="inlineStr">
        <is>
          <t>2BR</t>
        </is>
      </c>
      <c r="C87" s="29" t="n">
        <v>1050</v>
      </c>
      <c r="D87" s="55" t="n">
        <v>2477</v>
      </c>
      <c r="E87" s="55" t="n">
        <v>2815</v>
      </c>
      <c r="F87" s="29" t="n">
        <v>10</v>
      </c>
      <c r="G87" s="38" t="inlineStr">
        <is>
          <t>Occupied</t>
        </is>
      </c>
    </row>
    <row r="88">
      <c r="A88" s="38" t="inlineStr">
        <is>
          <t>U083</t>
        </is>
      </c>
      <c r="B88" s="38" t="inlineStr">
        <is>
          <t>2BR</t>
        </is>
      </c>
      <c r="C88" s="29" t="n">
        <v>1080</v>
      </c>
      <c r="D88" s="55" t="n">
        <v>2534</v>
      </c>
      <c r="E88" s="55" t="n">
        <v>2880</v>
      </c>
      <c r="F88" s="29" t="n">
        <v>11</v>
      </c>
      <c r="G88" s="38" t="inlineStr">
        <is>
          <t>Occupied</t>
        </is>
      </c>
    </row>
    <row r="89">
      <c r="A89" s="38" t="inlineStr">
        <is>
          <t>U084</t>
        </is>
      </c>
      <c r="B89" s="38" t="inlineStr">
        <is>
          <t>3BR</t>
        </is>
      </c>
      <c r="C89" s="29" t="n">
        <v>1320</v>
      </c>
      <c r="D89" s="55" t="n">
        <v>3120</v>
      </c>
      <c r="E89" s="55" t="n">
        <v>3545</v>
      </c>
      <c r="F89" s="29" t="n">
        <v>12</v>
      </c>
      <c r="G89" s="38" t="inlineStr">
        <is>
          <t>Occupied</t>
        </is>
      </c>
    </row>
    <row r="90">
      <c r="A90" s="38" t="inlineStr">
        <is>
          <t>U085</t>
        </is>
      </c>
      <c r="B90" s="38" t="inlineStr">
        <is>
          <t>Studio</t>
        </is>
      </c>
      <c r="C90" s="29" t="n">
        <v>520</v>
      </c>
      <c r="D90" s="55" t="n">
        <v>1505</v>
      </c>
      <c r="E90" s="55" t="n">
        <v>1710</v>
      </c>
      <c r="F90" s="29" t="n">
        <v>13</v>
      </c>
      <c r="G90" s="38" t="inlineStr">
        <is>
          <t>Occupied</t>
        </is>
      </c>
    </row>
    <row r="91">
      <c r="A91" s="38" t="inlineStr">
        <is>
          <t>U086</t>
        </is>
      </c>
      <c r="B91" s="38" t="inlineStr">
        <is>
          <t>1BR</t>
        </is>
      </c>
      <c r="C91" s="29" t="n">
        <v>720</v>
      </c>
      <c r="D91" s="55" t="n">
        <v>1892</v>
      </c>
      <c r="E91" s="55" t="n">
        <v>2150</v>
      </c>
      <c r="F91" s="29" t="n">
        <v>14</v>
      </c>
      <c r="G91" s="38" t="inlineStr">
        <is>
          <t>Occupied</t>
        </is>
      </c>
    </row>
    <row r="92">
      <c r="A92" s="38" t="inlineStr">
        <is>
          <t>U087</t>
        </is>
      </c>
      <c r="B92" s="38" t="inlineStr">
        <is>
          <t>1BR</t>
        </is>
      </c>
      <c r="C92" s="29" t="n">
        <v>760</v>
      </c>
      <c r="D92" s="55" t="n">
        <v>1993</v>
      </c>
      <c r="E92" s="55" t="n">
        <v>2265</v>
      </c>
      <c r="F92" s="29" t="n">
        <v>15</v>
      </c>
      <c r="G92" s="38" t="inlineStr">
        <is>
          <t>Occupied</t>
        </is>
      </c>
    </row>
    <row r="93">
      <c r="A93" s="38" t="inlineStr">
        <is>
          <t>U088</t>
        </is>
      </c>
      <c r="B93" s="38" t="inlineStr">
        <is>
          <t>2BR</t>
        </is>
      </c>
      <c r="C93" s="29" t="n">
        <v>1050</v>
      </c>
      <c r="D93" s="55" t="n">
        <v>2490</v>
      </c>
      <c r="E93" s="55" t="n">
        <v>2830</v>
      </c>
      <c r="F93" s="29" t="n">
        <v>16</v>
      </c>
      <c r="G93" s="38" t="inlineStr">
        <is>
          <t>Occupied</t>
        </is>
      </c>
    </row>
    <row r="94">
      <c r="A94" s="3" t="inlineStr">
        <is>
          <t>TOTALS</t>
        </is>
      </c>
      <c r="C94" s="13">
        <f>SUM(C6:C93)</f>
        <v/>
      </c>
      <c r="D94" s="52">
        <f>SUM(D6:D93)</f>
        <v/>
      </c>
      <c r="E94" s="52">
        <f>SUM(E6:E93)</f>
        <v/>
      </c>
      <c r="H94" s="13">
        <f>COUNTA(A6:A93)</f>
        <v/>
      </c>
      <c r="I94" s="16" t="inlineStr">
        <is>
          <t>&lt;- unit count</t>
        </is>
      </c>
    </row>
    <row r="95">
      <c r="A95" s="16" t="inlineStr">
        <is>
          <t>Loss-to-lease = Market - In-place, burning off over LTL_Months to market.</t>
        </is>
      </c>
    </row>
    <row r="97">
      <c r="A97" s="8" t="inlineStr">
        <is>
          <t>MONTHLY MF BUILD (-&gt; MF EGI). Cols E.. align to Assumptions period header.</t>
        </is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</row>
    <row r="98">
      <c r="A98" s="3" t="inlineStr">
        <is>
          <t>Month index</t>
        </is>
      </c>
      <c r="E98" s="6">
        <f>Assumptions!E$72</f>
        <v/>
      </c>
      <c r="F98" s="6">
        <f>Assumptions!F$72</f>
        <v/>
      </c>
      <c r="G98" s="6">
        <f>Assumptions!G$72</f>
        <v/>
      </c>
      <c r="H98" s="6">
        <f>Assumptions!H$72</f>
        <v/>
      </c>
      <c r="I98" s="6">
        <f>Assumptions!I$72</f>
        <v/>
      </c>
      <c r="J98" s="6">
        <f>Assumptions!J$72</f>
        <v/>
      </c>
      <c r="K98" s="6">
        <f>Assumptions!K$72</f>
        <v/>
      </c>
      <c r="L98" s="6">
        <f>Assumptions!L$72</f>
        <v/>
      </c>
      <c r="M98" s="6">
        <f>Assumptions!M$72</f>
        <v/>
      </c>
      <c r="N98" s="6">
        <f>Assumptions!N$72</f>
        <v/>
      </c>
      <c r="O98" s="6">
        <f>Assumptions!O$72</f>
        <v/>
      </c>
      <c r="P98" s="6">
        <f>Assumptions!P$72</f>
        <v/>
      </c>
      <c r="Q98" s="6">
        <f>Assumptions!Q$72</f>
        <v/>
      </c>
      <c r="R98" s="6">
        <f>Assumptions!R$72</f>
        <v/>
      </c>
      <c r="S98" s="6">
        <f>Assumptions!S$72</f>
        <v/>
      </c>
      <c r="T98" s="6">
        <f>Assumptions!T$72</f>
        <v/>
      </c>
      <c r="U98" s="6">
        <f>Assumptions!U$72</f>
        <v/>
      </c>
      <c r="V98" s="6">
        <f>Assumptions!V$72</f>
        <v/>
      </c>
      <c r="W98" s="6">
        <f>Assumptions!W$72</f>
        <v/>
      </c>
      <c r="X98" s="6">
        <f>Assumptions!X$72</f>
        <v/>
      </c>
      <c r="Y98" s="6">
        <f>Assumptions!Y$72</f>
        <v/>
      </c>
      <c r="Z98" s="6">
        <f>Assumptions!Z$72</f>
        <v/>
      </c>
      <c r="AA98" s="6">
        <f>Assumptions!AA$72</f>
        <v/>
      </c>
      <c r="AB98" s="6">
        <f>Assumptions!AB$72</f>
        <v/>
      </c>
      <c r="AC98" s="6">
        <f>Assumptions!AC$72</f>
        <v/>
      </c>
      <c r="AD98" s="6">
        <f>Assumptions!AD$72</f>
        <v/>
      </c>
      <c r="AE98" s="6">
        <f>Assumptions!AE$72</f>
        <v/>
      </c>
      <c r="AF98" s="6">
        <f>Assumptions!AF$72</f>
        <v/>
      </c>
      <c r="AG98" s="6">
        <f>Assumptions!AG$72</f>
        <v/>
      </c>
      <c r="AH98" s="6">
        <f>Assumptions!AH$72</f>
        <v/>
      </c>
      <c r="AI98" s="6">
        <f>Assumptions!AI$72</f>
        <v/>
      </c>
      <c r="AJ98" s="6">
        <f>Assumptions!AJ$72</f>
        <v/>
      </c>
      <c r="AK98" s="6">
        <f>Assumptions!AK$72</f>
        <v/>
      </c>
      <c r="AL98" s="6">
        <f>Assumptions!AL$72</f>
        <v/>
      </c>
      <c r="AM98" s="6">
        <f>Assumptions!AM$72</f>
        <v/>
      </c>
      <c r="AN98" s="6">
        <f>Assumptions!AN$72</f>
        <v/>
      </c>
      <c r="AO98" s="6">
        <f>Assumptions!AO$72</f>
        <v/>
      </c>
      <c r="AP98" s="6">
        <f>Assumptions!AP$72</f>
        <v/>
      </c>
      <c r="AQ98" s="6">
        <f>Assumptions!AQ$72</f>
        <v/>
      </c>
      <c r="AR98" s="6">
        <f>Assumptions!AR$72</f>
        <v/>
      </c>
      <c r="AS98" s="6">
        <f>Assumptions!AS$72</f>
        <v/>
      </c>
      <c r="AT98" s="6">
        <f>Assumptions!AT$72</f>
        <v/>
      </c>
      <c r="AU98" s="6">
        <f>Assumptions!AU$72</f>
        <v/>
      </c>
      <c r="AV98" s="6">
        <f>Assumptions!AV$72</f>
        <v/>
      </c>
      <c r="AW98" s="6">
        <f>Assumptions!AW$72</f>
        <v/>
      </c>
      <c r="AX98" s="6">
        <f>Assumptions!AX$72</f>
        <v/>
      </c>
      <c r="AY98" s="6">
        <f>Assumptions!AY$72</f>
        <v/>
      </c>
      <c r="AZ98" s="6">
        <f>Assumptions!AZ$72</f>
        <v/>
      </c>
      <c r="BA98" s="6">
        <f>Assumptions!BA$72</f>
        <v/>
      </c>
      <c r="BB98" s="6">
        <f>Assumptions!BB$72</f>
        <v/>
      </c>
      <c r="BC98" s="6">
        <f>Assumptions!BC$72</f>
        <v/>
      </c>
      <c r="BD98" s="6">
        <f>Assumptions!BD$72</f>
        <v/>
      </c>
      <c r="BE98" s="6">
        <f>Assumptions!BE$72</f>
        <v/>
      </c>
      <c r="BF98" s="6">
        <f>Assumptions!BF$72</f>
        <v/>
      </c>
      <c r="BG98" s="6">
        <f>Assumptions!BG$72</f>
        <v/>
      </c>
      <c r="BH98" s="6">
        <f>Assumptions!BH$72</f>
        <v/>
      </c>
      <c r="BI98" s="6">
        <f>Assumptions!BI$72</f>
        <v/>
      </c>
      <c r="BJ98" s="6">
        <f>Assumptions!BJ$72</f>
        <v/>
      </c>
      <c r="BK98" s="6">
        <f>Assumptions!BK$72</f>
        <v/>
      </c>
      <c r="BL98" s="6">
        <f>Assumptions!BL$72</f>
        <v/>
      </c>
      <c r="BM98" s="6">
        <f>Assumptions!BM$72</f>
        <v/>
      </c>
      <c r="BN98" s="6">
        <f>Assumptions!BN$72</f>
        <v/>
      </c>
      <c r="BO98" s="6">
        <f>Assumptions!BO$72</f>
        <v/>
      </c>
      <c r="BP98" s="6">
        <f>Assumptions!BP$72</f>
        <v/>
      </c>
      <c r="BQ98" s="6">
        <f>Assumptions!BQ$72</f>
        <v/>
      </c>
      <c r="BR98" s="6">
        <f>Assumptions!BR$72</f>
        <v/>
      </c>
      <c r="BS98" s="6">
        <f>Assumptions!BS$72</f>
        <v/>
      </c>
      <c r="BT98" s="6">
        <f>Assumptions!BT$72</f>
        <v/>
      </c>
      <c r="BU98" s="6">
        <f>Assumptions!BU$72</f>
        <v/>
      </c>
      <c r="BV98" s="6">
        <f>Assumptions!BV$72</f>
        <v/>
      </c>
      <c r="BW98" s="6">
        <f>Assumptions!BW$72</f>
        <v/>
      </c>
      <c r="BX98" s="6">
        <f>Assumptions!BX$72</f>
        <v/>
      </c>
      <c r="BY98" s="6">
        <f>Assumptions!BY$72</f>
        <v/>
      </c>
      <c r="BZ98" s="6">
        <f>Assumptions!BZ$72</f>
        <v/>
      </c>
      <c r="CA98" s="6">
        <f>Assumptions!CA$72</f>
        <v/>
      </c>
      <c r="CB98" s="6">
        <f>Assumptions!CB$72</f>
        <v/>
      </c>
      <c r="CC98" s="6">
        <f>Assumptions!CC$72</f>
        <v/>
      </c>
      <c r="CD98" s="6">
        <f>Assumptions!CD$72</f>
        <v/>
      </c>
      <c r="CE98" s="6">
        <f>Assumptions!CE$72</f>
        <v/>
      </c>
      <c r="CF98" s="6">
        <f>Assumptions!CF$72</f>
        <v/>
      </c>
      <c r="CG98" s="6">
        <f>Assumptions!CG$72</f>
        <v/>
      </c>
      <c r="CH98" s="6">
        <f>Assumptions!CH$72</f>
        <v/>
      </c>
      <c r="CI98" s="6">
        <f>Assumptions!CI$72</f>
        <v/>
      </c>
      <c r="CJ98" s="6">
        <f>Assumptions!CJ$72</f>
        <v/>
      </c>
      <c r="CK98" s="6">
        <f>Assumptions!CK$72</f>
        <v/>
      </c>
      <c r="CL98" s="6">
        <f>Assumptions!CL$72</f>
        <v/>
      </c>
      <c r="CM98" s="6">
        <f>Assumptions!CM$72</f>
        <v/>
      </c>
      <c r="CN98" s="6">
        <f>Assumptions!CN$72</f>
        <v/>
      </c>
      <c r="CO98" s="6">
        <f>Assumptions!CO$72</f>
        <v/>
      </c>
      <c r="CP98" s="6">
        <f>Assumptions!CP$72</f>
        <v/>
      </c>
      <c r="CQ98" s="6">
        <f>Assumptions!CQ$72</f>
        <v/>
      </c>
      <c r="CR98" s="6">
        <f>Assumptions!CR$72</f>
        <v/>
      </c>
      <c r="CS98" s="6">
        <f>Assumptions!CS$72</f>
        <v/>
      </c>
      <c r="CT98" s="6">
        <f>Assumptions!CT$72</f>
        <v/>
      </c>
      <c r="CU98" s="6">
        <f>Assumptions!CU$72</f>
        <v/>
      </c>
      <c r="CV98" s="6">
        <f>Assumptions!CV$72</f>
        <v/>
      </c>
      <c r="CW98" s="6">
        <f>Assumptions!CW$72</f>
        <v/>
      </c>
      <c r="CX98" s="6">
        <f>Assumptions!CX$72</f>
        <v/>
      </c>
      <c r="CY98" s="6">
        <f>Assumptions!CY$72</f>
        <v/>
      </c>
      <c r="CZ98" s="6">
        <f>Assumptions!CZ$72</f>
        <v/>
      </c>
      <c r="DA98" s="6">
        <f>Assumptions!DA$72</f>
        <v/>
      </c>
      <c r="DB98" s="6">
        <f>Assumptions!DB$72</f>
        <v/>
      </c>
      <c r="DC98" s="6">
        <f>Assumptions!DC$72</f>
        <v/>
      </c>
      <c r="DD98" s="6">
        <f>Assumptions!DD$72</f>
        <v/>
      </c>
      <c r="DE98" s="6">
        <f>Assumptions!DE$72</f>
        <v/>
      </c>
      <c r="DF98" s="6">
        <f>Assumptions!DF$72</f>
        <v/>
      </c>
      <c r="DG98" s="6">
        <f>Assumptions!DG$72</f>
        <v/>
      </c>
      <c r="DH98" s="6">
        <f>Assumptions!DH$72</f>
        <v/>
      </c>
      <c r="DI98" s="6">
        <f>Assumptions!DI$72</f>
        <v/>
      </c>
      <c r="DJ98" s="6">
        <f>Assumptions!DJ$72</f>
        <v/>
      </c>
      <c r="DK98" s="6">
        <f>Assumptions!DK$72</f>
        <v/>
      </c>
      <c r="DL98" s="6">
        <f>Assumptions!DL$72</f>
        <v/>
      </c>
      <c r="DM98" s="6">
        <f>Assumptions!DM$72</f>
        <v/>
      </c>
      <c r="DN98" s="6">
        <f>Assumptions!DN$72</f>
        <v/>
      </c>
      <c r="DO98" s="6">
        <f>Assumptions!DO$72</f>
        <v/>
      </c>
      <c r="DP98" s="6">
        <f>Assumptions!DP$72</f>
        <v/>
      </c>
      <c r="DQ98" s="6">
        <f>Assumptions!DQ$72</f>
        <v/>
      </c>
      <c r="DR98" s="6">
        <f>Assumptions!DR$72</f>
        <v/>
      </c>
      <c r="DS98" s="6">
        <f>Assumptions!DS$72</f>
        <v/>
      </c>
      <c r="DT98" s="6">
        <f>Assumptions!DT$72</f>
        <v/>
      </c>
    </row>
    <row r="99">
      <c r="A99" s="10" t="inlineStr">
        <is>
          <t>Occupied units (count)</t>
        </is>
      </c>
      <c r="E99" s="48">
        <f>IF(Assumptions!E$74=0,0,IF(BusinessPlanMode="Core-Plus Lease-Up",MIN(MF_UnitCount*StabilizedOcc, MF_UnitCount*LeaseUpStartOcc + LeaseUpAbsorption*Assumptions!E$72),MF_UnitCount*StabilizedOcc))</f>
        <v/>
      </c>
      <c r="F99" s="48">
        <f>IF(Assumptions!F$74=0,0,IF(BusinessPlanMode="Core-Plus Lease-Up",MIN(MF_UnitCount*StabilizedOcc, MF_UnitCount*LeaseUpStartOcc + LeaseUpAbsorption*Assumptions!F$72),MF_UnitCount*StabilizedOcc))</f>
        <v/>
      </c>
      <c r="G99" s="48">
        <f>IF(Assumptions!G$74=0,0,IF(BusinessPlanMode="Core-Plus Lease-Up",MIN(MF_UnitCount*StabilizedOcc, MF_UnitCount*LeaseUpStartOcc + LeaseUpAbsorption*Assumptions!G$72),MF_UnitCount*StabilizedOcc))</f>
        <v/>
      </c>
      <c r="H99" s="48">
        <f>IF(Assumptions!H$74=0,0,IF(BusinessPlanMode="Core-Plus Lease-Up",MIN(MF_UnitCount*StabilizedOcc, MF_UnitCount*LeaseUpStartOcc + LeaseUpAbsorption*Assumptions!H$72),MF_UnitCount*StabilizedOcc))</f>
        <v/>
      </c>
      <c r="I99" s="48">
        <f>IF(Assumptions!I$74=0,0,IF(BusinessPlanMode="Core-Plus Lease-Up",MIN(MF_UnitCount*StabilizedOcc, MF_UnitCount*LeaseUpStartOcc + LeaseUpAbsorption*Assumptions!I$72),MF_UnitCount*StabilizedOcc))</f>
        <v/>
      </c>
      <c r="J99" s="48">
        <f>IF(Assumptions!J$74=0,0,IF(BusinessPlanMode="Core-Plus Lease-Up",MIN(MF_UnitCount*StabilizedOcc, MF_UnitCount*LeaseUpStartOcc + LeaseUpAbsorption*Assumptions!J$72),MF_UnitCount*StabilizedOcc))</f>
        <v/>
      </c>
      <c r="K99" s="48">
        <f>IF(Assumptions!K$74=0,0,IF(BusinessPlanMode="Core-Plus Lease-Up",MIN(MF_UnitCount*StabilizedOcc, MF_UnitCount*LeaseUpStartOcc + LeaseUpAbsorption*Assumptions!K$72),MF_UnitCount*StabilizedOcc))</f>
        <v/>
      </c>
      <c r="L99" s="48">
        <f>IF(Assumptions!L$74=0,0,IF(BusinessPlanMode="Core-Plus Lease-Up",MIN(MF_UnitCount*StabilizedOcc, MF_UnitCount*LeaseUpStartOcc + LeaseUpAbsorption*Assumptions!L$72),MF_UnitCount*StabilizedOcc))</f>
        <v/>
      </c>
      <c r="M99" s="48">
        <f>IF(Assumptions!M$74=0,0,IF(BusinessPlanMode="Core-Plus Lease-Up",MIN(MF_UnitCount*StabilizedOcc, MF_UnitCount*LeaseUpStartOcc + LeaseUpAbsorption*Assumptions!M$72),MF_UnitCount*StabilizedOcc))</f>
        <v/>
      </c>
      <c r="N99" s="48">
        <f>IF(Assumptions!N$74=0,0,IF(BusinessPlanMode="Core-Plus Lease-Up",MIN(MF_UnitCount*StabilizedOcc, MF_UnitCount*LeaseUpStartOcc + LeaseUpAbsorption*Assumptions!N$72),MF_UnitCount*StabilizedOcc))</f>
        <v/>
      </c>
      <c r="O99" s="48">
        <f>IF(Assumptions!O$74=0,0,IF(BusinessPlanMode="Core-Plus Lease-Up",MIN(MF_UnitCount*StabilizedOcc, MF_UnitCount*LeaseUpStartOcc + LeaseUpAbsorption*Assumptions!O$72),MF_UnitCount*StabilizedOcc))</f>
        <v/>
      </c>
      <c r="P99" s="48">
        <f>IF(Assumptions!P$74=0,0,IF(BusinessPlanMode="Core-Plus Lease-Up",MIN(MF_UnitCount*StabilizedOcc, MF_UnitCount*LeaseUpStartOcc + LeaseUpAbsorption*Assumptions!P$72),MF_UnitCount*StabilizedOcc))</f>
        <v/>
      </c>
      <c r="Q99" s="48">
        <f>IF(Assumptions!Q$74=0,0,IF(BusinessPlanMode="Core-Plus Lease-Up",MIN(MF_UnitCount*StabilizedOcc, MF_UnitCount*LeaseUpStartOcc + LeaseUpAbsorption*Assumptions!Q$72),MF_UnitCount*StabilizedOcc))</f>
        <v/>
      </c>
      <c r="R99" s="48">
        <f>IF(Assumptions!R$74=0,0,IF(BusinessPlanMode="Core-Plus Lease-Up",MIN(MF_UnitCount*StabilizedOcc, MF_UnitCount*LeaseUpStartOcc + LeaseUpAbsorption*Assumptions!R$72),MF_UnitCount*StabilizedOcc))</f>
        <v/>
      </c>
      <c r="S99" s="48">
        <f>IF(Assumptions!S$74=0,0,IF(BusinessPlanMode="Core-Plus Lease-Up",MIN(MF_UnitCount*StabilizedOcc, MF_UnitCount*LeaseUpStartOcc + LeaseUpAbsorption*Assumptions!S$72),MF_UnitCount*StabilizedOcc))</f>
        <v/>
      </c>
      <c r="T99" s="48">
        <f>IF(Assumptions!T$74=0,0,IF(BusinessPlanMode="Core-Plus Lease-Up",MIN(MF_UnitCount*StabilizedOcc, MF_UnitCount*LeaseUpStartOcc + LeaseUpAbsorption*Assumptions!T$72),MF_UnitCount*StabilizedOcc))</f>
        <v/>
      </c>
      <c r="U99" s="48">
        <f>IF(Assumptions!U$74=0,0,IF(BusinessPlanMode="Core-Plus Lease-Up",MIN(MF_UnitCount*StabilizedOcc, MF_UnitCount*LeaseUpStartOcc + LeaseUpAbsorption*Assumptions!U$72),MF_UnitCount*StabilizedOcc))</f>
        <v/>
      </c>
      <c r="V99" s="48">
        <f>IF(Assumptions!V$74=0,0,IF(BusinessPlanMode="Core-Plus Lease-Up",MIN(MF_UnitCount*StabilizedOcc, MF_UnitCount*LeaseUpStartOcc + LeaseUpAbsorption*Assumptions!V$72),MF_UnitCount*StabilizedOcc))</f>
        <v/>
      </c>
      <c r="W99" s="48">
        <f>IF(Assumptions!W$74=0,0,IF(BusinessPlanMode="Core-Plus Lease-Up",MIN(MF_UnitCount*StabilizedOcc, MF_UnitCount*LeaseUpStartOcc + LeaseUpAbsorption*Assumptions!W$72),MF_UnitCount*StabilizedOcc))</f>
        <v/>
      </c>
      <c r="X99" s="48">
        <f>IF(Assumptions!X$74=0,0,IF(BusinessPlanMode="Core-Plus Lease-Up",MIN(MF_UnitCount*StabilizedOcc, MF_UnitCount*LeaseUpStartOcc + LeaseUpAbsorption*Assumptions!X$72),MF_UnitCount*StabilizedOcc))</f>
        <v/>
      </c>
      <c r="Y99" s="48">
        <f>IF(Assumptions!Y$74=0,0,IF(BusinessPlanMode="Core-Plus Lease-Up",MIN(MF_UnitCount*StabilizedOcc, MF_UnitCount*LeaseUpStartOcc + LeaseUpAbsorption*Assumptions!Y$72),MF_UnitCount*StabilizedOcc))</f>
        <v/>
      </c>
      <c r="Z99" s="48">
        <f>IF(Assumptions!Z$74=0,0,IF(BusinessPlanMode="Core-Plus Lease-Up",MIN(MF_UnitCount*StabilizedOcc, MF_UnitCount*LeaseUpStartOcc + LeaseUpAbsorption*Assumptions!Z$72),MF_UnitCount*StabilizedOcc))</f>
        <v/>
      </c>
      <c r="AA99" s="48">
        <f>IF(Assumptions!AA$74=0,0,IF(BusinessPlanMode="Core-Plus Lease-Up",MIN(MF_UnitCount*StabilizedOcc, MF_UnitCount*LeaseUpStartOcc + LeaseUpAbsorption*Assumptions!AA$72),MF_UnitCount*StabilizedOcc))</f>
        <v/>
      </c>
      <c r="AB99" s="48">
        <f>IF(Assumptions!AB$74=0,0,IF(BusinessPlanMode="Core-Plus Lease-Up",MIN(MF_UnitCount*StabilizedOcc, MF_UnitCount*LeaseUpStartOcc + LeaseUpAbsorption*Assumptions!AB$72),MF_UnitCount*StabilizedOcc))</f>
        <v/>
      </c>
      <c r="AC99" s="48">
        <f>IF(Assumptions!AC$74=0,0,IF(BusinessPlanMode="Core-Plus Lease-Up",MIN(MF_UnitCount*StabilizedOcc, MF_UnitCount*LeaseUpStartOcc + LeaseUpAbsorption*Assumptions!AC$72),MF_UnitCount*StabilizedOcc))</f>
        <v/>
      </c>
      <c r="AD99" s="48">
        <f>IF(Assumptions!AD$74=0,0,IF(BusinessPlanMode="Core-Plus Lease-Up",MIN(MF_UnitCount*StabilizedOcc, MF_UnitCount*LeaseUpStartOcc + LeaseUpAbsorption*Assumptions!AD$72),MF_UnitCount*StabilizedOcc))</f>
        <v/>
      </c>
      <c r="AE99" s="48">
        <f>IF(Assumptions!AE$74=0,0,IF(BusinessPlanMode="Core-Plus Lease-Up",MIN(MF_UnitCount*StabilizedOcc, MF_UnitCount*LeaseUpStartOcc + LeaseUpAbsorption*Assumptions!AE$72),MF_UnitCount*StabilizedOcc))</f>
        <v/>
      </c>
      <c r="AF99" s="48">
        <f>IF(Assumptions!AF$74=0,0,IF(BusinessPlanMode="Core-Plus Lease-Up",MIN(MF_UnitCount*StabilizedOcc, MF_UnitCount*LeaseUpStartOcc + LeaseUpAbsorption*Assumptions!AF$72),MF_UnitCount*StabilizedOcc))</f>
        <v/>
      </c>
      <c r="AG99" s="48">
        <f>IF(Assumptions!AG$74=0,0,IF(BusinessPlanMode="Core-Plus Lease-Up",MIN(MF_UnitCount*StabilizedOcc, MF_UnitCount*LeaseUpStartOcc + LeaseUpAbsorption*Assumptions!AG$72),MF_UnitCount*StabilizedOcc))</f>
        <v/>
      </c>
      <c r="AH99" s="48">
        <f>IF(Assumptions!AH$74=0,0,IF(BusinessPlanMode="Core-Plus Lease-Up",MIN(MF_UnitCount*StabilizedOcc, MF_UnitCount*LeaseUpStartOcc + LeaseUpAbsorption*Assumptions!AH$72),MF_UnitCount*StabilizedOcc))</f>
        <v/>
      </c>
      <c r="AI99" s="48">
        <f>IF(Assumptions!AI$74=0,0,IF(BusinessPlanMode="Core-Plus Lease-Up",MIN(MF_UnitCount*StabilizedOcc, MF_UnitCount*LeaseUpStartOcc + LeaseUpAbsorption*Assumptions!AI$72),MF_UnitCount*StabilizedOcc))</f>
        <v/>
      </c>
      <c r="AJ99" s="48">
        <f>IF(Assumptions!AJ$74=0,0,IF(BusinessPlanMode="Core-Plus Lease-Up",MIN(MF_UnitCount*StabilizedOcc, MF_UnitCount*LeaseUpStartOcc + LeaseUpAbsorption*Assumptions!AJ$72),MF_UnitCount*StabilizedOcc))</f>
        <v/>
      </c>
      <c r="AK99" s="48">
        <f>IF(Assumptions!AK$74=0,0,IF(BusinessPlanMode="Core-Plus Lease-Up",MIN(MF_UnitCount*StabilizedOcc, MF_UnitCount*LeaseUpStartOcc + LeaseUpAbsorption*Assumptions!AK$72),MF_UnitCount*StabilizedOcc))</f>
        <v/>
      </c>
      <c r="AL99" s="48">
        <f>IF(Assumptions!AL$74=0,0,IF(BusinessPlanMode="Core-Plus Lease-Up",MIN(MF_UnitCount*StabilizedOcc, MF_UnitCount*LeaseUpStartOcc + LeaseUpAbsorption*Assumptions!AL$72),MF_UnitCount*StabilizedOcc))</f>
        <v/>
      </c>
      <c r="AM99" s="48">
        <f>IF(Assumptions!AM$74=0,0,IF(BusinessPlanMode="Core-Plus Lease-Up",MIN(MF_UnitCount*StabilizedOcc, MF_UnitCount*LeaseUpStartOcc + LeaseUpAbsorption*Assumptions!AM$72),MF_UnitCount*StabilizedOcc))</f>
        <v/>
      </c>
      <c r="AN99" s="48">
        <f>IF(Assumptions!AN$74=0,0,IF(BusinessPlanMode="Core-Plus Lease-Up",MIN(MF_UnitCount*StabilizedOcc, MF_UnitCount*LeaseUpStartOcc + LeaseUpAbsorption*Assumptions!AN$72),MF_UnitCount*StabilizedOcc))</f>
        <v/>
      </c>
      <c r="AO99" s="48">
        <f>IF(Assumptions!AO$74=0,0,IF(BusinessPlanMode="Core-Plus Lease-Up",MIN(MF_UnitCount*StabilizedOcc, MF_UnitCount*LeaseUpStartOcc + LeaseUpAbsorption*Assumptions!AO$72),MF_UnitCount*StabilizedOcc))</f>
        <v/>
      </c>
      <c r="AP99" s="48">
        <f>IF(Assumptions!AP$74=0,0,IF(BusinessPlanMode="Core-Plus Lease-Up",MIN(MF_UnitCount*StabilizedOcc, MF_UnitCount*LeaseUpStartOcc + LeaseUpAbsorption*Assumptions!AP$72),MF_UnitCount*StabilizedOcc))</f>
        <v/>
      </c>
      <c r="AQ99" s="48">
        <f>IF(Assumptions!AQ$74=0,0,IF(BusinessPlanMode="Core-Plus Lease-Up",MIN(MF_UnitCount*StabilizedOcc, MF_UnitCount*LeaseUpStartOcc + LeaseUpAbsorption*Assumptions!AQ$72),MF_UnitCount*StabilizedOcc))</f>
        <v/>
      </c>
      <c r="AR99" s="48">
        <f>IF(Assumptions!AR$74=0,0,IF(BusinessPlanMode="Core-Plus Lease-Up",MIN(MF_UnitCount*StabilizedOcc, MF_UnitCount*LeaseUpStartOcc + LeaseUpAbsorption*Assumptions!AR$72),MF_UnitCount*StabilizedOcc))</f>
        <v/>
      </c>
      <c r="AS99" s="48">
        <f>IF(Assumptions!AS$74=0,0,IF(BusinessPlanMode="Core-Plus Lease-Up",MIN(MF_UnitCount*StabilizedOcc, MF_UnitCount*LeaseUpStartOcc + LeaseUpAbsorption*Assumptions!AS$72),MF_UnitCount*StabilizedOcc))</f>
        <v/>
      </c>
      <c r="AT99" s="48">
        <f>IF(Assumptions!AT$74=0,0,IF(BusinessPlanMode="Core-Plus Lease-Up",MIN(MF_UnitCount*StabilizedOcc, MF_UnitCount*LeaseUpStartOcc + LeaseUpAbsorption*Assumptions!AT$72),MF_UnitCount*StabilizedOcc))</f>
        <v/>
      </c>
      <c r="AU99" s="48">
        <f>IF(Assumptions!AU$74=0,0,IF(BusinessPlanMode="Core-Plus Lease-Up",MIN(MF_UnitCount*StabilizedOcc, MF_UnitCount*LeaseUpStartOcc + LeaseUpAbsorption*Assumptions!AU$72),MF_UnitCount*StabilizedOcc))</f>
        <v/>
      </c>
      <c r="AV99" s="48">
        <f>IF(Assumptions!AV$74=0,0,IF(BusinessPlanMode="Core-Plus Lease-Up",MIN(MF_UnitCount*StabilizedOcc, MF_UnitCount*LeaseUpStartOcc + LeaseUpAbsorption*Assumptions!AV$72),MF_UnitCount*StabilizedOcc))</f>
        <v/>
      </c>
      <c r="AW99" s="48">
        <f>IF(Assumptions!AW$74=0,0,IF(BusinessPlanMode="Core-Plus Lease-Up",MIN(MF_UnitCount*StabilizedOcc, MF_UnitCount*LeaseUpStartOcc + LeaseUpAbsorption*Assumptions!AW$72),MF_UnitCount*StabilizedOcc))</f>
        <v/>
      </c>
      <c r="AX99" s="48">
        <f>IF(Assumptions!AX$74=0,0,IF(BusinessPlanMode="Core-Plus Lease-Up",MIN(MF_UnitCount*StabilizedOcc, MF_UnitCount*LeaseUpStartOcc + LeaseUpAbsorption*Assumptions!AX$72),MF_UnitCount*StabilizedOcc))</f>
        <v/>
      </c>
      <c r="AY99" s="48">
        <f>IF(Assumptions!AY$74=0,0,IF(BusinessPlanMode="Core-Plus Lease-Up",MIN(MF_UnitCount*StabilizedOcc, MF_UnitCount*LeaseUpStartOcc + LeaseUpAbsorption*Assumptions!AY$72),MF_UnitCount*StabilizedOcc))</f>
        <v/>
      </c>
      <c r="AZ99" s="48">
        <f>IF(Assumptions!AZ$74=0,0,IF(BusinessPlanMode="Core-Plus Lease-Up",MIN(MF_UnitCount*StabilizedOcc, MF_UnitCount*LeaseUpStartOcc + LeaseUpAbsorption*Assumptions!AZ$72),MF_UnitCount*StabilizedOcc))</f>
        <v/>
      </c>
      <c r="BA99" s="48">
        <f>IF(Assumptions!BA$74=0,0,IF(BusinessPlanMode="Core-Plus Lease-Up",MIN(MF_UnitCount*StabilizedOcc, MF_UnitCount*LeaseUpStartOcc + LeaseUpAbsorption*Assumptions!BA$72),MF_UnitCount*StabilizedOcc))</f>
        <v/>
      </c>
      <c r="BB99" s="48">
        <f>IF(Assumptions!BB$74=0,0,IF(BusinessPlanMode="Core-Plus Lease-Up",MIN(MF_UnitCount*StabilizedOcc, MF_UnitCount*LeaseUpStartOcc + LeaseUpAbsorption*Assumptions!BB$72),MF_UnitCount*StabilizedOcc))</f>
        <v/>
      </c>
      <c r="BC99" s="48">
        <f>IF(Assumptions!BC$74=0,0,IF(BusinessPlanMode="Core-Plus Lease-Up",MIN(MF_UnitCount*StabilizedOcc, MF_UnitCount*LeaseUpStartOcc + LeaseUpAbsorption*Assumptions!BC$72),MF_UnitCount*StabilizedOcc))</f>
        <v/>
      </c>
      <c r="BD99" s="48">
        <f>IF(Assumptions!BD$74=0,0,IF(BusinessPlanMode="Core-Plus Lease-Up",MIN(MF_UnitCount*StabilizedOcc, MF_UnitCount*LeaseUpStartOcc + LeaseUpAbsorption*Assumptions!BD$72),MF_UnitCount*StabilizedOcc))</f>
        <v/>
      </c>
      <c r="BE99" s="48">
        <f>IF(Assumptions!BE$74=0,0,IF(BusinessPlanMode="Core-Plus Lease-Up",MIN(MF_UnitCount*StabilizedOcc, MF_UnitCount*LeaseUpStartOcc + LeaseUpAbsorption*Assumptions!BE$72),MF_UnitCount*StabilizedOcc))</f>
        <v/>
      </c>
      <c r="BF99" s="48">
        <f>IF(Assumptions!BF$74=0,0,IF(BusinessPlanMode="Core-Plus Lease-Up",MIN(MF_UnitCount*StabilizedOcc, MF_UnitCount*LeaseUpStartOcc + LeaseUpAbsorption*Assumptions!BF$72),MF_UnitCount*StabilizedOcc))</f>
        <v/>
      </c>
      <c r="BG99" s="48">
        <f>IF(Assumptions!BG$74=0,0,IF(BusinessPlanMode="Core-Plus Lease-Up",MIN(MF_UnitCount*StabilizedOcc, MF_UnitCount*LeaseUpStartOcc + LeaseUpAbsorption*Assumptions!BG$72),MF_UnitCount*StabilizedOcc))</f>
        <v/>
      </c>
      <c r="BH99" s="48">
        <f>IF(Assumptions!BH$74=0,0,IF(BusinessPlanMode="Core-Plus Lease-Up",MIN(MF_UnitCount*StabilizedOcc, MF_UnitCount*LeaseUpStartOcc + LeaseUpAbsorption*Assumptions!BH$72),MF_UnitCount*StabilizedOcc))</f>
        <v/>
      </c>
      <c r="BI99" s="48">
        <f>IF(Assumptions!BI$74=0,0,IF(BusinessPlanMode="Core-Plus Lease-Up",MIN(MF_UnitCount*StabilizedOcc, MF_UnitCount*LeaseUpStartOcc + LeaseUpAbsorption*Assumptions!BI$72),MF_UnitCount*StabilizedOcc))</f>
        <v/>
      </c>
      <c r="BJ99" s="48">
        <f>IF(Assumptions!BJ$74=0,0,IF(BusinessPlanMode="Core-Plus Lease-Up",MIN(MF_UnitCount*StabilizedOcc, MF_UnitCount*LeaseUpStartOcc + LeaseUpAbsorption*Assumptions!BJ$72),MF_UnitCount*StabilizedOcc))</f>
        <v/>
      </c>
      <c r="BK99" s="48">
        <f>IF(Assumptions!BK$74=0,0,IF(BusinessPlanMode="Core-Plus Lease-Up",MIN(MF_UnitCount*StabilizedOcc, MF_UnitCount*LeaseUpStartOcc + LeaseUpAbsorption*Assumptions!BK$72),MF_UnitCount*StabilizedOcc))</f>
        <v/>
      </c>
      <c r="BL99" s="48">
        <f>IF(Assumptions!BL$74=0,0,IF(BusinessPlanMode="Core-Plus Lease-Up",MIN(MF_UnitCount*StabilizedOcc, MF_UnitCount*LeaseUpStartOcc + LeaseUpAbsorption*Assumptions!BL$72),MF_UnitCount*StabilizedOcc))</f>
        <v/>
      </c>
      <c r="BM99" s="48">
        <f>IF(Assumptions!BM$74=0,0,IF(BusinessPlanMode="Core-Plus Lease-Up",MIN(MF_UnitCount*StabilizedOcc, MF_UnitCount*LeaseUpStartOcc + LeaseUpAbsorption*Assumptions!BM$72),MF_UnitCount*StabilizedOcc))</f>
        <v/>
      </c>
      <c r="BN99" s="48">
        <f>IF(Assumptions!BN$74=0,0,IF(BusinessPlanMode="Core-Plus Lease-Up",MIN(MF_UnitCount*StabilizedOcc, MF_UnitCount*LeaseUpStartOcc + LeaseUpAbsorption*Assumptions!BN$72),MF_UnitCount*StabilizedOcc))</f>
        <v/>
      </c>
      <c r="BO99" s="48">
        <f>IF(Assumptions!BO$74=0,0,IF(BusinessPlanMode="Core-Plus Lease-Up",MIN(MF_UnitCount*StabilizedOcc, MF_UnitCount*LeaseUpStartOcc + LeaseUpAbsorption*Assumptions!BO$72),MF_UnitCount*StabilizedOcc))</f>
        <v/>
      </c>
      <c r="BP99" s="48">
        <f>IF(Assumptions!BP$74=0,0,IF(BusinessPlanMode="Core-Plus Lease-Up",MIN(MF_UnitCount*StabilizedOcc, MF_UnitCount*LeaseUpStartOcc + LeaseUpAbsorption*Assumptions!BP$72),MF_UnitCount*StabilizedOcc))</f>
        <v/>
      </c>
      <c r="BQ99" s="48">
        <f>IF(Assumptions!BQ$74=0,0,IF(BusinessPlanMode="Core-Plus Lease-Up",MIN(MF_UnitCount*StabilizedOcc, MF_UnitCount*LeaseUpStartOcc + LeaseUpAbsorption*Assumptions!BQ$72),MF_UnitCount*StabilizedOcc))</f>
        <v/>
      </c>
      <c r="BR99" s="48">
        <f>IF(Assumptions!BR$74=0,0,IF(BusinessPlanMode="Core-Plus Lease-Up",MIN(MF_UnitCount*StabilizedOcc, MF_UnitCount*LeaseUpStartOcc + LeaseUpAbsorption*Assumptions!BR$72),MF_UnitCount*StabilizedOcc))</f>
        <v/>
      </c>
      <c r="BS99" s="48">
        <f>IF(Assumptions!BS$74=0,0,IF(BusinessPlanMode="Core-Plus Lease-Up",MIN(MF_UnitCount*StabilizedOcc, MF_UnitCount*LeaseUpStartOcc + LeaseUpAbsorption*Assumptions!BS$72),MF_UnitCount*StabilizedOcc))</f>
        <v/>
      </c>
      <c r="BT99" s="48">
        <f>IF(Assumptions!BT$74=0,0,IF(BusinessPlanMode="Core-Plus Lease-Up",MIN(MF_UnitCount*StabilizedOcc, MF_UnitCount*LeaseUpStartOcc + LeaseUpAbsorption*Assumptions!BT$72),MF_UnitCount*StabilizedOcc))</f>
        <v/>
      </c>
      <c r="BU99" s="48">
        <f>IF(Assumptions!BU$74=0,0,IF(BusinessPlanMode="Core-Plus Lease-Up",MIN(MF_UnitCount*StabilizedOcc, MF_UnitCount*LeaseUpStartOcc + LeaseUpAbsorption*Assumptions!BU$72),MF_UnitCount*StabilizedOcc))</f>
        <v/>
      </c>
      <c r="BV99" s="48">
        <f>IF(Assumptions!BV$74=0,0,IF(BusinessPlanMode="Core-Plus Lease-Up",MIN(MF_UnitCount*StabilizedOcc, MF_UnitCount*LeaseUpStartOcc + LeaseUpAbsorption*Assumptions!BV$72),MF_UnitCount*StabilizedOcc))</f>
        <v/>
      </c>
      <c r="BW99" s="48">
        <f>IF(Assumptions!BW$74=0,0,IF(BusinessPlanMode="Core-Plus Lease-Up",MIN(MF_UnitCount*StabilizedOcc, MF_UnitCount*LeaseUpStartOcc + LeaseUpAbsorption*Assumptions!BW$72),MF_UnitCount*StabilizedOcc))</f>
        <v/>
      </c>
      <c r="BX99" s="48">
        <f>IF(Assumptions!BX$74=0,0,IF(BusinessPlanMode="Core-Plus Lease-Up",MIN(MF_UnitCount*StabilizedOcc, MF_UnitCount*LeaseUpStartOcc + LeaseUpAbsorption*Assumptions!BX$72),MF_UnitCount*StabilizedOcc))</f>
        <v/>
      </c>
      <c r="BY99" s="48">
        <f>IF(Assumptions!BY$74=0,0,IF(BusinessPlanMode="Core-Plus Lease-Up",MIN(MF_UnitCount*StabilizedOcc, MF_UnitCount*LeaseUpStartOcc + LeaseUpAbsorption*Assumptions!BY$72),MF_UnitCount*StabilizedOcc))</f>
        <v/>
      </c>
      <c r="BZ99" s="48">
        <f>IF(Assumptions!BZ$74=0,0,IF(BusinessPlanMode="Core-Plus Lease-Up",MIN(MF_UnitCount*StabilizedOcc, MF_UnitCount*LeaseUpStartOcc + LeaseUpAbsorption*Assumptions!BZ$72),MF_UnitCount*StabilizedOcc))</f>
        <v/>
      </c>
      <c r="CA99" s="48">
        <f>IF(Assumptions!CA$74=0,0,IF(BusinessPlanMode="Core-Plus Lease-Up",MIN(MF_UnitCount*StabilizedOcc, MF_UnitCount*LeaseUpStartOcc + LeaseUpAbsorption*Assumptions!CA$72),MF_UnitCount*StabilizedOcc))</f>
        <v/>
      </c>
      <c r="CB99" s="48">
        <f>IF(Assumptions!CB$74=0,0,IF(BusinessPlanMode="Core-Plus Lease-Up",MIN(MF_UnitCount*StabilizedOcc, MF_UnitCount*LeaseUpStartOcc + LeaseUpAbsorption*Assumptions!CB$72),MF_UnitCount*StabilizedOcc))</f>
        <v/>
      </c>
      <c r="CC99" s="48">
        <f>IF(Assumptions!CC$74=0,0,IF(BusinessPlanMode="Core-Plus Lease-Up",MIN(MF_UnitCount*StabilizedOcc, MF_UnitCount*LeaseUpStartOcc + LeaseUpAbsorption*Assumptions!CC$72),MF_UnitCount*StabilizedOcc))</f>
        <v/>
      </c>
      <c r="CD99" s="48">
        <f>IF(Assumptions!CD$74=0,0,IF(BusinessPlanMode="Core-Plus Lease-Up",MIN(MF_UnitCount*StabilizedOcc, MF_UnitCount*LeaseUpStartOcc + LeaseUpAbsorption*Assumptions!CD$72),MF_UnitCount*StabilizedOcc))</f>
        <v/>
      </c>
      <c r="CE99" s="48">
        <f>IF(Assumptions!CE$74=0,0,IF(BusinessPlanMode="Core-Plus Lease-Up",MIN(MF_UnitCount*StabilizedOcc, MF_UnitCount*LeaseUpStartOcc + LeaseUpAbsorption*Assumptions!CE$72),MF_UnitCount*StabilizedOcc))</f>
        <v/>
      </c>
      <c r="CF99" s="48">
        <f>IF(Assumptions!CF$74=0,0,IF(BusinessPlanMode="Core-Plus Lease-Up",MIN(MF_UnitCount*StabilizedOcc, MF_UnitCount*LeaseUpStartOcc + LeaseUpAbsorption*Assumptions!CF$72),MF_UnitCount*StabilizedOcc))</f>
        <v/>
      </c>
      <c r="CG99" s="48">
        <f>IF(Assumptions!CG$74=0,0,IF(BusinessPlanMode="Core-Plus Lease-Up",MIN(MF_UnitCount*StabilizedOcc, MF_UnitCount*LeaseUpStartOcc + LeaseUpAbsorption*Assumptions!CG$72),MF_UnitCount*StabilizedOcc))</f>
        <v/>
      </c>
      <c r="CH99" s="48">
        <f>IF(Assumptions!CH$74=0,0,IF(BusinessPlanMode="Core-Plus Lease-Up",MIN(MF_UnitCount*StabilizedOcc, MF_UnitCount*LeaseUpStartOcc + LeaseUpAbsorption*Assumptions!CH$72),MF_UnitCount*StabilizedOcc))</f>
        <v/>
      </c>
      <c r="CI99" s="48">
        <f>IF(Assumptions!CI$74=0,0,IF(BusinessPlanMode="Core-Plus Lease-Up",MIN(MF_UnitCount*StabilizedOcc, MF_UnitCount*LeaseUpStartOcc + LeaseUpAbsorption*Assumptions!CI$72),MF_UnitCount*StabilizedOcc))</f>
        <v/>
      </c>
      <c r="CJ99" s="48">
        <f>IF(Assumptions!CJ$74=0,0,IF(BusinessPlanMode="Core-Plus Lease-Up",MIN(MF_UnitCount*StabilizedOcc, MF_UnitCount*LeaseUpStartOcc + LeaseUpAbsorption*Assumptions!CJ$72),MF_UnitCount*StabilizedOcc))</f>
        <v/>
      </c>
      <c r="CK99" s="48">
        <f>IF(Assumptions!CK$74=0,0,IF(BusinessPlanMode="Core-Plus Lease-Up",MIN(MF_UnitCount*StabilizedOcc, MF_UnitCount*LeaseUpStartOcc + LeaseUpAbsorption*Assumptions!CK$72),MF_UnitCount*StabilizedOcc))</f>
        <v/>
      </c>
      <c r="CL99" s="48">
        <f>IF(Assumptions!CL$74=0,0,IF(BusinessPlanMode="Core-Plus Lease-Up",MIN(MF_UnitCount*StabilizedOcc, MF_UnitCount*LeaseUpStartOcc + LeaseUpAbsorption*Assumptions!CL$72),MF_UnitCount*StabilizedOcc))</f>
        <v/>
      </c>
      <c r="CM99" s="48">
        <f>IF(Assumptions!CM$74=0,0,IF(BusinessPlanMode="Core-Plus Lease-Up",MIN(MF_UnitCount*StabilizedOcc, MF_UnitCount*LeaseUpStartOcc + LeaseUpAbsorption*Assumptions!CM$72),MF_UnitCount*StabilizedOcc))</f>
        <v/>
      </c>
      <c r="CN99" s="48">
        <f>IF(Assumptions!CN$74=0,0,IF(BusinessPlanMode="Core-Plus Lease-Up",MIN(MF_UnitCount*StabilizedOcc, MF_UnitCount*LeaseUpStartOcc + LeaseUpAbsorption*Assumptions!CN$72),MF_UnitCount*StabilizedOcc))</f>
        <v/>
      </c>
      <c r="CO99" s="48">
        <f>IF(Assumptions!CO$74=0,0,IF(BusinessPlanMode="Core-Plus Lease-Up",MIN(MF_UnitCount*StabilizedOcc, MF_UnitCount*LeaseUpStartOcc + LeaseUpAbsorption*Assumptions!CO$72),MF_UnitCount*StabilizedOcc))</f>
        <v/>
      </c>
      <c r="CP99" s="48">
        <f>IF(Assumptions!CP$74=0,0,IF(BusinessPlanMode="Core-Plus Lease-Up",MIN(MF_UnitCount*StabilizedOcc, MF_UnitCount*LeaseUpStartOcc + LeaseUpAbsorption*Assumptions!CP$72),MF_UnitCount*StabilizedOcc))</f>
        <v/>
      </c>
      <c r="CQ99" s="48">
        <f>IF(Assumptions!CQ$74=0,0,IF(BusinessPlanMode="Core-Plus Lease-Up",MIN(MF_UnitCount*StabilizedOcc, MF_UnitCount*LeaseUpStartOcc + LeaseUpAbsorption*Assumptions!CQ$72),MF_UnitCount*StabilizedOcc))</f>
        <v/>
      </c>
      <c r="CR99" s="48">
        <f>IF(Assumptions!CR$74=0,0,IF(BusinessPlanMode="Core-Plus Lease-Up",MIN(MF_UnitCount*StabilizedOcc, MF_UnitCount*LeaseUpStartOcc + LeaseUpAbsorption*Assumptions!CR$72),MF_UnitCount*StabilizedOcc))</f>
        <v/>
      </c>
      <c r="CS99" s="48">
        <f>IF(Assumptions!CS$74=0,0,IF(BusinessPlanMode="Core-Plus Lease-Up",MIN(MF_UnitCount*StabilizedOcc, MF_UnitCount*LeaseUpStartOcc + LeaseUpAbsorption*Assumptions!CS$72),MF_UnitCount*StabilizedOcc))</f>
        <v/>
      </c>
      <c r="CT99" s="48">
        <f>IF(Assumptions!CT$74=0,0,IF(BusinessPlanMode="Core-Plus Lease-Up",MIN(MF_UnitCount*StabilizedOcc, MF_UnitCount*LeaseUpStartOcc + LeaseUpAbsorption*Assumptions!CT$72),MF_UnitCount*StabilizedOcc))</f>
        <v/>
      </c>
      <c r="CU99" s="48">
        <f>IF(Assumptions!CU$74=0,0,IF(BusinessPlanMode="Core-Plus Lease-Up",MIN(MF_UnitCount*StabilizedOcc, MF_UnitCount*LeaseUpStartOcc + LeaseUpAbsorption*Assumptions!CU$72),MF_UnitCount*StabilizedOcc))</f>
        <v/>
      </c>
      <c r="CV99" s="48">
        <f>IF(Assumptions!CV$74=0,0,IF(BusinessPlanMode="Core-Plus Lease-Up",MIN(MF_UnitCount*StabilizedOcc, MF_UnitCount*LeaseUpStartOcc + LeaseUpAbsorption*Assumptions!CV$72),MF_UnitCount*StabilizedOcc))</f>
        <v/>
      </c>
      <c r="CW99" s="48">
        <f>IF(Assumptions!CW$74=0,0,IF(BusinessPlanMode="Core-Plus Lease-Up",MIN(MF_UnitCount*StabilizedOcc, MF_UnitCount*LeaseUpStartOcc + LeaseUpAbsorption*Assumptions!CW$72),MF_UnitCount*StabilizedOcc))</f>
        <v/>
      </c>
      <c r="CX99" s="48">
        <f>IF(Assumptions!CX$74=0,0,IF(BusinessPlanMode="Core-Plus Lease-Up",MIN(MF_UnitCount*StabilizedOcc, MF_UnitCount*LeaseUpStartOcc + LeaseUpAbsorption*Assumptions!CX$72),MF_UnitCount*StabilizedOcc))</f>
        <v/>
      </c>
      <c r="CY99" s="48">
        <f>IF(Assumptions!CY$74=0,0,IF(BusinessPlanMode="Core-Plus Lease-Up",MIN(MF_UnitCount*StabilizedOcc, MF_UnitCount*LeaseUpStartOcc + LeaseUpAbsorption*Assumptions!CY$72),MF_UnitCount*StabilizedOcc))</f>
        <v/>
      </c>
      <c r="CZ99" s="48">
        <f>IF(Assumptions!CZ$74=0,0,IF(BusinessPlanMode="Core-Plus Lease-Up",MIN(MF_UnitCount*StabilizedOcc, MF_UnitCount*LeaseUpStartOcc + LeaseUpAbsorption*Assumptions!CZ$72),MF_UnitCount*StabilizedOcc))</f>
        <v/>
      </c>
      <c r="DA99" s="48">
        <f>IF(Assumptions!DA$74=0,0,IF(BusinessPlanMode="Core-Plus Lease-Up",MIN(MF_UnitCount*StabilizedOcc, MF_UnitCount*LeaseUpStartOcc + LeaseUpAbsorption*Assumptions!DA$72),MF_UnitCount*StabilizedOcc))</f>
        <v/>
      </c>
      <c r="DB99" s="48">
        <f>IF(Assumptions!DB$74=0,0,IF(BusinessPlanMode="Core-Plus Lease-Up",MIN(MF_UnitCount*StabilizedOcc, MF_UnitCount*LeaseUpStartOcc + LeaseUpAbsorption*Assumptions!DB$72),MF_UnitCount*StabilizedOcc))</f>
        <v/>
      </c>
      <c r="DC99" s="48">
        <f>IF(Assumptions!DC$74=0,0,IF(BusinessPlanMode="Core-Plus Lease-Up",MIN(MF_UnitCount*StabilizedOcc, MF_UnitCount*LeaseUpStartOcc + LeaseUpAbsorption*Assumptions!DC$72),MF_UnitCount*StabilizedOcc))</f>
        <v/>
      </c>
      <c r="DD99" s="48">
        <f>IF(Assumptions!DD$74=0,0,IF(BusinessPlanMode="Core-Plus Lease-Up",MIN(MF_UnitCount*StabilizedOcc, MF_UnitCount*LeaseUpStartOcc + LeaseUpAbsorption*Assumptions!DD$72),MF_UnitCount*StabilizedOcc))</f>
        <v/>
      </c>
      <c r="DE99" s="48">
        <f>IF(Assumptions!DE$74=0,0,IF(BusinessPlanMode="Core-Plus Lease-Up",MIN(MF_UnitCount*StabilizedOcc, MF_UnitCount*LeaseUpStartOcc + LeaseUpAbsorption*Assumptions!DE$72),MF_UnitCount*StabilizedOcc))</f>
        <v/>
      </c>
      <c r="DF99" s="48">
        <f>IF(Assumptions!DF$74=0,0,IF(BusinessPlanMode="Core-Plus Lease-Up",MIN(MF_UnitCount*StabilizedOcc, MF_UnitCount*LeaseUpStartOcc + LeaseUpAbsorption*Assumptions!DF$72),MF_UnitCount*StabilizedOcc))</f>
        <v/>
      </c>
      <c r="DG99" s="48">
        <f>IF(Assumptions!DG$74=0,0,IF(BusinessPlanMode="Core-Plus Lease-Up",MIN(MF_UnitCount*StabilizedOcc, MF_UnitCount*LeaseUpStartOcc + LeaseUpAbsorption*Assumptions!DG$72),MF_UnitCount*StabilizedOcc))</f>
        <v/>
      </c>
      <c r="DH99" s="48">
        <f>IF(Assumptions!DH$74=0,0,IF(BusinessPlanMode="Core-Plus Lease-Up",MIN(MF_UnitCount*StabilizedOcc, MF_UnitCount*LeaseUpStartOcc + LeaseUpAbsorption*Assumptions!DH$72),MF_UnitCount*StabilizedOcc))</f>
        <v/>
      </c>
      <c r="DI99" s="48">
        <f>IF(Assumptions!DI$74=0,0,IF(BusinessPlanMode="Core-Plus Lease-Up",MIN(MF_UnitCount*StabilizedOcc, MF_UnitCount*LeaseUpStartOcc + LeaseUpAbsorption*Assumptions!DI$72),MF_UnitCount*StabilizedOcc))</f>
        <v/>
      </c>
      <c r="DJ99" s="48">
        <f>IF(Assumptions!DJ$74=0,0,IF(BusinessPlanMode="Core-Plus Lease-Up",MIN(MF_UnitCount*StabilizedOcc, MF_UnitCount*LeaseUpStartOcc + LeaseUpAbsorption*Assumptions!DJ$72),MF_UnitCount*StabilizedOcc))</f>
        <v/>
      </c>
      <c r="DK99" s="48">
        <f>IF(Assumptions!DK$74=0,0,IF(BusinessPlanMode="Core-Plus Lease-Up",MIN(MF_UnitCount*StabilizedOcc, MF_UnitCount*LeaseUpStartOcc + LeaseUpAbsorption*Assumptions!DK$72),MF_UnitCount*StabilizedOcc))</f>
        <v/>
      </c>
      <c r="DL99" s="48">
        <f>IF(Assumptions!DL$74=0,0,IF(BusinessPlanMode="Core-Plus Lease-Up",MIN(MF_UnitCount*StabilizedOcc, MF_UnitCount*LeaseUpStartOcc + LeaseUpAbsorption*Assumptions!DL$72),MF_UnitCount*StabilizedOcc))</f>
        <v/>
      </c>
      <c r="DM99" s="48">
        <f>IF(Assumptions!DM$74=0,0,IF(BusinessPlanMode="Core-Plus Lease-Up",MIN(MF_UnitCount*StabilizedOcc, MF_UnitCount*LeaseUpStartOcc + LeaseUpAbsorption*Assumptions!DM$72),MF_UnitCount*StabilizedOcc))</f>
        <v/>
      </c>
      <c r="DN99" s="48">
        <f>IF(Assumptions!DN$74=0,0,IF(BusinessPlanMode="Core-Plus Lease-Up",MIN(MF_UnitCount*StabilizedOcc, MF_UnitCount*LeaseUpStartOcc + LeaseUpAbsorption*Assumptions!DN$72),MF_UnitCount*StabilizedOcc))</f>
        <v/>
      </c>
      <c r="DO99" s="48">
        <f>IF(Assumptions!DO$74=0,0,IF(BusinessPlanMode="Core-Plus Lease-Up",MIN(MF_UnitCount*StabilizedOcc, MF_UnitCount*LeaseUpStartOcc + LeaseUpAbsorption*Assumptions!DO$72),MF_UnitCount*StabilizedOcc))</f>
        <v/>
      </c>
      <c r="DP99" s="48">
        <f>IF(Assumptions!DP$74=0,0,IF(BusinessPlanMode="Core-Plus Lease-Up",MIN(MF_UnitCount*StabilizedOcc, MF_UnitCount*LeaseUpStartOcc + LeaseUpAbsorption*Assumptions!DP$72),MF_UnitCount*StabilizedOcc))</f>
        <v/>
      </c>
      <c r="DQ99" s="48">
        <f>IF(Assumptions!DQ$74=0,0,IF(BusinessPlanMode="Core-Plus Lease-Up",MIN(MF_UnitCount*StabilizedOcc, MF_UnitCount*LeaseUpStartOcc + LeaseUpAbsorption*Assumptions!DQ$72),MF_UnitCount*StabilizedOcc))</f>
        <v/>
      </c>
      <c r="DR99" s="48">
        <f>IF(Assumptions!DR$74=0,0,IF(BusinessPlanMode="Core-Plus Lease-Up",MIN(MF_UnitCount*StabilizedOcc, MF_UnitCount*LeaseUpStartOcc + LeaseUpAbsorption*Assumptions!DR$72),MF_UnitCount*StabilizedOcc))</f>
        <v/>
      </c>
      <c r="DS99" s="48">
        <f>IF(Assumptions!DS$74=0,0,IF(BusinessPlanMode="Core-Plus Lease-Up",MIN(MF_UnitCount*StabilizedOcc, MF_UnitCount*LeaseUpStartOcc + LeaseUpAbsorption*Assumptions!DS$72),MF_UnitCount*StabilizedOcc))</f>
        <v/>
      </c>
      <c r="DT99" s="48">
        <f>IF(Assumptions!DT$74=0,0,IF(BusinessPlanMode="Core-Plus Lease-Up",MIN(MF_UnitCount*StabilizedOcc, MF_UnitCount*LeaseUpStartOcc + LeaseUpAbsorption*Assumptions!DT$72),MF_UnitCount*StabilizedOcc))</f>
        <v/>
      </c>
    </row>
    <row r="100">
      <c r="A100" s="10" t="inlineStr">
        <is>
          <t>Renovated units (cumulative)</t>
        </is>
      </c>
      <c r="E100" s="48">
        <f>IF(BusinessPlanMode="Value-Add",MIN(MF_UnitCount,MAX(0,RenoPace*(Assumptions!E$72-RenoDowntime)))*Assumptions!E$74,0)</f>
        <v/>
      </c>
      <c r="F100" s="48">
        <f>IF(BusinessPlanMode="Value-Add",MIN(MF_UnitCount,MAX(0,RenoPace*(Assumptions!F$72-RenoDowntime)))*Assumptions!F$74,0)</f>
        <v/>
      </c>
      <c r="G100" s="48">
        <f>IF(BusinessPlanMode="Value-Add",MIN(MF_UnitCount,MAX(0,RenoPace*(Assumptions!G$72-RenoDowntime)))*Assumptions!G$74,0)</f>
        <v/>
      </c>
      <c r="H100" s="48">
        <f>IF(BusinessPlanMode="Value-Add",MIN(MF_UnitCount,MAX(0,RenoPace*(Assumptions!H$72-RenoDowntime)))*Assumptions!H$74,0)</f>
        <v/>
      </c>
      <c r="I100" s="48">
        <f>IF(BusinessPlanMode="Value-Add",MIN(MF_UnitCount,MAX(0,RenoPace*(Assumptions!I$72-RenoDowntime)))*Assumptions!I$74,0)</f>
        <v/>
      </c>
      <c r="J100" s="48">
        <f>IF(BusinessPlanMode="Value-Add",MIN(MF_UnitCount,MAX(0,RenoPace*(Assumptions!J$72-RenoDowntime)))*Assumptions!J$74,0)</f>
        <v/>
      </c>
      <c r="K100" s="48">
        <f>IF(BusinessPlanMode="Value-Add",MIN(MF_UnitCount,MAX(0,RenoPace*(Assumptions!K$72-RenoDowntime)))*Assumptions!K$74,0)</f>
        <v/>
      </c>
      <c r="L100" s="48">
        <f>IF(BusinessPlanMode="Value-Add",MIN(MF_UnitCount,MAX(0,RenoPace*(Assumptions!L$72-RenoDowntime)))*Assumptions!L$74,0)</f>
        <v/>
      </c>
      <c r="M100" s="48">
        <f>IF(BusinessPlanMode="Value-Add",MIN(MF_UnitCount,MAX(0,RenoPace*(Assumptions!M$72-RenoDowntime)))*Assumptions!M$74,0)</f>
        <v/>
      </c>
      <c r="N100" s="48">
        <f>IF(BusinessPlanMode="Value-Add",MIN(MF_UnitCount,MAX(0,RenoPace*(Assumptions!N$72-RenoDowntime)))*Assumptions!N$74,0)</f>
        <v/>
      </c>
      <c r="O100" s="48">
        <f>IF(BusinessPlanMode="Value-Add",MIN(MF_UnitCount,MAX(0,RenoPace*(Assumptions!O$72-RenoDowntime)))*Assumptions!O$74,0)</f>
        <v/>
      </c>
      <c r="P100" s="48">
        <f>IF(BusinessPlanMode="Value-Add",MIN(MF_UnitCount,MAX(0,RenoPace*(Assumptions!P$72-RenoDowntime)))*Assumptions!P$74,0)</f>
        <v/>
      </c>
      <c r="Q100" s="48">
        <f>IF(BusinessPlanMode="Value-Add",MIN(MF_UnitCount,MAX(0,RenoPace*(Assumptions!Q$72-RenoDowntime)))*Assumptions!Q$74,0)</f>
        <v/>
      </c>
      <c r="R100" s="48">
        <f>IF(BusinessPlanMode="Value-Add",MIN(MF_UnitCount,MAX(0,RenoPace*(Assumptions!R$72-RenoDowntime)))*Assumptions!R$74,0)</f>
        <v/>
      </c>
      <c r="S100" s="48">
        <f>IF(BusinessPlanMode="Value-Add",MIN(MF_UnitCount,MAX(0,RenoPace*(Assumptions!S$72-RenoDowntime)))*Assumptions!S$74,0)</f>
        <v/>
      </c>
      <c r="T100" s="48">
        <f>IF(BusinessPlanMode="Value-Add",MIN(MF_UnitCount,MAX(0,RenoPace*(Assumptions!T$72-RenoDowntime)))*Assumptions!T$74,0)</f>
        <v/>
      </c>
      <c r="U100" s="48">
        <f>IF(BusinessPlanMode="Value-Add",MIN(MF_UnitCount,MAX(0,RenoPace*(Assumptions!U$72-RenoDowntime)))*Assumptions!U$74,0)</f>
        <v/>
      </c>
      <c r="V100" s="48">
        <f>IF(BusinessPlanMode="Value-Add",MIN(MF_UnitCount,MAX(0,RenoPace*(Assumptions!V$72-RenoDowntime)))*Assumptions!V$74,0)</f>
        <v/>
      </c>
      <c r="W100" s="48">
        <f>IF(BusinessPlanMode="Value-Add",MIN(MF_UnitCount,MAX(0,RenoPace*(Assumptions!W$72-RenoDowntime)))*Assumptions!W$74,0)</f>
        <v/>
      </c>
      <c r="X100" s="48">
        <f>IF(BusinessPlanMode="Value-Add",MIN(MF_UnitCount,MAX(0,RenoPace*(Assumptions!X$72-RenoDowntime)))*Assumptions!X$74,0)</f>
        <v/>
      </c>
      <c r="Y100" s="48">
        <f>IF(BusinessPlanMode="Value-Add",MIN(MF_UnitCount,MAX(0,RenoPace*(Assumptions!Y$72-RenoDowntime)))*Assumptions!Y$74,0)</f>
        <v/>
      </c>
      <c r="Z100" s="48">
        <f>IF(BusinessPlanMode="Value-Add",MIN(MF_UnitCount,MAX(0,RenoPace*(Assumptions!Z$72-RenoDowntime)))*Assumptions!Z$74,0)</f>
        <v/>
      </c>
      <c r="AA100" s="48">
        <f>IF(BusinessPlanMode="Value-Add",MIN(MF_UnitCount,MAX(0,RenoPace*(Assumptions!AA$72-RenoDowntime)))*Assumptions!AA$74,0)</f>
        <v/>
      </c>
      <c r="AB100" s="48">
        <f>IF(BusinessPlanMode="Value-Add",MIN(MF_UnitCount,MAX(0,RenoPace*(Assumptions!AB$72-RenoDowntime)))*Assumptions!AB$74,0)</f>
        <v/>
      </c>
      <c r="AC100" s="48">
        <f>IF(BusinessPlanMode="Value-Add",MIN(MF_UnitCount,MAX(0,RenoPace*(Assumptions!AC$72-RenoDowntime)))*Assumptions!AC$74,0)</f>
        <v/>
      </c>
      <c r="AD100" s="48">
        <f>IF(BusinessPlanMode="Value-Add",MIN(MF_UnitCount,MAX(0,RenoPace*(Assumptions!AD$72-RenoDowntime)))*Assumptions!AD$74,0)</f>
        <v/>
      </c>
      <c r="AE100" s="48">
        <f>IF(BusinessPlanMode="Value-Add",MIN(MF_UnitCount,MAX(0,RenoPace*(Assumptions!AE$72-RenoDowntime)))*Assumptions!AE$74,0)</f>
        <v/>
      </c>
      <c r="AF100" s="48">
        <f>IF(BusinessPlanMode="Value-Add",MIN(MF_UnitCount,MAX(0,RenoPace*(Assumptions!AF$72-RenoDowntime)))*Assumptions!AF$74,0)</f>
        <v/>
      </c>
      <c r="AG100" s="48">
        <f>IF(BusinessPlanMode="Value-Add",MIN(MF_UnitCount,MAX(0,RenoPace*(Assumptions!AG$72-RenoDowntime)))*Assumptions!AG$74,0)</f>
        <v/>
      </c>
      <c r="AH100" s="48">
        <f>IF(BusinessPlanMode="Value-Add",MIN(MF_UnitCount,MAX(0,RenoPace*(Assumptions!AH$72-RenoDowntime)))*Assumptions!AH$74,0)</f>
        <v/>
      </c>
      <c r="AI100" s="48">
        <f>IF(BusinessPlanMode="Value-Add",MIN(MF_UnitCount,MAX(0,RenoPace*(Assumptions!AI$72-RenoDowntime)))*Assumptions!AI$74,0)</f>
        <v/>
      </c>
      <c r="AJ100" s="48">
        <f>IF(BusinessPlanMode="Value-Add",MIN(MF_UnitCount,MAX(0,RenoPace*(Assumptions!AJ$72-RenoDowntime)))*Assumptions!AJ$74,0)</f>
        <v/>
      </c>
      <c r="AK100" s="48">
        <f>IF(BusinessPlanMode="Value-Add",MIN(MF_UnitCount,MAX(0,RenoPace*(Assumptions!AK$72-RenoDowntime)))*Assumptions!AK$74,0)</f>
        <v/>
      </c>
      <c r="AL100" s="48">
        <f>IF(BusinessPlanMode="Value-Add",MIN(MF_UnitCount,MAX(0,RenoPace*(Assumptions!AL$72-RenoDowntime)))*Assumptions!AL$74,0)</f>
        <v/>
      </c>
      <c r="AM100" s="48">
        <f>IF(BusinessPlanMode="Value-Add",MIN(MF_UnitCount,MAX(0,RenoPace*(Assumptions!AM$72-RenoDowntime)))*Assumptions!AM$74,0)</f>
        <v/>
      </c>
      <c r="AN100" s="48">
        <f>IF(BusinessPlanMode="Value-Add",MIN(MF_UnitCount,MAX(0,RenoPace*(Assumptions!AN$72-RenoDowntime)))*Assumptions!AN$74,0)</f>
        <v/>
      </c>
      <c r="AO100" s="48">
        <f>IF(BusinessPlanMode="Value-Add",MIN(MF_UnitCount,MAX(0,RenoPace*(Assumptions!AO$72-RenoDowntime)))*Assumptions!AO$74,0)</f>
        <v/>
      </c>
      <c r="AP100" s="48">
        <f>IF(BusinessPlanMode="Value-Add",MIN(MF_UnitCount,MAX(0,RenoPace*(Assumptions!AP$72-RenoDowntime)))*Assumptions!AP$74,0)</f>
        <v/>
      </c>
      <c r="AQ100" s="48">
        <f>IF(BusinessPlanMode="Value-Add",MIN(MF_UnitCount,MAX(0,RenoPace*(Assumptions!AQ$72-RenoDowntime)))*Assumptions!AQ$74,0)</f>
        <v/>
      </c>
      <c r="AR100" s="48">
        <f>IF(BusinessPlanMode="Value-Add",MIN(MF_UnitCount,MAX(0,RenoPace*(Assumptions!AR$72-RenoDowntime)))*Assumptions!AR$74,0)</f>
        <v/>
      </c>
      <c r="AS100" s="48">
        <f>IF(BusinessPlanMode="Value-Add",MIN(MF_UnitCount,MAX(0,RenoPace*(Assumptions!AS$72-RenoDowntime)))*Assumptions!AS$74,0)</f>
        <v/>
      </c>
      <c r="AT100" s="48">
        <f>IF(BusinessPlanMode="Value-Add",MIN(MF_UnitCount,MAX(0,RenoPace*(Assumptions!AT$72-RenoDowntime)))*Assumptions!AT$74,0)</f>
        <v/>
      </c>
      <c r="AU100" s="48">
        <f>IF(BusinessPlanMode="Value-Add",MIN(MF_UnitCount,MAX(0,RenoPace*(Assumptions!AU$72-RenoDowntime)))*Assumptions!AU$74,0)</f>
        <v/>
      </c>
      <c r="AV100" s="48">
        <f>IF(BusinessPlanMode="Value-Add",MIN(MF_UnitCount,MAX(0,RenoPace*(Assumptions!AV$72-RenoDowntime)))*Assumptions!AV$74,0)</f>
        <v/>
      </c>
      <c r="AW100" s="48">
        <f>IF(BusinessPlanMode="Value-Add",MIN(MF_UnitCount,MAX(0,RenoPace*(Assumptions!AW$72-RenoDowntime)))*Assumptions!AW$74,0)</f>
        <v/>
      </c>
      <c r="AX100" s="48">
        <f>IF(BusinessPlanMode="Value-Add",MIN(MF_UnitCount,MAX(0,RenoPace*(Assumptions!AX$72-RenoDowntime)))*Assumptions!AX$74,0)</f>
        <v/>
      </c>
      <c r="AY100" s="48">
        <f>IF(BusinessPlanMode="Value-Add",MIN(MF_UnitCount,MAX(0,RenoPace*(Assumptions!AY$72-RenoDowntime)))*Assumptions!AY$74,0)</f>
        <v/>
      </c>
      <c r="AZ100" s="48">
        <f>IF(BusinessPlanMode="Value-Add",MIN(MF_UnitCount,MAX(0,RenoPace*(Assumptions!AZ$72-RenoDowntime)))*Assumptions!AZ$74,0)</f>
        <v/>
      </c>
      <c r="BA100" s="48">
        <f>IF(BusinessPlanMode="Value-Add",MIN(MF_UnitCount,MAX(0,RenoPace*(Assumptions!BA$72-RenoDowntime)))*Assumptions!BA$74,0)</f>
        <v/>
      </c>
      <c r="BB100" s="48">
        <f>IF(BusinessPlanMode="Value-Add",MIN(MF_UnitCount,MAX(0,RenoPace*(Assumptions!BB$72-RenoDowntime)))*Assumptions!BB$74,0)</f>
        <v/>
      </c>
      <c r="BC100" s="48">
        <f>IF(BusinessPlanMode="Value-Add",MIN(MF_UnitCount,MAX(0,RenoPace*(Assumptions!BC$72-RenoDowntime)))*Assumptions!BC$74,0)</f>
        <v/>
      </c>
      <c r="BD100" s="48">
        <f>IF(BusinessPlanMode="Value-Add",MIN(MF_UnitCount,MAX(0,RenoPace*(Assumptions!BD$72-RenoDowntime)))*Assumptions!BD$74,0)</f>
        <v/>
      </c>
      <c r="BE100" s="48">
        <f>IF(BusinessPlanMode="Value-Add",MIN(MF_UnitCount,MAX(0,RenoPace*(Assumptions!BE$72-RenoDowntime)))*Assumptions!BE$74,0)</f>
        <v/>
      </c>
      <c r="BF100" s="48">
        <f>IF(BusinessPlanMode="Value-Add",MIN(MF_UnitCount,MAX(0,RenoPace*(Assumptions!BF$72-RenoDowntime)))*Assumptions!BF$74,0)</f>
        <v/>
      </c>
      <c r="BG100" s="48">
        <f>IF(BusinessPlanMode="Value-Add",MIN(MF_UnitCount,MAX(0,RenoPace*(Assumptions!BG$72-RenoDowntime)))*Assumptions!BG$74,0)</f>
        <v/>
      </c>
      <c r="BH100" s="48">
        <f>IF(BusinessPlanMode="Value-Add",MIN(MF_UnitCount,MAX(0,RenoPace*(Assumptions!BH$72-RenoDowntime)))*Assumptions!BH$74,0)</f>
        <v/>
      </c>
      <c r="BI100" s="48">
        <f>IF(BusinessPlanMode="Value-Add",MIN(MF_UnitCount,MAX(0,RenoPace*(Assumptions!BI$72-RenoDowntime)))*Assumptions!BI$74,0)</f>
        <v/>
      </c>
      <c r="BJ100" s="48">
        <f>IF(BusinessPlanMode="Value-Add",MIN(MF_UnitCount,MAX(0,RenoPace*(Assumptions!BJ$72-RenoDowntime)))*Assumptions!BJ$74,0)</f>
        <v/>
      </c>
      <c r="BK100" s="48">
        <f>IF(BusinessPlanMode="Value-Add",MIN(MF_UnitCount,MAX(0,RenoPace*(Assumptions!BK$72-RenoDowntime)))*Assumptions!BK$74,0)</f>
        <v/>
      </c>
      <c r="BL100" s="48">
        <f>IF(BusinessPlanMode="Value-Add",MIN(MF_UnitCount,MAX(0,RenoPace*(Assumptions!BL$72-RenoDowntime)))*Assumptions!BL$74,0)</f>
        <v/>
      </c>
      <c r="BM100" s="48">
        <f>IF(BusinessPlanMode="Value-Add",MIN(MF_UnitCount,MAX(0,RenoPace*(Assumptions!BM$72-RenoDowntime)))*Assumptions!BM$74,0)</f>
        <v/>
      </c>
      <c r="BN100" s="48">
        <f>IF(BusinessPlanMode="Value-Add",MIN(MF_UnitCount,MAX(0,RenoPace*(Assumptions!BN$72-RenoDowntime)))*Assumptions!BN$74,0)</f>
        <v/>
      </c>
      <c r="BO100" s="48">
        <f>IF(BusinessPlanMode="Value-Add",MIN(MF_UnitCount,MAX(0,RenoPace*(Assumptions!BO$72-RenoDowntime)))*Assumptions!BO$74,0)</f>
        <v/>
      </c>
      <c r="BP100" s="48">
        <f>IF(BusinessPlanMode="Value-Add",MIN(MF_UnitCount,MAX(0,RenoPace*(Assumptions!BP$72-RenoDowntime)))*Assumptions!BP$74,0)</f>
        <v/>
      </c>
      <c r="BQ100" s="48">
        <f>IF(BusinessPlanMode="Value-Add",MIN(MF_UnitCount,MAX(0,RenoPace*(Assumptions!BQ$72-RenoDowntime)))*Assumptions!BQ$74,0)</f>
        <v/>
      </c>
      <c r="BR100" s="48">
        <f>IF(BusinessPlanMode="Value-Add",MIN(MF_UnitCount,MAX(0,RenoPace*(Assumptions!BR$72-RenoDowntime)))*Assumptions!BR$74,0)</f>
        <v/>
      </c>
      <c r="BS100" s="48">
        <f>IF(BusinessPlanMode="Value-Add",MIN(MF_UnitCount,MAX(0,RenoPace*(Assumptions!BS$72-RenoDowntime)))*Assumptions!BS$74,0)</f>
        <v/>
      </c>
      <c r="BT100" s="48">
        <f>IF(BusinessPlanMode="Value-Add",MIN(MF_UnitCount,MAX(0,RenoPace*(Assumptions!BT$72-RenoDowntime)))*Assumptions!BT$74,0)</f>
        <v/>
      </c>
      <c r="BU100" s="48">
        <f>IF(BusinessPlanMode="Value-Add",MIN(MF_UnitCount,MAX(0,RenoPace*(Assumptions!BU$72-RenoDowntime)))*Assumptions!BU$74,0)</f>
        <v/>
      </c>
      <c r="BV100" s="48">
        <f>IF(BusinessPlanMode="Value-Add",MIN(MF_UnitCount,MAX(0,RenoPace*(Assumptions!BV$72-RenoDowntime)))*Assumptions!BV$74,0)</f>
        <v/>
      </c>
      <c r="BW100" s="48">
        <f>IF(BusinessPlanMode="Value-Add",MIN(MF_UnitCount,MAX(0,RenoPace*(Assumptions!BW$72-RenoDowntime)))*Assumptions!BW$74,0)</f>
        <v/>
      </c>
      <c r="BX100" s="48">
        <f>IF(BusinessPlanMode="Value-Add",MIN(MF_UnitCount,MAX(0,RenoPace*(Assumptions!BX$72-RenoDowntime)))*Assumptions!BX$74,0)</f>
        <v/>
      </c>
      <c r="BY100" s="48">
        <f>IF(BusinessPlanMode="Value-Add",MIN(MF_UnitCount,MAX(0,RenoPace*(Assumptions!BY$72-RenoDowntime)))*Assumptions!BY$74,0)</f>
        <v/>
      </c>
      <c r="BZ100" s="48">
        <f>IF(BusinessPlanMode="Value-Add",MIN(MF_UnitCount,MAX(0,RenoPace*(Assumptions!BZ$72-RenoDowntime)))*Assumptions!BZ$74,0)</f>
        <v/>
      </c>
      <c r="CA100" s="48">
        <f>IF(BusinessPlanMode="Value-Add",MIN(MF_UnitCount,MAX(0,RenoPace*(Assumptions!CA$72-RenoDowntime)))*Assumptions!CA$74,0)</f>
        <v/>
      </c>
      <c r="CB100" s="48">
        <f>IF(BusinessPlanMode="Value-Add",MIN(MF_UnitCount,MAX(0,RenoPace*(Assumptions!CB$72-RenoDowntime)))*Assumptions!CB$74,0)</f>
        <v/>
      </c>
      <c r="CC100" s="48">
        <f>IF(BusinessPlanMode="Value-Add",MIN(MF_UnitCount,MAX(0,RenoPace*(Assumptions!CC$72-RenoDowntime)))*Assumptions!CC$74,0)</f>
        <v/>
      </c>
      <c r="CD100" s="48">
        <f>IF(BusinessPlanMode="Value-Add",MIN(MF_UnitCount,MAX(0,RenoPace*(Assumptions!CD$72-RenoDowntime)))*Assumptions!CD$74,0)</f>
        <v/>
      </c>
      <c r="CE100" s="48">
        <f>IF(BusinessPlanMode="Value-Add",MIN(MF_UnitCount,MAX(0,RenoPace*(Assumptions!CE$72-RenoDowntime)))*Assumptions!CE$74,0)</f>
        <v/>
      </c>
      <c r="CF100" s="48">
        <f>IF(BusinessPlanMode="Value-Add",MIN(MF_UnitCount,MAX(0,RenoPace*(Assumptions!CF$72-RenoDowntime)))*Assumptions!CF$74,0)</f>
        <v/>
      </c>
      <c r="CG100" s="48">
        <f>IF(BusinessPlanMode="Value-Add",MIN(MF_UnitCount,MAX(0,RenoPace*(Assumptions!CG$72-RenoDowntime)))*Assumptions!CG$74,0)</f>
        <v/>
      </c>
      <c r="CH100" s="48">
        <f>IF(BusinessPlanMode="Value-Add",MIN(MF_UnitCount,MAX(0,RenoPace*(Assumptions!CH$72-RenoDowntime)))*Assumptions!CH$74,0)</f>
        <v/>
      </c>
      <c r="CI100" s="48">
        <f>IF(BusinessPlanMode="Value-Add",MIN(MF_UnitCount,MAX(0,RenoPace*(Assumptions!CI$72-RenoDowntime)))*Assumptions!CI$74,0)</f>
        <v/>
      </c>
      <c r="CJ100" s="48">
        <f>IF(BusinessPlanMode="Value-Add",MIN(MF_UnitCount,MAX(0,RenoPace*(Assumptions!CJ$72-RenoDowntime)))*Assumptions!CJ$74,0)</f>
        <v/>
      </c>
      <c r="CK100" s="48">
        <f>IF(BusinessPlanMode="Value-Add",MIN(MF_UnitCount,MAX(0,RenoPace*(Assumptions!CK$72-RenoDowntime)))*Assumptions!CK$74,0)</f>
        <v/>
      </c>
      <c r="CL100" s="48">
        <f>IF(BusinessPlanMode="Value-Add",MIN(MF_UnitCount,MAX(0,RenoPace*(Assumptions!CL$72-RenoDowntime)))*Assumptions!CL$74,0)</f>
        <v/>
      </c>
      <c r="CM100" s="48">
        <f>IF(BusinessPlanMode="Value-Add",MIN(MF_UnitCount,MAX(0,RenoPace*(Assumptions!CM$72-RenoDowntime)))*Assumptions!CM$74,0)</f>
        <v/>
      </c>
      <c r="CN100" s="48">
        <f>IF(BusinessPlanMode="Value-Add",MIN(MF_UnitCount,MAX(0,RenoPace*(Assumptions!CN$72-RenoDowntime)))*Assumptions!CN$74,0)</f>
        <v/>
      </c>
      <c r="CO100" s="48">
        <f>IF(BusinessPlanMode="Value-Add",MIN(MF_UnitCount,MAX(0,RenoPace*(Assumptions!CO$72-RenoDowntime)))*Assumptions!CO$74,0)</f>
        <v/>
      </c>
      <c r="CP100" s="48">
        <f>IF(BusinessPlanMode="Value-Add",MIN(MF_UnitCount,MAX(0,RenoPace*(Assumptions!CP$72-RenoDowntime)))*Assumptions!CP$74,0)</f>
        <v/>
      </c>
      <c r="CQ100" s="48">
        <f>IF(BusinessPlanMode="Value-Add",MIN(MF_UnitCount,MAX(0,RenoPace*(Assumptions!CQ$72-RenoDowntime)))*Assumptions!CQ$74,0)</f>
        <v/>
      </c>
      <c r="CR100" s="48">
        <f>IF(BusinessPlanMode="Value-Add",MIN(MF_UnitCount,MAX(0,RenoPace*(Assumptions!CR$72-RenoDowntime)))*Assumptions!CR$74,0)</f>
        <v/>
      </c>
      <c r="CS100" s="48">
        <f>IF(BusinessPlanMode="Value-Add",MIN(MF_UnitCount,MAX(0,RenoPace*(Assumptions!CS$72-RenoDowntime)))*Assumptions!CS$74,0)</f>
        <v/>
      </c>
      <c r="CT100" s="48">
        <f>IF(BusinessPlanMode="Value-Add",MIN(MF_UnitCount,MAX(0,RenoPace*(Assumptions!CT$72-RenoDowntime)))*Assumptions!CT$74,0)</f>
        <v/>
      </c>
      <c r="CU100" s="48">
        <f>IF(BusinessPlanMode="Value-Add",MIN(MF_UnitCount,MAX(0,RenoPace*(Assumptions!CU$72-RenoDowntime)))*Assumptions!CU$74,0)</f>
        <v/>
      </c>
      <c r="CV100" s="48">
        <f>IF(BusinessPlanMode="Value-Add",MIN(MF_UnitCount,MAX(0,RenoPace*(Assumptions!CV$72-RenoDowntime)))*Assumptions!CV$74,0)</f>
        <v/>
      </c>
      <c r="CW100" s="48">
        <f>IF(BusinessPlanMode="Value-Add",MIN(MF_UnitCount,MAX(0,RenoPace*(Assumptions!CW$72-RenoDowntime)))*Assumptions!CW$74,0)</f>
        <v/>
      </c>
      <c r="CX100" s="48">
        <f>IF(BusinessPlanMode="Value-Add",MIN(MF_UnitCount,MAX(0,RenoPace*(Assumptions!CX$72-RenoDowntime)))*Assumptions!CX$74,0)</f>
        <v/>
      </c>
      <c r="CY100" s="48">
        <f>IF(BusinessPlanMode="Value-Add",MIN(MF_UnitCount,MAX(0,RenoPace*(Assumptions!CY$72-RenoDowntime)))*Assumptions!CY$74,0)</f>
        <v/>
      </c>
      <c r="CZ100" s="48">
        <f>IF(BusinessPlanMode="Value-Add",MIN(MF_UnitCount,MAX(0,RenoPace*(Assumptions!CZ$72-RenoDowntime)))*Assumptions!CZ$74,0)</f>
        <v/>
      </c>
      <c r="DA100" s="48">
        <f>IF(BusinessPlanMode="Value-Add",MIN(MF_UnitCount,MAX(0,RenoPace*(Assumptions!DA$72-RenoDowntime)))*Assumptions!DA$74,0)</f>
        <v/>
      </c>
      <c r="DB100" s="48">
        <f>IF(BusinessPlanMode="Value-Add",MIN(MF_UnitCount,MAX(0,RenoPace*(Assumptions!DB$72-RenoDowntime)))*Assumptions!DB$74,0)</f>
        <v/>
      </c>
      <c r="DC100" s="48">
        <f>IF(BusinessPlanMode="Value-Add",MIN(MF_UnitCount,MAX(0,RenoPace*(Assumptions!DC$72-RenoDowntime)))*Assumptions!DC$74,0)</f>
        <v/>
      </c>
      <c r="DD100" s="48">
        <f>IF(BusinessPlanMode="Value-Add",MIN(MF_UnitCount,MAX(0,RenoPace*(Assumptions!DD$72-RenoDowntime)))*Assumptions!DD$74,0)</f>
        <v/>
      </c>
      <c r="DE100" s="48">
        <f>IF(BusinessPlanMode="Value-Add",MIN(MF_UnitCount,MAX(0,RenoPace*(Assumptions!DE$72-RenoDowntime)))*Assumptions!DE$74,0)</f>
        <v/>
      </c>
      <c r="DF100" s="48">
        <f>IF(BusinessPlanMode="Value-Add",MIN(MF_UnitCount,MAX(0,RenoPace*(Assumptions!DF$72-RenoDowntime)))*Assumptions!DF$74,0)</f>
        <v/>
      </c>
      <c r="DG100" s="48">
        <f>IF(BusinessPlanMode="Value-Add",MIN(MF_UnitCount,MAX(0,RenoPace*(Assumptions!DG$72-RenoDowntime)))*Assumptions!DG$74,0)</f>
        <v/>
      </c>
      <c r="DH100" s="48">
        <f>IF(BusinessPlanMode="Value-Add",MIN(MF_UnitCount,MAX(0,RenoPace*(Assumptions!DH$72-RenoDowntime)))*Assumptions!DH$74,0)</f>
        <v/>
      </c>
      <c r="DI100" s="48">
        <f>IF(BusinessPlanMode="Value-Add",MIN(MF_UnitCount,MAX(0,RenoPace*(Assumptions!DI$72-RenoDowntime)))*Assumptions!DI$74,0)</f>
        <v/>
      </c>
      <c r="DJ100" s="48">
        <f>IF(BusinessPlanMode="Value-Add",MIN(MF_UnitCount,MAX(0,RenoPace*(Assumptions!DJ$72-RenoDowntime)))*Assumptions!DJ$74,0)</f>
        <v/>
      </c>
      <c r="DK100" s="48">
        <f>IF(BusinessPlanMode="Value-Add",MIN(MF_UnitCount,MAX(0,RenoPace*(Assumptions!DK$72-RenoDowntime)))*Assumptions!DK$74,0)</f>
        <v/>
      </c>
      <c r="DL100" s="48">
        <f>IF(BusinessPlanMode="Value-Add",MIN(MF_UnitCount,MAX(0,RenoPace*(Assumptions!DL$72-RenoDowntime)))*Assumptions!DL$74,0)</f>
        <v/>
      </c>
      <c r="DM100" s="48">
        <f>IF(BusinessPlanMode="Value-Add",MIN(MF_UnitCount,MAX(0,RenoPace*(Assumptions!DM$72-RenoDowntime)))*Assumptions!DM$74,0)</f>
        <v/>
      </c>
      <c r="DN100" s="48">
        <f>IF(BusinessPlanMode="Value-Add",MIN(MF_UnitCount,MAX(0,RenoPace*(Assumptions!DN$72-RenoDowntime)))*Assumptions!DN$74,0)</f>
        <v/>
      </c>
      <c r="DO100" s="48">
        <f>IF(BusinessPlanMode="Value-Add",MIN(MF_UnitCount,MAX(0,RenoPace*(Assumptions!DO$72-RenoDowntime)))*Assumptions!DO$74,0)</f>
        <v/>
      </c>
      <c r="DP100" s="48">
        <f>IF(BusinessPlanMode="Value-Add",MIN(MF_UnitCount,MAX(0,RenoPace*(Assumptions!DP$72-RenoDowntime)))*Assumptions!DP$74,0)</f>
        <v/>
      </c>
      <c r="DQ100" s="48">
        <f>IF(BusinessPlanMode="Value-Add",MIN(MF_UnitCount,MAX(0,RenoPace*(Assumptions!DQ$72-RenoDowntime)))*Assumptions!DQ$74,0)</f>
        <v/>
      </c>
      <c r="DR100" s="48">
        <f>IF(BusinessPlanMode="Value-Add",MIN(MF_UnitCount,MAX(0,RenoPace*(Assumptions!DR$72-RenoDowntime)))*Assumptions!DR$74,0)</f>
        <v/>
      </c>
      <c r="DS100" s="48">
        <f>IF(BusinessPlanMode="Value-Add",MIN(MF_UnitCount,MAX(0,RenoPace*(Assumptions!DS$72-RenoDowntime)))*Assumptions!DS$74,0)</f>
        <v/>
      </c>
      <c r="DT100" s="48">
        <f>IF(BusinessPlanMode="Value-Add",MIN(MF_UnitCount,MAX(0,RenoPace*(Assumptions!DT$72-RenoDowntime)))*Assumptions!DT$74,0)</f>
        <v/>
      </c>
    </row>
    <row r="101">
      <c r="A101" s="10" t="inlineStr">
        <is>
          <t>Total in-place rent ($/mo, roll)</t>
        </is>
      </c>
      <c r="E101" s="52">
        <f>$D$94</f>
        <v/>
      </c>
      <c r="F101" s="52">
        <f>$D$94</f>
        <v/>
      </c>
      <c r="G101" s="52">
        <f>$D$94</f>
        <v/>
      </c>
      <c r="H101" s="52">
        <f>$D$94</f>
        <v/>
      </c>
      <c r="I101" s="52">
        <f>$D$94</f>
        <v/>
      </c>
      <c r="J101" s="52">
        <f>$D$94</f>
        <v/>
      </c>
      <c r="K101" s="52">
        <f>$D$94</f>
        <v/>
      </c>
      <c r="L101" s="52">
        <f>$D$94</f>
        <v/>
      </c>
      <c r="M101" s="52">
        <f>$D$94</f>
        <v/>
      </c>
      <c r="N101" s="52">
        <f>$D$94</f>
        <v/>
      </c>
      <c r="O101" s="52">
        <f>$D$94</f>
        <v/>
      </c>
      <c r="P101" s="52">
        <f>$D$94</f>
        <v/>
      </c>
      <c r="Q101" s="52">
        <f>$D$94</f>
        <v/>
      </c>
      <c r="R101" s="52">
        <f>$D$94</f>
        <v/>
      </c>
      <c r="S101" s="52">
        <f>$D$94</f>
        <v/>
      </c>
      <c r="T101" s="52">
        <f>$D$94</f>
        <v/>
      </c>
      <c r="U101" s="52">
        <f>$D$94</f>
        <v/>
      </c>
      <c r="V101" s="52">
        <f>$D$94</f>
        <v/>
      </c>
      <c r="W101" s="52">
        <f>$D$94</f>
        <v/>
      </c>
      <c r="X101" s="52">
        <f>$D$94</f>
        <v/>
      </c>
      <c r="Y101" s="52">
        <f>$D$94</f>
        <v/>
      </c>
      <c r="Z101" s="52">
        <f>$D$94</f>
        <v/>
      </c>
      <c r="AA101" s="52">
        <f>$D$94</f>
        <v/>
      </c>
      <c r="AB101" s="52">
        <f>$D$94</f>
        <v/>
      </c>
      <c r="AC101" s="52">
        <f>$D$94</f>
        <v/>
      </c>
      <c r="AD101" s="52">
        <f>$D$94</f>
        <v/>
      </c>
      <c r="AE101" s="52">
        <f>$D$94</f>
        <v/>
      </c>
      <c r="AF101" s="52">
        <f>$D$94</f>
        <v/>
      </c>
      <c r="AG101" s="52">
        <f>$D$94</f>
        <v/>
      </c>
      <c r="AH101" s="52">
        <f>$D$94</f>
        <v/>
      </c>
      <c r="AI101" s="52">
        <f>$D$94</f>
        <v/>
      </c>
      <c r="AJ101" s="52">
        <f>$D$94</f>
        <v/>
      </c>
      <c r="AK101" s="52">
        <f>$D$94</f>
        <v/>
      </c>
      <c r="AL101" s="52">
        <f>$D$94</f>
        <v/>
      </c>
      <c r="AM101" s="52">
        <f>$D$94</f>
        <v/>
      </c>
      <c r="AN101" s="52">
        <f>$D$94</f>
        <v/>
      </c>
      <c r="AO101" s="52">
        <f>$D$94</f>
        <v/>
      </c>
      <c r="AP101" s="52">
        <f>$D$94</f>
        <v/>
      </c>
      <c r="AQ101" s="52">
        <f>$D$94</f>
        <v/>
      </c>
      <c r="AR101" s="52">
        <f>$D$94</f>
        <v/>
      </c>
      <c r="AS101" s="52">
        <f>$D$94</f>
        <v/>
      </c>
      <c r="AT101" s="52">
        <f>$D$94</f>
        <v/>
      </c>
      <c r="AU101" s="52">
        <f>$D$94</f>
        <v/>
      </c>
      <c r="AV101" s="52">
        <f>$D$94</f>
        <v/>
      </c>
      <c r="AW101" s="52">
        <f>$D$94</f>
        <v/>
      </c>
      <c r="AX101" s="52">
        <f>$D$94</f>
        <v/>
      </c>
      <c r="AY101" s="52">
        <f>$D$94</f>
        <v/>
      </c>
      <c r="AZ101" s="52">
        <f>$D$94</f>
        <v/>
      </c>
      <c r="BA101" s="52">
        <f>$D$94</f>
        <v/>
      </c>
      <c r="BB101" s="52">
        <f>$D$94</f>
        <v/>
      </c>
      <c r="BC101" s="52">
        <f>$D$94</f>
        <v/>
      </c>
      <c r="BD101" s="52">
        <f>$D$94</f>
        <v/>
      </c>
      <c r="BE101" s="52">
        <f>$D$94</f>
        <v/>
      </c>
      <c r="BF101" s="52">
        <f>$D$94</f>
        <v/>
      </c>
      <c r="BG101" s="52">
        <f>$D$94</f>
        <v/>
      </c>
      <c r="BH101" s="52">
        <f>$D$94</f>
        <v/>
      </c>
      <c r="BI101" s="52">
        <f>$D$94</f>
        <v/>
      </c>
      <c r="BJ101" s="52">
        <f>$D$94</f>
        <v/>
      </c>
      <c r="BK101" s="52">
        <f>$D$94</f>
        <v/>
      </c>
      <c r="BL101" s="52">
        <f>$D$94</f>
        <v/>
      </c>
      <c r="BM101" s="52">
        <f>$D$94</f>
        <v/>
      </c>
      <c r="BN101" s="52">
        <f>$D$94</f>
        <v/>
      </c>
      <c r="BO101" s="52">
        <f>$D$94</f>
        <v/>
      </c>
      <c r="BP101" s="52">
        <f>$D$94</f>
        <v/>
      </c>
      <c r="BQ101" s="52">
        <f>$D$94</f>
        <v/>
      </c>
      <c r="BR101" s="52">
        <f>$D$94</f>
        <v/>
      </c>
      <c r="BS101" s="52">
        <f>$D$94</f>
        <v/>
      </c>
      <c r="BT101" s="52">
        <f>$D$94</f>
        <v/>
      </c>
      <c r="BU101" s="52">
        <f>$D$94</f>
        <v/>
      </c>
      <c r="BV101" s="52">
        <f>$D$94</f>
        <v/>
      </c>
      <c r="BW101" s="52">
        <f>$D$94</f>
        <v/>
      </c>
      <c r="BX101" s="52">
        <f>$D$94</f>
        <v/>
      </c>
      <c r="BY101" s="52">
        <f>$D$94</f>
        <v/>
      </c>
      <c r="BZ101" s="52">
        <f>$D$94</f>
        <v/>
      </c>
      <c r="CA101" s="52">
        <f>$D$94</f>
        <v/>
      </c>
      <c r="CB101" s="52">
        <f>$D$94</f>
        <v/>
      </c>
      <c r="CC101" s="52">
        <f>$D$94</f>
        <v/>
      </c>
      <c r="CD101" s="52">
        <f>$D$94</f>
        <v/>
      </c>
      <c r="CE101" s="52">
        <f>$D$94</f>
        <v/>
      </c>
      <c r="CF101" s="52">
        <f>$D$94</f>
        <v/>
      </c>
      <c r="CG101" s="52">
        <f>$D$94</f>
        <v/>
      </c>
      <c r="CH101" s="52">
        <f>$D$94</f>
        <v/>
      </c>
      <c r="CI101" s="52">
        <f>$D$94</f>
        <v/>
      </c>
      <c r="CJ101" s="52">
        <f>$D$94</f>
        <v/>
      </c>
      <c r="CK101" s="52">
        <f>$D$94</f>
        <v/>
      </c>
      <c r="CL101" s="52">
        <f>$D$94</f>
        <v/>
      </c>
      <c r="CM101" s="52">
        <f>$D$94</f>
        <v/>
      </c>
      <c r="CN101" s="52">
        <f>$D$94</f>
        <v/>
      </c>
      <c r="CO101" s="52">
        <f>$D$94</f>
        <v/>
      </c>
      <c r="CP101" s="52">
        <f>$D$94</f>
        <v/>
      </c>
      <c r="CQ101" s="52">
        <f>$D$94</f>
        <v/>
      </c>
      <c r="CR101" s="52">
        <f>$D$94</f>
        <v/>
      </c>
      <c r="CS101" s="52">
        <f>$D$94</f>
        <v/>
      </c>
      <c r="CT101" s="52">
        <f>$D$94</f>
        <v/>
      </c>
      <c r="CU101" s="52">
        <f>$D$94</f>
        <v/>
      </c>
      <c r="CV101" s="52">
        <f>$D$94</f>
        <v/>
      </c>
      <c r="CW101" s="52">
        <f>$D$94</f>
        <v/>
      </c>
      <c r="CX101" s="52">
        <f>$D$94</f>
        <v/>
      </c>
      <c r="CY101" s="52">
        <f>$D$94</f>
        <v/>
      </c>
      <c r="CZ101" s="52">
        <f>$D$94</f>
        <v/>
      </c>
      <c r="DA101" s="52">
        <f>$D$94</f>
        <v/>
      </c>
      <c r="DB101" s="52">
        <f>$D$94</f>
        <v/>
      </c>
      <c r="DC101" s="52">
        <f>$D$94</f>
        <v/>
      </c>
      <c r="DD101" s="52">
        <f>$D$94</f>
        <v/>
      </c>
      <c r="DE101" s="52">
        <f>$D$94</f>
        <v/>
      </c>
      <c r="DF101" s="52">
        <f>$D$94</f>
        <v/>
      </c>
      <c r="DG101" s="52">
        <f>$D$94</f>
        <v/>
      </c>
      <c r="DH101" s="52">
        <f>$D$94</f>
        <v/>
      </c>
      <c r="DI101" s="52">
        <f>$D$94</f>
        <v/>
      </c>
      <c r="DJ101" s="52">
        <f>$D$94</f>
        <v/>
      </c>
      <c r="DK101" s="52">
        <f>$D$94</f>
        <v/>
      </c>
      <c r="DL101" s="52">
        <f>$D$94</f>
        <v/>
      </c>
      <c r="DM101" s="52">
        <f>$D$94</f>
        <v/>
      </c>
      <c r="DN101" s="52">
        <f>$D$94</f>
        <v/>
      </c>
      <c r="DO101" s="52">
        <f>$D$94</f>
        <v/>
      </c>
      <c r="DP101" s="52">
        <f>$D$94</f>
        <v/>
      </c>
      <c r="DQ101" s="52">
        <f>$D$94</f>
        <v/>
      </c>
      <c r="DR101" s="52">
        <f>$D$94</f>
        <v/>
      </c>
      <c r="DS101" s="52">
        <f>$D$94</f>
        <v/>
      </c>
      <c r="DT101" s="52">
        <f>$D$94</f>
        <v/>
      </c>
    </row>
    <row r="102">
      <c r="A102" s="10" t="inlineStr">
        <is>
          <t>Total market rent ($/mo, roll)</t>
        </is>
      </c>
      <c r="E102" s="52">
        <f>$E$94</f>
        <v/>
      </c>
      <c r="F102" s="52">
        <f>$E$94</f>
        <v/>
      </c>
      <c r="G102" s="52">
        <f>$E$94</f>
        <v/>
      </c>
      <c r="H102" s="52">
        <f>$E$94</f>
        <v/>
      </c>
      <c r="I102" s="52">
        <f>$E$94</f>
        <v/>
      </c>
      <c r="J102" s="52">
        <f>$E$94</f>
        <v/>
      </c>
      <c r="K102" s="52">
        <f>$E$94</f>
        <v/>
      </c>
      <c r="L102" s="52">
        <f>$E$94</f>
        <v/>
      </c>
      <c r="M102" s="52">
        <f>$E$94</f>
        <v/>
      </c>
      <c r="N102" s="52">
        <f>$E$94</f>
        <v/>
      </c>
      <c r="O102" s="52">
        <f>$E$94</f>
        <v/>
      </c>
      <c r="P102" s="52">
        <f>$E$94</f>
        <v/>
      </c>
      <c r="Q102" s="52">
        <f>$E$94</f>
        <v/>
      </c>
      <c r="R102" s="52">
        <f>$E$94</f>
        <v/>
      </c>
      <c r="S102" s="52">
        <f>$E$94</f>
        <v/>
      </c>
      <c r="T102" s="52">
        <f>$E$94</f>
        <v/>
      </c>
      <c r="U102" s="52">
        <f>$E$94</f>
        <v/>
      </c>
      <c r="V102" s="52">
        <f>$E$94</f>
        <v/>
      </c>
      <c r="W102" s="52">
        <f>$E$94</f>
        <v/>
      </c>
      <c r="X102" s="52">
        <f>$E$94</f>
        <v/>
      </c>
      <c r="Y102" s="52">
        <f>$E$94</f>
        <v/>
      </c>
      <c r="Z102" s="52">
        <f>$E$94</f>
        <v/>
      </c>
      <c r="AA102" s="52">
        <f>$E$94</f>
        <v/>
      </c>
      <c r="AB102" s="52">
        <f>$E$94</f>
        <v/>
      </c>
      <c r="AC102" s="52">
        <f>$E$94</f>
        <v/>
      </c>
      <c r="AD102" s="52">
        <f>$E$94</f>
        <v/>
      </c>
      <c r="AE102" s="52">
        <f>$E$94</f>
        <v/>
      </c>
      <c r="AF102" s="52">
        <f>$E$94</f>
        <v/>
      </c>
      <c r="AG102" s="52">
        <f>$E$94</f>
        <v/>
      </c>
      <c r="AH102" s="52">
        <f>$E$94</f>
        <v/>
      </c>
      <c r="AI102" s="52">
        <f>$E$94</f>
        <v/>
      </c>
      <c r="AJ102" s="52">
        <f>$E$94</f>
        <v/>
      </c>
      <c r="AK102" s="52">
        <f>$E$94</f>
        <v/>
      </c>
      <c r="AL102" s="52">
        <f>$E$94</f>
        <v/>
      </c>
      <c r="AM102" s="52">
        <f>$E$94</f>
        <v/>
      </c>
      <c r="AN102" s="52">
        <f>$E$94</f>
        <v/>
      </c>
      <c r="AO102" s="52">
        <f>$E$94</f>
        <v/>
      </c>
      <c r="AP102" s="52">
        <f>$E$94</f>
        <v/>
      </c>
      <c r="AQ102" s="52">
        <f>$E$94</f>
        <v/>
      </c>
      <c r="AR102" s="52">
        <f>$E$94</f>
        <v/>
      </c>
      <c r="AS102" s="52">
        <f>$E$94</f>
        <v/>
      </c>
      <c r="AT102" s="52">
        <f>$E$94</f>
        <v/>
      </c>
      <c r="AU102" s="52">
        <f>$E$94</f>
        <v/>
      </c>
      <c r="AV102" s="52">
        <f>$E$94</f>
        <v/>
      </c>
      <c r="AW102" s="52">
        <f>$E$94</f>
        <v/>
      </c>
      <c r="AX102" s="52">
        <f>$E$94</f>
        <v/>
      </c>
      <c r="AY102" s="52">
        <f>$E$94</f>
        <v/>
      </c>
      <c r="AZ102" s="52">
        <f>$E$94</f>
        <v/>
      </c>
      <c r="BA102" s="52">
        <f>$E$94</f>
        <v/>
      </c>
      <c r="BB102" s="52">
        <f>$E$94</f>
        <v/>
      </c>
      <c r="BC102" s="52">
        <f>$E$94</f>
        <v/>
      </c>
      <c r="BD102" s="52">
        <f>$E$94</f>
        <v/>
      </c>
      <c r="BE102" s="52">
        <f>$E$94</f>
        <v/>
      </c>
      <c r="BF102" s="52">
        <f>$E$94</f>
        <v/>
      </c>
      <c r="BG102" s="52">
        <f>$E$94</f>
        <v/>
      </c>
      <c r="BH102" s="52">
        <f>$E$94</f>
        <v/>
      </c>
      <c r="BI102" s="52">
        <f>$E$94</f>
        <v/>
      </c>
      <c r="BJ102" s="52">
        <f>$E$94</f>
        <v/>
      </c>
      <c r="BK102" s="52">
        <f>$E$94</f>
        <v/>
      </c>
      <c r="BL102" s="52">
        <f>$E$94</f>
        <v/>
      </c>
      <c r="BM102" s="52">
        <f>$E$94</f>
        <v/>
      </c>
      <c r="BN102" s="52">
        <f>$E$94</f>
        <v/>
      </c>
      <c r="BO102" s="52">
        <f>$E$94</f>
        <v/>
      </c>
      <c r="BP102" s="52">
        <f>$E$94</f>
        <v/>
      </c>
      <c r="BQ102" s="52">
        <f>$E$94</f>
        <v/>
      </c>
      <c r="BR102" s="52">
        <f>$E$94</f>
        <v/>
      </c>
      <c r="BS102" s="52">
        <f>$E$94</f>
        <v/>
      </c>
      <c r="BT102" s="52">
        <f>$E$94</f>
        <v/>
      </c>
      <c r="BU102" s="52">
        <f>$E$94</f>
        <v/>
      </c>
      <c r="BV102" s="52">
        <f>$E$94</f>
        <v/>
      </c>
      <c r="BW102" s="52">
        <f>$E$94</f>
        <v/>
      </c>
      <c r="BX102" s="52">
        <f>$E$94</f>
        <v/>
      </c>
      <c r="BY102" s="52">
        <f>$E$94</f>
        <v/>
      </c>
      <c r="BZ102" s="52">
        <f>$E$94</f>
        <v/>
      </c>
      <c r="CA102" s="52">
        <f>$E$94</f>
        <v/>
      </c>
      <c r="CB102" s="52">
        <f>$E$94</f>
        <v/>
      </c>
      <c r="CC102" s="52">
        <f>$E$94</f>
        <v/>
      </c>
      <c r="CD102" s="52">
        <f>$E$94</f>
        <v/>
      </c>
      <c r="CE102" s="52">
        <f>$E$94</f>
        <v/>
      </c>
      <c r="CF102" s="52">
        <f>$E$94</f>
        <v/>
      </c>
      <c r="CG102" s="52">
        <f>$E$94</f>
        <v/>
      </c>
      <c r="CH102" s="52">
        <f>$E$94</f>
        <v/>
      </c>
      <c r="CI102" s="52">
        <f>$E$94</f>
        <v/>
      </c>
      <c r="CJ102" s="52">
        <f>$E$94</f>
        <v/>
      </c>
      <c r="CK102" s="52">
        <f>$E$94</f>
        <v/>
      </c>
      <c r="CL102" s="52">
        <f>$E$94</f>
        <v/>
      </c>
      <c r="CM102" s="52">
        <f>$E$94</f>
        <v/>
      </c>
      <c r="CN102" s="52">
        <f>$E$94</f>
        <v/>
      </c>
      <c r="CO102" s="52">
        <f>$E$94</f>
        <v/>
      </c>
      <c r="CP102" s="52">
        <f>$E$94</f>
        <v/>
      </c>
      <c r="CQ102" s="52">
        <f>$E$94</f>
        <v/>
      </c>
      <c r="CR102" s="52">
        <f>$E$94</f>
        <v/>
      </c>
      <c r="CS102" s="52">
        <f>$E$94</f>
        <v/>
      </c>
      <c r="CT102" s="52">
        <f>$E$94</f>
        <v/>
      </c>
      <c r="CU102" s="52">
        <f>$E$94</f>
        <v/>
      </c>
      <c r="CV102" s="52">
        <f>$E$94</f>
        <v/>
      </c>
      <c r="CW102" s="52">
        <f>$E$94</f>
        <v/>
      </c>
      <c r="CX102" s="52">
        <f>$E$94</f>
        <v/>
      </c>
      <c r="CY102" s="52">
        <f>$E$94</f>
        <v/>
      </c>
      <c r="CZ102" s="52">
        <f>$E$94</f>
        <v/>
      </c>
      <c r="DA102" s="52">
        <f>$E$94</f>
        <v/>
      </c>
      <c r="DB102" s="52">
        <f>$E$94</f>
        <v/>
      </c>
      <c r="DC102" s="52">
        <f>$E$94</f>
        <v/>
      </c>
      <c r="DD102" s="52">
        <f>$E$94</f>
        <v/>
      </c>
      <c r="DE102" s="52">
        <f>$E$94</f>
        <v/>
      </c>
      <c r="DF102" s="52">
        <f>$E$94</f>
        <v/>
      </c>
      <c r="DG102" s="52">
        <f>$E$94</f>
        <v/>
      </c>
      <c r="DH102" s="52">
        <f>$E$94</f>
        <v/>
      </c>
      <c r="DI102" s="52">
        <f>$E$94</f>
        <v/>
      </c>
      <c r="DJ102" s="52">
        <f>$E$94</f>
        <v/>
      </c>
      <c r="DK102" s="52">
        <f>$E$94</f>
        <v/>
      </c>
      <c r="DL102" s="52">
        <f>$E$94</f>
        <v/>
      </c>
      <c r="DM102" s="52">
        <f>$E$94</f>
        <v/>
      </c>
      <c r="DN102" s="52">
        <f>$E$94</f>
        <v/>
      </c>
      <c r="DO102" s="52">
        <f>$E$94</f>
        <v/>
      </c>
      <c r="DP102" s="52">
        <f>$E$94</f>
        <v/>
      </c>
      <c r="DQ102" s="52">
        <f>$E$94</f>
        <v/>
      </c>
      <c r="DR102" s="52">
        <f>$E$94</f>
        <v/>
      </c>
      <c r="DS102" s="52">
        <f>$E$94</f>
        <v/>
      </c>
      <c r="DT102" s="52">
        <f>$E$94</f>
        <v/>
      </c>
    </row>
    <row r="103">
      <c r="A103" s="10" t="inlineStr">
        <is>
          <t>Gross Potential Rent ($/mo)</t>
        </is>
      </c>
      <c r="E103" s="52">
        <f>(E$102*INDEX(Cum_MFRent,1,Assumptions!E$77)+E$100*RenoPremium)*Assumptions!E$74</f>
        <v/>
      </c>
      <c r="F103" s="52">
        <f>(F$102*INDEX(Cum_MFRent,1,Assumptions!F$77)+F$100*RenoPremium)*Assumptions!F$74</f>
        <v/>
      </c>
      <c r="G103" s="52">
        <f>(G$102*INDEX(Cum_MFRent,1,Assumptions!G$77)+G$100*RenoPremium)*Assumptions!G$74</f>
        <v/>
      </c>
      <c r="H103" s="52">
        <f>(H$102*INDEX(Cum_MFRent,1,Assumptions!H$77)+H$100*RenoPremium)*Assumptions!H$74</f>
        <v/>
      </c>
      <c r="I103" s="52">
        <f>(I$102*INDEX(Cum_MFRent,1,Assumptions!I$77)+I$100*RenoPremium)*Assumptions!I$74</f>
        <v/>
      </c>
      <c r="J103" s="52">
        <f>(J$102*INDEX(Cum_MFRent,1,Assumptions!J$77)+J$100*RenoPremium)*Assumptions!J$74</f>
        <v/>
      </c>
      <c r="K103" s="52">
        <f>(K$102*INDEX(Cum_MFRent,1,Assumptions!K$77)+K$100*RenoPremium)*Assumptions!K$74</f>
        <v/>
      </c>
      <c r="L103" s="52">
        <f>(L$102*INDEX(Cum_MFRent,1,Assumptions!L$77)+L$100*RenoPremium)*Assumptions!L$74</f>
        <v/>
      </c>
      <c r="M103" s="52">
        <f>(M$102*INDEX(Cum_MFRent,1,Assumptions!M$77)+M$100*RenoPremium)*Assumptions!M$74</f>
        <v/>
      </c>
      <c r="N103" s="52">
        <f>(N$102*INDEX(Cum_MFRent,1,Assumptions!N$77)+N$100*RenoPremium)*Assumptions!N$74</f>
        <v/>
      </c>
      <c r="O103" s="52">
        <f>(O$102*INDEX(Cum_MFRent,1,Assumptions!O$77)+O$100*RenoPremium)*Assumptions!O$74</f>
        <v/>
      </c>
      <c r="P103" s="52">
        <f>(P$102*INDEX(Cum_MFRent,1,Assumptions!P$77)+P$100*RenoPremium)*Assumptions!P$74</f>
        <v/>
      </c>
      <c r="Q103" s="52">
        <f>(Q$102*INDEX(Cum_MFRent,1,Assumptions!Q$77)+Q$100*RenoPremium)*Assumptions!Q$74</f>
        <v/>
      </c>
      <c r="R103" s="52">
        <f>(R$102*INDEX(Cum_MFRent,1,Assumptions!R$77)+R$100*RenoPremium)*Assumptions!R$74</f>
        <v/>
      </c>
      <c r="S103" s="52">
        <f>(S$102*INDEX(Cum_MFRent,1,Assumptions!S$77)+S$100*RenoPremium)*Assumptions!S$74</f>
        <v/>
      </c>
      <c r="T103" s="52">
        <f>(T$102*INDEX(Cum_MFRent,1,Assumptions!T$77)+T$100*RenoPremium)*Assumptions!T$74</f>
        <v/>
      </c>
      <c r="U103" s="52">
        <f>(U$102*INDEX(Cum_MFRent,1,Assumptions!U$77)+U$100*RenoPremium)*Assumptions!U$74</f>
        <v/>
      </c>
      <c r="V103" s="52">
        <f>(V$102*INDEX(Cum_MFRent,1,Assumptions!V$77)+V$100*RenoPremium)*Assumptions!V$74</f>
        <v/>
      </c>
      <c r="W103" s="52">
        <f>(W$102*INDEX(Cum_MFRent,1,Assumptions!W$77)+W$100*RenoPremium)*Assumptions!W$74</f>
        <v/>
      </c>
      <c r="X103" s="52">
        <f>(X$102*INDEX(Cum_MFRent,1,Assumptions!X$77)+X$100*RenoPremium)*Assumptions!X$74</f>
        <v/>
      </c>
      <c r="Y103" s="52">
        <f>(Y$102*INDEX(Cum_MFRent,1,Assumptions!Y$77)+Y$100*RenoPremium)*Assumptions!Y$74</f>
        <v/>
      </c>
      <c r="Z103" s="52">
        <f>(Z$102*INDEX(Cum_MFRent,1,Assumptions!Z$77)+Z$100*RenoPremium)*Assumptions!Z$74</f>
        <v/>
      </c>
      <c r="AA103" s="52">
        <f>(AA$102*INDEX(Cum_MFRent,1,Assumptions!AA$77)+AA$100*RenoPremium)*Assumptions!AA$74</f>
        <v/>
      </c>
      <c r="AB103" s="52">
        <f>(AB$102*INDEX(Cum_MFRent,1,Assumptions!AB$77)+AB$100*RenoPremium)*Assumptions!AB$74</f>
        <v/>
      </c>
      <c r="AC103" s="52">
        <f>(AC$102*INDEX(Cum_MFRent,1,Assumptions!AC$77)+AC$100*RenoPremium)*Assumptions!AC$74</f>
        <v/>
      </c>
      <c r="AD103" s="52">
        <f>(AD$102*INDEX(Cum_MFRent,1,Assumptions!AD$77)+AD$100*RenoPremium)*Assumptions!AD$74</f>
        <v/>
      </c>
      <c r="AE103" s="52">
        <f>(AE$102*INDEX(Cum_MFRent,1,Assumptions!AE$77)+AE$100*RenoPremium)*Assumptions!AE$74</f>
        <v/>
      </c>
      <c r="AF103" s="52">
        <f>(AF$102*INDEX(Cum_MFRent,1,Assumptions!AF$77)+AF$100*RenoPremium)*Assumptions!AF$74</f>
        <v/>
      </c>
      <c r="AG103" s="52">
        <f>(AG$102*INDEX(Cum_MFRent,1,Assumptions!AG$77)+AG$100*RenoPremium)*Assumptions!AG$74</f>
        <v/>
      </c>
      <c r="AH103" s="52">
        <f>(AH$102*INDEX(Cum_MFRent,1,Assumptions!AH$77)+AH$100*RenoPremium)*Assumptions!AH$74</f>
        <v/>
      </c>
      <c r="AI103" s="52">
        <f>(AI$102*INDEX(Cum_MFRent,1,Assumptions!AI$77)+AI$100*RenoPremium)*Assumptions!AI$74</f>
        <v/>
      </c>
      <c r="AJ103" s="52">
        <f>(AJ$102*INDEX(Cum_MFRent,1,Assumptions!AJ$77)+AJ$100*RenoPremium)*Assumptions!AJ$74</f>
        <v/>
      </c>
      <c r="AK103" s="52">
        <f>(AK$102*INDEX(Cum_MFRent,1,Assumptions!AK$77)+AK$100*RenoPremium)*Assumptions!AK$74</f>
        <v/>
      </c>
      <c r="AL103" s="52">
        <f>(AL$102*INDEX(Cum_MFRent,1,Assumptions!AL$77)+AL$100*RenoPremium)*Assumptions!AL$74</f>
        <v/>
      </c>
      <c r="AM103" s="52">
        <f>(AM$102*INDEX(Cum_MFRent,1,Assumptions!AM$77)+AM$100*RenoPremium)*Assumptions!AM$74</f>
        <v/>
      </c>
      <c r="AN103" s="52">
        <f>(AN$102*INDEX(Cum_MFRent,1,Assumptions!AN$77)+AN$100*RenoPremium)*Assumptions!AN$74</f>
        <v/>
      </c>
      <c r="AO103" s="52">
        <f>(AO$102*INDEX(Cum_MFRent,1,Assumptions!AO$77)+AO$100*RenoPremium)*Assumptions!AO$74</f>
        <v/>
      </c>
      <c r="AP103" s="52">
        <f>(AP$102*INDEX(Cum_MFRent,1,Assumptions!AP$77)+AP$100*RenoPremium)*Assumptions!AP$74</f>
        <v/>
      </c>
      <c r="AQ103" s="52">
        <f>(AQ$102*INDEX(Cum_MFRent,1,Assumptions!AQ$77)+AQ$100*RenoPremium)*Assumptions!AQ$74</f>
        <v/>
      </c>
      <c r="AR103" s="52">
        <f>(AR$102*INDEX(Cum_MFRent,1,Assumptions!AR$77)+AR$100*RenoPremium)*Assumptions!AR$74</f>
        <v/>
      </c>
      <c r="AS103" s="52">
        <f>(AS$102*INDEX(Cum_MFRent,1,Assumptions!AS$77)+AS$100*RenoPremium)*Assumptions!AS$74</f>
        <v/>
      </c>
      <c r="AT103" s="52">
        <f>(AT$102*INDEX(Cum_MFRent,1,Assumptions!AT$77)+AT$100*RenoPremium)*Assumptions!AT$74</f>
        <v/>
      </c>
      <c r="AU103" s="52">
        <f>(AU$102*INDEX(Cum_MFRent,1,Assumptions!AU$77)+AU$100*RenoPremium)*Assumptions!AU$74</f>
        <v/>
      </c>
      <c r="AV103" s="52">
        <f>(AV$102*INDEX(Cum_MFRent,1,Assumptions!AV$77)+AV$100*RenoPremium)*Assumptions!AV$74</f>
        <v/>
      </c>
      <c r="AW103" s="52">
        <f>(AW$102*INDEX(Cum_MFRent,1,Assumptions!AW$77)+AW$100*RenoPremium)*Assumptions!AW$74</f>
        <v/>
      </c>
      <c r="AX103" s="52">
        <f>(AX$102*INDEX(Cum_MFRent,1,Assumptions!AX$77)+AX$100*RenoPremium)*Assumptions!AX$74</f>
        <v/>
      </c>
      <c r="AY103" s="52">
        <f>(AY$102*INDEX(Cum_MFRent,1,Assumptions!AY$77)+AY$100*RenoPremium)*Assumptions!AY$74</f>
        <v/>
      </c>
      <c r="AZ103" s="52">
        <f>(AZ$102*INDEX(Cum_MFRent,1,Assumptions!AZ$77)+AZ$100*RenoPremium)*Assumptions!AZ$74</f>
        <v/>
      </c>
      <c r="BA103" s="52">
        <f>(BA$102*INDEX(Cum_MFRent,1,Assumptions!BA$77)+BA$100*RenoPremium)*Assumptions!BA$74</f>
        <v/>
      </c>
      <c r="BB103" s="52">
        <f>(BB$102*INDEX(Cum_MFRent,1,Assumptions!BB$77)+BB$100*RenoPremium)*Assumptions!BB$74</f>
        <v/>
      </c>
      <c r="BC103" s="52">
        <f>(BC$102*INDEX(Cum_MFRent,1,Assumptions!BC$77)+BC$100*RenoPremium)*Assumptions!BC$74</f>
        <v/>
      </c>
      <c r="BD103" s="52">
        <f>(BD$102*INDEX(Cum_MFRent,1,Assumptions!BD$77)+BD$100*RenoPremium)*Assumptions!BD$74</f>
        <v/>
      </c>
      <c r="BE103" s="52">
        <f>(BE$102*INDEX(Cum_MFRent,1,Assumptions!BE$77)+BE$100*RenoPremium)*Assumptions!BE$74</f>
        <v/>
      </c>
      <c r="BF103" s="52">
        <f>(BF$102*INDEX(Cum_MFRent,1,Assumptions!BF$77)+BF$100*RenoPremium)*Assumptions!BF$74</f>
        <v/>
      </c>
      <c r="BG103" s="52">
        <f>(BG$102*INDEX(Cum_MFRent,1,Assumptions!BG$77)+BG$100*RenoPremium)*Assumptions!BG$74</f>
        <v/>
      </c>
      <c r="BH103" s="52">
        <f>(BH$102*INDEX(Cum_MFRent,1,Assumptions!BH$77)+BH$100*RenoPremium)*Assumptions!BH$74</f>
        <v/>
      </c>
      <c r="BI103" s="52">
        <f>(BI$102*INDEX(Cum_MFRent,1,Assumptions!BI$77)+BI$100*RenoPremium)*Assumptions!BI$74</f>
        <v/>
      </c>
      <c r="BJ103" s="52">
        <f>(BJ$102*INDEX(Cum_MFRent,1,Assumptions!BJ$77)+BJ$100*RenoPremium)*Assumptions!BJ$74</f>
        <v/>
      </c>
      <c r="BK103" s="52">
        <f>(BK$102*INDEX(Cum_MFRent,1,Assumptions!BK$77)+BK$100*RenoPremium)*Assumptions!BK$74</f>
        <v/>
      </c>
      <c r="BL103" s="52">
        <f>(BL$102*INDEX(Cum_MFRent,1,Assumptions!BL$77)+BL$100*RenoPremium)*Assumptions!BL$74</f>
        <v/>
      </c>
      <c r="BM103" s="52">
        <f>(BM$102*INDEX(Cum_MFRent,1,Assumptions!BM$77)+BM$100*RenoPremium)*Assumptions!BM$74</f>
        <v/>
      </c>
      <c r="BN103" s="52">
        <f>(BN$102*INDEX(Cum_MFRent,1,Assumptions!BN$77)+BN$100*RenoPremium)*Assumptions!BN$74</f>
        <v/>
      </c>
      <c r="BO103" s="52">
        <f>(BO$102*INDEX(Cum_MFRent,1,Assumptions!BO$77)+BO$100*RenoPremium)*Assumptions!BO$74</f>
        <v/>
      </c>
      <c r="BP103" s="52">
        <f>(BP$102*INDEX(Cum_MFRent,1,Assumptions!BP$77)+BP$100*RenoPremium)*Assumptions!BP$74</f>
        <v/>
      </c>
      <c r="BQ103" s="52">
        <f>(BQ$102*INDEX(Cum_MFRent,1,Assumptions!BQ$77)+BQ$100*RenoPremium)*Assumptions!BQ$74</f>
        <v/>
      </c>
      <c r="BR103" s="52">
        <f>(BR$102*INDEX(Cum_MFRent,1,Assumptions!BR$77)+BR$100*RenoPremium)*Assumptions!BR$74</f>
        <v/>
      </c>
      <c r="BS103" s="52">
        <f>(BS$102*INDEX(Cum_MFRent,1,Assumptions!BS$77)+BS$100*RenoPremium)*Assumptions!BS$74</f>
        <v/>
      </c>
      <c r="BT103" s="52">
        <f>(BT$102*INDEX(Cum_MFRent,1,Assumptions!BT$77)+BT$100*RenoPremium)*Assumptions!BT$74</f>
        <v/>
      </c>
      <c r="BU103" s="52">
        <f>(BU$102*INDEX(Cum_MFRent,1,Assumptions!BU$77)+BU$100*RenoPremium)*Assumptions!BU$74</f>
        <v/>
      </c>
      <c r="BV103" s="52">
        <f>(BV$102*INDEX(Cum_MFRent,1,Assumptions!BV$77)+BV$100*RenoPremium)*Assumptions!BV$74</f>
        <v/>
      </c>
      <c r="BW103" s="52">
        <f>(BW$102*INDEX(Cum_MFRent,1,Assumptions!BW$77)+BW$100*RenoPremium)*Assumptions!BW$74</f>
        <v/>
      </c>
      <c r="BX103" s="52">
        <f>(BX$102*INDEX(Cum_MFRent,1,Assumptions!BX$77)+BX$100*RenoPremium)*Assumptions!BX$74</f>
        <v/>
      </c>
      <c r="BY103" s="52">
        <f>(BY$102*INDEX(Cum_MFRent,1,Assumptions!BY$77)+BY$100*RenoPremium)*Assumptions!BY$74</f>
        <v/>
      </c>
      <c r="BZ103" s="52">
        <f>(BZ$102*INDEX(Cum_MFRent,1,Assumptions!BZ$77)+BZ$100*RenoPremium)*Assumptions!BZ$74</f>
        <v/>
      </c>
      <c r="CA103" s="52">
        <f>(CA$102*INDEX(Cum_MFRent,1,Assumptions!CA$77)+CA$100*RenoPremium)*Assumptions!CA$74</f>
        <v/>
      </c>
      <c r="CB103" s="52">
        <f>(CB$102*INDEX(Cum_MFRent,1,Assumptions!CB$77)+CB$100*RenoPremium)*Assumptions!CB$74</f>
        <v/>
      </c>
      <c r="CC103" s="52">
        <f>(CC$102*INDEX(Cum_MFRent,1,Assumptions!CC$77)+CC$100*RenoPremium)*Assumptions!CC$74</f>
        <v/>
      </c>
      <c r="CD103" s="52">
        <f>(CD$102*INDEX(Cum_MFRent,1,Assumptions!CD$77)+CD$100*RenoPremium)*Assumptions!CD$74</f>
        <v/>
      </c>
      <c r="CE103" s="52">
        <f>(CE$102*INDEX(Cum_MFRent,1,Assumptions!CE$77)+CE$100*RenoPremium)*Assumptions!CE$74</f>
        <v/>
      </c>
      <c r="CF103" s="52">
        <f>(CF$102*INDEX(Cum_MFRent,1,Assumptions!CF$77)+CF$100*RenoPremium)*Assumptions!CF$74</f>
        <v/>
      </c>
      <c r="CG103" s="52">
        <f>(CG$102*INDEX(Cum_MFRent,1,Assumptions!CG$77)+CG$100*RenoPremium)*Assumptions!CG$74</f>
        <v/>
      </c>
      <c r="CH103" s="52">
        <f>(CH$102*INDEX(Cum_MFRent,1,Assumptions!CH$77)+CH$100*RenoPremium)*Assumptions!CH$74</f>
        <v/>
      </c>
      <c r="CI103" s="52">
        <f>(CI$102*INDEX(Cum_MFRent,1,Assumptions!CI$77)+CI$100*RenoPremium)*Assumptions!CI$74</f>
        <v/>
      </c>
      <c r="CJ103" s="52">
        <f>(CJ$102*INDEX(Cum_MFRent,1,Assumptions!CJ$77)+CJ$100*RenoPremium)*Assumptions!CJ$74</f>
        <v/>
      </c>
      <c r="CK103" s="52">
        <f>(CK$102*INDEX(Cum_MFRent,1,Assumptions!CK$77)+CK$100*RenoPremium)*Assumptions!CK$74</f>
        <v/>
      </c>
      <c r="CL103" s="52">
        <f>(CL$102*INDEX(Cum_MFRent,1,Assumptions!CL$77)+CL$100*RenoPremium)*Assumptions!CL$74</f>
        <v/>
      </c>
      <c r="CM103" s="52">
        <f>(CM$102*INDEX(Cum_MFRent,1,Assumptions!CM$77)+CM$100*RenoPremium)*Assumptions!CM$74</f>
        <v/>
      </c>
      <c r="CN103" s="52">
        <f>(CN$102*INDEX(Cum_MFRent,1,Assumptions!CN$77)+CN$100*RenoPremium)*Assumptions!CN$74</f>
        <v/>
      </c>
      <c r="CO103" s="52">
        <f>(CO$102*INDEX(Cum_MFRent,1,Assumptions!CO$77)+CO$100*RenoPremium)*Assumptions!CO$74</f>
        <v/>
      </c>
      <c r="CP103" s="52">
        <f>(CP$102*INDEX(Cum_MFRent,1,Assumptions!CP$77)+CP$100*RenoPremium)*Assumptions!CP$74</f>
        <v/>
      </c>
      <c r="CQ103" s="52">
        <f>(CQ$102*INDEX(Cum_MFRent,1,Assumptions!CQ$77)+CQ$100*RenoPremium)*Assumptions!CQ$74</f>
        <v/>
      </c>
      <c r="CR103" s="52">
        <f>(CR$102*INDEX(Cum_MFRent,1,Assumptions!CR$77)+CR$100*RenoPremium)*Assumptions!CR$74</f>
        <v/>
      </c>
      <c r="CS103" s="52">
        <f>(CS$102*INDEX(Cum_MFRent,1,Assumptions!CS$77)+CS$100*RenoPremium)*Assumptions!CS$74</f>
        <v/>
      </c>
      <c r="CT103" s="52">
        <f>(CT$102*INDEX(Cum_MFRent,1,Assumptions!CT$77)+CT$100*RenoPremium)*Assumptions!CT$74</f>
        <v/>
      </c>
      <c r="CU103" s="52">
        <f>(CU$102*INDEX(Cum_MFRent,1,Assumptions!CU$77)+CU$100*RenoPremium)*Assumptions!CU$74</f>
        <v/>
      </c>
      <c r="CV103" s="52">
        <f>(CV$102*INDEX(Cum_MFRent,1,Assumptions!CV$77)+CV$100*RenoPremium)*Assumptions!CV$74</f>
        <v/>
      </c>
      <c r="CW103" s="52">
        <f>(CW$102*INDEX(Cum_MFRent,1,Assumptions!CW$77)+CW$100*RenoPremium)*Assumptions!CW$74</f>
        <v/>
      </c>
      <c r="CX103" s="52">
        <f>(CX$102*INDEX(Cum_MFRent,1,Assumptions!CX$77)+CX$100*RenoPremium)*Assumptions!CX$74</f>
        <v/>
      </c>
      <c r="CY103" s="52">
        <f>(CY$102*INDEX(Cum_MFRent,1,Assumptions!CY$77)+CY$100*RenoPremium)*Assumptions!CY$74</f>
        <v/>
      </c>
      <c r="CZ103" s="52">
        <f>(CZ$102*INDEX(Cum_MFRent,1,Assumptions!CZ$77)+CZ$100*RenoPremium)*Assumptions!CZ$74</f>
        <v/>
      </c>
      <c r="DA103" s="52">
        <f>(DA$102*INDEX(Cum_MFRent,1,Assumptions!DA$77)+DA$100*RenoPremium)*Assumptions!DA$74</f>
        <v/>
      </c>
      <c r="DB103" s="52">
        <f>(DB$102*INDEX(Cum_MFRent,1,Assumptions!DB$77)+DB$100*RenoPremium)*Assumptions!DB$74</f>
        <v/>
      </c>
      <c r="DC103" s="52">
        <f>(DC$102*INDEX(Cum_MFRent,1,Assumptions!DC$77)+DC$100*RenoPremium)*Assumptions!DC$74</f>
        <v/>
      </c>
      <c r="DD103" s="52">
        <f>(DD$102*INDEX(Cum_MFRent,1,Assumptions!DD$77)+DD$100*RenoPremium)*Assumptions!DD$74</f>
        <v/>
      </c>
      <c r="DE103" s="52">
        <f>(DE$102*INDEX(Cum_MFRent,1,Assumptions!DE$77)+DE$100*RenoPremium)*Assumptions!DE$74</f>
        <v/>
      </c>
      <c r="DF103" s="52">
        <f>(DF$102*INDEX(Cum_MFRent,1,Assumptions!DF$77)+DF$100*RenoPremium)*Assumptions!DF$74</f>
        <v/>
      </c>
      <c r="DG103" s="52">
        <f>(DG$102*INDEX(Cum_MFRent,1,Assumptions!DG$77)+DG$100*RenoPremium)*Assumptions!DG$74</f>
        <v/>
      </c>
      <c r="DH103" s="52">
        <f>(DH$102*INDEX(Cum_MFRent,1,Assumptions!DH$77)+DH$100*RenoPremium)*Assumptions!DH$74</f>
        <v/>
      </c>
      <c r="DI103" s="52">
        <f>(DI$102*INDEX(Cum_MFRent,1,Assumptions!DI$77)+DI$100*RenoPremium)*Assumptions!DI$74</f>
        <v/>
      </c>
      <c r="DJ103" s="52">
        <f>(DJ$102*INDEX(Cum_MFRent,1,Assumptions!DJ$77)+DJ$100*RenoPremium)*Assumptions!DJ$74</f>
        <v/>
      </c>
      <c r="DK103" s="52">
        <f>(DK$102*INDEX(Cum_MFRent,1,Assumptions!DK$77)+DK$100*RenoPremium)*Assumptions!DK$74</f>
        <v/>
      </c>
      <c r="DL103" s="52">
        <f>(DL$102*INDEX(Cum_MFRent,1,Assumptions!DL$77)+DL$100*RenoPremium)*Assumptions!DL$74</f>
        <v/>
      </c>
      <c r="DM103" s="52">
        <f>(DM$102*INDEX(Cum_MFRent,1,Assumptions!DM$77)+DM$100*RenoPremium)*Assumptions!DM$74</f>
        <v/>
      </c>
      <c r="DN103" s="52">
        <f>(DN$102*INDEX(Cum_MFRent,1,Assumptions!DN$77)+DN$100*RenoPremium)*Assumptions!DN$74</f>
        <v/>
      </c>
      <c r="DO103" s="52">
        <f>(DO$102*INDEX(Cum_MFRent,1,Assumptions!DO$77)+DO$100*RenoPremium)*Assumptions!DO$74</f>
        <v/>
      </c>
      <c r="DP103" s="52">
        <f>(DP$102*INDEX(Cum_MFRent,1,Assumptions!DP$77)+DP$100*RenoPremium)*Assumptions!DP$74</f>
        <v/>
      </c>
      <c r="DQ103" s="52">
        <f>(DQ$102*INDEX(Cum_MFRent,1,Assumptions!DQ$77)+DQ$100*RenoPremium)*Assumptions!DQ$74</f>
        <v/>
      </c>
      <c r="DR103" s="52">
        <f>(DR$102*INDEX(Cum_MFRent,1,Assumptions!DR$77)+DR$100*RenoPremium)*Assumptions!DR$74</f>
        <v/>
      </c>
      <c r="DS103" s="52">
        <f>(DS$102*INDEX(Cum_MFRent,1,Assumptions!DS$77)+DS$100*RenoPremium)*Assumptions!DS$74</f>
        <v/>
      </c>
      <c r="DT103" s="52">
        <f>(DT$102*INDEX(Cum_MFRent,1,Assumptions!DT$77)+DT$100*RenoPremium)*Assumptions!DT$74</f>
        <v/>
      </c>
    </row>
    <row r="104">
      <c r="A104" s="10" t="inlineStr">
        <is>
          <t>Loss-to-lease ($/mo, negative)</t>
        </is>
      </c>
      <c r="E104" s="52">
        <f>-(E$102-E$101)*MAX(0,1-Assumptions!E$72/LTL_Months)*Assumptions!E$74</f>
        <v/>
      </c>
      <c r="F104" s="52">
        <f>-(F$102-F$101)*MAX(0,1-Assumptions!F$72/LTL_Months)*Assumptions!F$74</f>
        <v/>
      </c>
      <c r="G104" s="52">
        <f>-(G$102-G$101)*MAX(0,1-Assumptions!G$72/LTL_Months)*Assumptions!G$74</f>
        <v/>
      </c>
      <c r="H104" s="52">
        <f>-(H$102-H$101)*MAX(0,1-Assumptions!H$72/LTL_Months)*Assumptions!H$74</f>
        <v/>
      </c>
      <c r="I104" s="52">
        <f>-(I$102-I$101)*MAX(0,1-Assumptions!I$72/LTL_Months)*Assumptions!I$74</f>
        <v/>
      </c>
      <c r="J104" s="52">
        <f>-(J$102-J$101)*MAX(0,1-Assumptions!J$72/LTL_Months)*Assumptions!J$74</f>
        <v/>
      </c>
      <c r="K104" s="52">
        <f>-(K$102-K$101)*MAX(0,1-Assumptions!K$72/LTL_Months)*Assumptions!K$74</f>
        <v/>
      </c>
      <c r="L104" s="52">
        <f>-(L$102-L$101)*MAX(0,1-Assumptions!L$72/LTL_Months)*Assumptions!L$74</f>
        <v/>
      </c>
      <c r="M104" s="52">
        <f>-(M$102-M$101)*MAX(0,1-Assumptions!M$72/LTL_Months)*Assumptions!M$74</f>
        <v/>
      </c>
      <c r="N104" s="52">
        <f>-(N$102-N$101)*MAX(0,1-Assumptions!N$72/LTL_Months)*Assumptions!N$74</f>
        <v/>
      </c>
      <c r="O104" s="52">
        <f>-(O$102-O$101)*MAX(0,1-Assumptions!O$72/LTL_Months)*Assumptions!O$74</f>
        <v/>
      </c>
      <c r="P104" s="52">
        <f>-(P$102-P$101)*MAX(0,1-Assumptions!P$72/LTL_Months)*Assumptions!P$74</f>
        <v/>
      </c>
      <c r="Q104" s="52">
        <f>-(Q$102-Q$101)*MAX(0,1-Assumptions!Q$72/LTL_Months)*Assumptions!Q$74</f>
        <v/>
      </c>
      <c r="R104" s="52">
        <f>-(R$102-R$101)*MAX(0,1-Assumptions!R$72/LTL_Months)*Assumptions!R$74</f>
        <v/>
      </c>
      <c r="S104" s="52">
        <f>-(S$102-S$101)*MAX(0,1-Assumptions!S$72/LTL_Months)*Assumptions!S$74</f>
        <v/>
      </c>
      <c r="T104" s="52">
        <f>-(T$102-T$101)*MAX(0,1-Assumptions!T$72/LTL_Months)*Assumptions!T$74</f>
        <v/>
      </c>
      <c r="U104" s="52">
        <f>-(U$102-U$101)*MAX(0,1-Assumptions!U$72/LTL_Months)*Assumptions!U$74</f>
        <v/>
      </c>
      <c r="V104" s="52">
        <f>-(V$102-V$101)*MAX(0,1-Assumptions!V$72/LTL_Months)*Assumptions!V$74</f>
        <v/>
      </c>
      <c r="W104" s="52">
        <f>-(W$102-W$101)*MAX(0,1-Assumptions!W$72/LTL_Months)*Assumptions!W$74</f>
        <v/>
      </c>
      <c r="X104" s="52">
        <f>-(X$102-X$101)*MAX(0,1-Assumptions!X$72/LTL_Months)*Assumptions!X$74</f>
        <v/>
      </c>
      <c r="Y104" s="52">
        <f>-(Y$102-Y$101)*MAX(0,1-Assumptions!Y$72/LTL_Months)*Assumptions!Y$74</f>
        <v/>
      </c>
      <c r="Z104" s="52">
        <f>-(Z$102-Z$101)*MAX(0,1-Assumptions!Z$72/LTL_Months)*Assumptions!Z$74</f>
        <v/>
      </c>
      <c r="AA104" s="52">
        <f>-(AA$102-AA$101)*MAX(0,1-Assumptions!AA$72/LTL_Months)*Assumptions!AA$74</f>
        <v/>
      </c>
      <c r="AB104" s="52">
        <f>-(AB$102-AB$101)*MAX(0,1-Assumptions!AB$72/LTL_Months)*Assumptions!AB$74</f>
        <v/>
      </c>
      <c r="AC104" s="52">
        <f>-(AC$102-AC$101)*MAX(0,1-Assumptions!AC$72/LTL_Months)*Assumptions!AC$74</f>
        <v/>
      </c>
      <c r="AD104" s="52">
        <f>-(AD$102-AD$101)*MAX(0,1-Assumptions!AD$72/LTL_Months)*Assumptions!AD$74</f>
        <v/>
      </c>
      <c r="AE104" s="52">
        <f>-(AE$102-AE$101)*MAX(0,1-Assumptions!AE$72/LTL_Months)*Assumptions!AE$74</f>
        <v/>
      </c>
      <c r="AF104" s="52">
        <f>-(AF$102-AF$101)*MAX(0,1-Assumptions!AF$72/LTL_Months)*Assumptions!AF$74</f>
        <v/>
      </c>
      <c r="AG104" s="52">
        <f>-(AG$102-AG$101)*MAX(0,1-Assumptions!AG$72/LTL_Months)*Assumptions!AG$74</f>
        <v/>
      </c>
      <c r="AH104" s="52">
        <f>-(AH$102-AH$101)*MAX(0,1-Assumptions!AH$72/LTL_Months)*Assumptions!AH$74</f>
        <v/>
      </c>
      <c r="AI104" s="52">
        <f>-(AI$102-AI$101)*MAX(0,1-Assumptions!AI$72/LTL_Months)*Assumptions!AI$74</f>
        <v/>
      </c>
      <c r="AJ104" s="52">
        <f>-(AJ$102-AJ$101)*MAX(0,1-Assumptions!AJ$72/LTL_Months)*Assumptions!AJ$74</f>
        <v/>
      </c>
      <c r="AK104" s="52">
        <f>-(AK$102-AK$101)*MAX(0,1-Assumptions!AK$72/LTL_Months)*Assumptions!AK$74</f>
        <v/>
      </c>
      <c r="AL104" s="52">
        <f>-(AL$102-AL$101)*MAX(0,1-Assumptions!AL$72/LTL_Months)*Assumptions!AL$74</f>
        <v/>
      </c>
      <c r="AM104" s="52">
        <f>-(AM$102-AM$101)*MAX(0,1-Assumptions!AM$72/LTL_Months)*Assumptions!AM$74</f>
        <v/>
      </c>
      <c r="AN104" s="52">
        <f>-(AN$102-AN$101)*MAX(0,1-Assumptions!AN$72/LTL_Months)*Assumptions!AN$74</f>
        <v/>
      </c>
      <c r="AO104" s="52">
        <f>-(AO$102-AO$101)*MAX(0,1-Assumptions!AO$72/LTL_Months)*Assumptions!AO$74</f>
        <v/>
      </c>
      <c r="AP104" s="52">
        <f>-(AP$102-AP$101)*MAX(0,1-Assumptions!AP$72/LTL_Months)*Assumptions!AP$74</f>
        <v/>
      </c>
      <c r="AQ104" s="52">
        <f>-(AQ$102-AQ$101)*MAX(0,1-Assumptions!AQ$72/LTL_Months)*Assumptions!AQ$74</f>
        <v/>
      </c>
      <c r="AR104" s="52">
        <f>-(AR$102-AR$101)*MAX(0,1-Assumptions!AR$72/LTL_Months)*Assumptions!AR$74</f>
        <v/>
      </c>
      <c r="AS104" s="52">
        <f>-(AS$102-AS$101)*MAX(0,1-Assumptions!AS$72/LTL_Months)*Assumptions!AS$74</f>
        <v/>
      </c>
      <c r="AT104" s="52">
        <f>-(AT$102-AT$101)*MAX(0,1-Assumptions!AT$72/LTL_Months)*Assumptions!AT$74</f>
        <v/>
      </c>
      <c r="AU104" s="52">
        <f>-(AU$102-AU$101)*MAX(0,1-Assumptions!AU$72/LTL_Months)*Assumptions!AU$74</f>
        <v/>
      </c>
      <c r="AV104" s="52">
        <f>-(AV$102-AV$101)*MAX(0,1-Assumptions!AV$72/LTL_Months)*Assumptions!AV$74</f>
        <v/>
      </c>
      <c r="AW104" s="52">
        <f>-(AW$102-AW$101)*MAX(0,1-Assumptions!AW$72/LTL_Months)*Assumptions!AW$74</f>
        <v/>
      </c>
      <c r="AX104" s="52">
        <f>-(AX$102-AX$101)*MAX(0,1-Assumptions!AX$72/LTL_Months)*Assumptions!AX$74</f>
        <v/>
      </c>
      <c r="AY104" s="52">
        <f>-(AY$102-AY$101)*MAX(0,1-Assumptions!AY$72/LTL_Months)*Assumptions!AY$74</f>
        <v/>
      </c>
      <c r="AZ104" s="52">
        <f>-(AZ$102-AZ$101)*MAX(0,1-Assumptions!AZ$72/LTL_Months)*Assumptions!AZ$74</f>
        <v/>
      </c>
      <c r="BA104" s="52">
        <f>-(BA$102-BA$101)*MAX(0,1-Assumptions!BA$72/LTL_Months)*Assumptions!BA$74</f>
        <v/>
      </c>
      <c r="BB104" s="52">
        <f>-(BB$102-BB$101)*MAX(0,1-Assumptions!BB$72/LTL_Months)*Assumptions!BB$74</f>
        <v/>
      </c>
      <c r="BC104" s="52">
        <f>-(BC$102-BC$101)*MAX(0,1-Assumptions!BC$72/LTL_Months)*Assumptions!BC$74</f>
        <v/>
      </c>
      <c r="BD104" s="52">
        <f>-(BD$102-BD$101)*MAX(0,1-Assumptions!BD$72/LTL_Months)*Assumptions!BD$74</f>
        <v/>
      </c>
      <c r="BE104" s="52">
        <f>-(BE$102-BE$101)*MAX(0,1-Assumptions!BE$72/LTL_Months)*Assumptions!BE$74</f>
        <v/>
      </c>
      <c r="BF104" s="52">
        <f>-(BF$102-BF$101)*MAX(0,1-Assumptions!BF$72/LTL_Months)*Assumptions!BF$74</f>
        <v/>
      </c>
      <c r="BG104" s="52">
        <f>-(BG$102-BG$101)*MAX(0,1-Assumptions!BG$72/LTL_Months)*Assumptions!BG$74</f>
        <v/>
      </c>
      <c r="BH104" s="52">
        <f>-(BH$102-BH$101)*MAX(0,1-Assumptions!BH$72/LTL_Months)*Assumptions!BH$74</f>
        <v/>
      </c>
      <c r="BI104" s="52">
        <f>-(BI$102-BI$101)*MAX(0,1-Assumptions!BI$72/LTL_Months)*Assumptions!BI$74</f>
        <v/>
      </c>
      <c r="BJ104" s="52">
        <f>-(BJ$102-BJ$101)*MAX(0,1-Assumptions!BJ$72/LTL_Months)*Assumptions!BJ$74</f>
        <v/>
      </c>
      <c r="BK104" s="52">
        <f>-(BK$102-BK$101)*MAX(0,1-Assumptions!BK$72/LTL_Months)*Assumptions!BK$74</f>
        <v/>
      </c>
      <c r="BL104" s="52">
        <f>-(BL$102-BL$101)*MAX(0,1-Assumptions!BL$72/LTL_Months)*Assumptions!BL$74</f>
        <v/>
      </c>
      <c r="BM104" s="52">
        <f>-(BM$102-BM$101)*MAX(0,1-Assumptions!BM$72/LTL_Months)*Assumptions!BM$74</f>
        <v/>
      </c>
      <c r="BN104" s="52">
        <f>-(BN$102-BN$101)*MAX(0,1-Assumptions!BN$72/LTL_Months)*Assumptions!BN$74</f>
        <v/>
      </c>
      <c r="BO104" s="52">
        <f>-(BO$102-BO$101)*MAX(0,1-Assumptions!BO$72/LTL_Months)*Assumptions!BO$74</f>
        <v/>
      </c>
      <c r="BP104" s="52">
        <f>-(BP$102-BP$101)*MAX(0,1-Assumptions!BP$72/LTL_Months)*Assumptions!BP$74</f>
        <v/>
      </c>
      <c r="BQ104" s="52">
        <f>-(BQ$102-BQ$101)*MAX(0,1-Assumptions!BQ$72/LTL_Months)*Assumptions!BQ$74</f>
        <v/>
      </c>
      <c r="BR104" s="52">
        <f>-(BR$102-BR$101)*MAX(0,1-Assumptions!BR$72/LTL_Months)*Assumptions!BR$74</f>
        <v/>
      </c>
      <c r="BS104" s="52">
        <f>-(BS$102-BS$101)*MAX(0,1-Assumptions!BS$72/LTL_Months)*Assumptions!BS$74</f>
        <v/>
      </c>
      <c r="BT104" s="52">
        <f>-(BT$102-BT$101)*MAX(0,1-Assumptions!BT$72/LTL_Months)*Assumptions!BT$74</f>
        <v/>
      </c>
      <c r="BU104" s="52">
        <f>-(BU$102-BU$101)*MAX(0,1-Assumptions!BU$72/LTL_Months)*Assumptions!BU$74</f>
        <v/>
      </c>
      <c r="BV104" s="52">
        <f>-(BV$102-BV$101)*MAX(0,1-Assumptions!BV$72/LTL_Months)*Assumptions!BV$74</f>
        <v/>
      </c>
      <c r="BW104" s="52">
        <f>-(BW$102-BW$101)*MAX(0,1-Assumptions!BW$72/LTL_Months)*Assumptions!BW$74</f>
        <v/>
      </c>
      <c r="BX104" s="52">
        <f>-(BX$102-BX$101)*MAX(0,1-Assumptions!BX$72/LTL_Months)*Assumptions!BX$74</f>
        <v/>
      </c>
      <c r="BY104" s="52">
        <f>-(BY$102-BY$101)*MAX(0,1-Assumptions!BY$72/LTL_Months)*Assumptions!BY$74</f>
        <v/>
      </c>
      <c r="BZ104" s="52">
        <f>-(BZ$102-BZ$101)*MAX(0,1-Assumptions!BZ$72/LTL_Months)*Assumptions!BZ$74</f>
        <v/>
      </c>
      <c r="CA104" s="52">
        <f>-(CA$102-CA$101)*MAX(0,1-Assumptions!CA$72/LTL_Months)*Assumptions!CA$74</f>
        <v/>
      </c>
      <c r="CB104" s="52">
        <f>-(CB$102-CB$101)*MAX(0,1-Assumptions!CB$72/LTL_Months)*Assumptions!CB$74</f>
        <v/>
      </c>
      <c r="CC104" s="52">
        <f>-(CC$102-CC$101)*MAX(0,1-Assumptions!CC$72/LTL_Months)*Assumptions!CC$74</f>
        <v/>
      </c>
      <c r="CD104" s="52">
        <f>-(CD$102-CD$101)*MAX(0,1-Assumptions!CD$72/LTL_Months)*Assumptions!CD$74</f>
        <v/>
      </c>
      <c r="CE104" s="52">
        <f>-(CE$102-CE$101)*MAX(0,1-Assumptions!CE$72/LTL_Months)*Assumptions!CE$74</f>
        <v/>
      </c>
      <c r="CF104" s="52">
        <f>-(CF$102-CF$101)*MAX(0,1-Assumptions!CF$72/LTL_Months)*Assumptions!CF$74</f>
        <v/>
      </c>
      <c r="CG104" s="52">
        <f>-(CG$102-CG$101)*MAX(0,1-Assumptions!CG$72/LTL_Months)*Assumptions!CG$74</f>
        <v/>
      </c>
      <c r="CH104" s="52">
        <f>-(CH$102-CH$101)*MAX(0,1-Assumptions!CH$72/LTL_Months)*Assumptions!CH$74</f>
        <v/>
      </c>
      <c r="CI104" s="52">
        <f>-(CI$102-CI$101)*MAX(0,1-Assumptions!CI$72/LTL_Months)*Assumptions!CI$74</f>
        <v/>
      </c>
      <c r="CJ104" s="52">
        <f>-(CJ$102-CJ$101)*MAX(0,1-Assumptions!CJ$72/LTL_Months)*Assumptions!CJ$74</f>
        <v/>
      </c>
      <c r="CK104" s="52">
        <f>-(CK$102-CK$101)*MAX(0,1-Assumptions!CK$72/LTL_Months)*Assumptions!CK$74</f>
        <v/>
      </c>
      <c r="CL104" s="52">
        <f>-(CL$102-CL$101)*MAX(0,1-Assumptions!CL$72/LTL_Months)*Assumptions!CL$74</f>
        <v/>
      </c>
      <c r="CM104" s="52">
        <f>-(CM$102-CM$101)*MAX(0,1-Assumptions!CM$72/LTL_Months)*Assumptions!CM$74</f>
        <v/>
      </c>
      <c r="CN104" s="52">
        <f>-(CN$102-CN$101)*MAX(0,1-Assumptions!CN$72/LTL_Months)*Assumptions!CN$74</f>
        <v/>
      </c>
      <c r="CO104" s="52">
        <f>-(CO$102-CO$101)*MAX(0,1-Assumptions!CO$72/LTL_Months)*Assumptions!CO$74</f>
        <v/>
      </c>
      <c r="CP104" s="52">
        <f>-(CP$102-CP$101)*MAX(0,1-Assumptions!CP$72/LTL_Months)*Assumptions!CP$74</f>
        <v/>
      </c>
      <c r="CQ104" s="52">
        <f>-(CQ$102-CQ$101)*MAX(0,1-Assumptions!CQ$72/LTL_Months)*Assumptions!CQ$74</f>
        <v/>
      </c>
      <c r="CR104" s="52">
        <f>-(CR$102-CR$101)*MAX(0,1-Assumptions!CR$72/LTL_Months)*Assumptions!CR$74</f>
        <v/>
      </c>
      <c r="CS104" s="52">
        <f>-(CS$102-CS$101)*MAX(0,1-Assumptions!CS$72/LTL_Months)*Assumptions!CS$74</f>
        <v/>
      </c>
      <c r="CT104" s="52">
        <f>-(CT$102-CT$101)*MAX(0,1-Assumptions!CT$72/LTL_Months)*Assumptions!CT$74</f>
        <v/>
      </c>
      <c r="CU104" s="52">
        <f>-(CU$102-CU$101)*MAX(0,1-Assumptions!CU$72/LTL_Months)*Assumptions!CU$74</f>
        <v/>
      </c>
      <c r="CV104" s="52">
        <f>-(CV$102-CV$101)*MAX(0,1-Assumptions!CV$72/LTL_Months)*Assumptions!CV$74</f>
        <v/>
      </c>
      <c r="CW104" s="52">
        <f>-(CW$102-CW$101)*MAX(0,1-Assumptions!CW$72/LTL_Months)*Assumptions!CW$74</f>
        <v/>
      </c>
      <c r="CX104" s="52">
        <f>-(CX$102-CX$101)*MAX(0,1-Assumptions!CX$72/LTL_Months)*Assumptions!CX$74</f>
        <v/>
      </c>
      <c r="CY104" s="52">
        <f>-(CY$102-CY$101)*MAX(0,1-Assumptions!CY$72/LTL_Months)*Assumptions!CY$74</f>
        <v/>
      </c>
      <c r="CZ104" s="52">
        <f>-(CZ$102-CZ$101)*MAX(0,1-Assumptions!CZ$72/LTL_Months)*Assumptions!CZ$74</f>
        <v/>
      </c>
      <c r="DA104" s="52">
        <f>-(DA$102-DA$101)*MAX(0,1-Assumptions!DA$72/LTL_Months)*Assumptions!DA$74</f>
        <v/>
      </c>
      <c r="DB104" s="52">
        <f>-(DB$102-DB$101)*MAX(0,1-Assumptions!DB$72/LTL_Months)*Assumptions!DB$74</f>
        <v/>
      </c>
      <c r="DC104" s="52">
        <f>-(DC$102-DC$101)*MAX(0,1-Assumptions!DC$72/LTL_Months)*Assumptions!DC$74</f>
        <v/>
      </c>
      <c r="DD104" s="52">
        <f>-(DD$102-DD$101)*MAX(0,1-Assumptions!DD$72/LTL_Months)*Assumptions!DD$74</f>
        <v/>
      </c>
      <c r="DE104" s="52">
        <f>-(DE$102-DE$101)*MAX(0,1-Assumptions!DE$72/LTL_Months)*Assumptions!DE$74</f>
        <v/>
      </c>
      <c r="DF104" s="52">
        <f>-(DF$102-DF$101)*MAX(0,1-Assumptions!DF$72/LTL_Months)*Assumptions!DF$74</f>
        <v/>
      </c>
      <c r="DG104" s="52">
        <f>-(DG$102-DG$101)*MAX(0,1-Assumptions!DG$72/LTL_Months)*Assumptions!DG$74</f>
        <v/>
      </c>
      <c r="DH104" s="52">
        <f>-(DH$102-DH$101)*MAX(0,1-Assumptions!DH$72/LTL_Months)*Assumptions!DH$74</f>
        <v/>
      </c>
      <c r="DI104" s="52">
        <f>-(DI$102-DI$101)*MAX(0,1-Assumptions!DI$72/LTL_Months)*Assumptions!DI$74</f>
        <v/>
      </c>
      <c r="DJ104" s="52">
        <f>-(DJ$102-DJ$101)*MAX(0,1-Assumptions!DJ$72/LTL_Months)*Assumptions!DJ$74</f>
        <v/>
      </c>
      <c r="DK104" s="52">
        <f>-(DK$102-DK$101)*MAX(0,1-Assumptions!DK$72/LTL_Months)*Assumptions!DK$74</f>
        <v/>
      </c>
      <c r="DL104" s="52">
        <f>-(DL$102-DL$101)*MAX(0,1-Assumptions!DL$72/LTL_Months)*Assumptions!DL$74</f>
        <v/>
      </c>
      <c r="DM104" s="52">
        <f>-(DM$102-DM$101)*MAX(0,1-Assumptions!DM$72/LTL_Months)*Assumptions!DM$74</f>
        <v/>
      </c>
      <c r="DN104" s="52">
        <f>-(DN$102-DN$101)*MAX(0,1-Assumptions!DN$72/LTL_Months)*Assumptions!DN$74</f>
        <v/>
      </c>
      <c r="DO104" s="52">
        <f>-(DO$102-DO$101)*MAX(0,1-Assumptions!DO$72/LTL_Months)*Assumptions!DO$74</f>
        <v/>
      </c>
      <c r="DP104" s="52">
        <f>-(DP$102-DP$101)*MAX(0,1-Assumptions!DP$72/LTL_Months)*Assumptions!DP$74</f>
        <v/>
      </c>
      <c r="DQ104" s="52">
        <f>-(DQ$102-DQ$101)*MAX(0,1-Assumptions!DQ$72/LTL_Months)*Assumptions!DQ$74</f>
        <v/>
      </c>
      <c r="DR104" s="52">
        <f>-(DR$102-DR$101)*MAX(0,1-Assumptions!DR$72/LTL_Months)*Assumptions!DR$74</f>
        <v/>
      </c>
      <c r="DS104" s="52">
        <f>-(DS$102-DS$101)*MAX(0,1-Assumptions!DS$72/LTL_Months)*Assumptions!DS$74</f>
        <v/>
      </c>
      <c r="DT104" s="52">
        <f>-(DT$102-DT$101)*MAX(0,1-Assumptions!DT$72/LTL_Months)*Assumptions!DT$74</f>
        <v/>
      </c>
    </row>
    <row r="105">
      <c r="A105" s="10" t="inlineStr">
        <is>
          <t>Vacancy / concessions / bad debt ($/mo, neg)</t>
        </is>
      </c>
      <c r="E105" s="52">
        <f>-(E$103*(MF_Vacancy+MF_Concessions+MF_BadDebt)+E$103*(1-(E$99/MF_UnitCount)))</f>
        <v/>
      </c>
      <c r="F105" s="52">
        <f>-(F$103*(MF_Vacancy+MF_Concessions+MF_BadDebt)+F$103*(1-(F$99/MF_UnitCount)))</f>
        <v/>
      </c>
      <c r="G105" s="52">
        <f>-(G$103*(MF_Vacancy+MF_Concessions+MF_BadDebt)+G$103*(1-(G$99/MF_UnitCount)))</f>
        <v/>
      </c>
      <c r="H105" s="52">
        <f>-(H$103*(MF_Vacancy+MF_Concessions+MF_BadDebt)+H$103*(1-(H$99/MF_UnitCount)))</f>
        <v/>
      </c>
      <c r="I105" s="52">
        <f>-(I$103*(MF_Vacancy+MF_Concessions+MF_BadDebt)+I$103*(1-(I$99/MF_UnitCount)))</f>
        <v/>
      </c>
      <c r="J105" s="52">
        <f>-(J$103*(MF_Vacancy+MF_Concessions+MF_BadDebt)+J$103*(1-(J$99/MF_UnitCount)))</f>
        <v/>
      </c>
      <c r="K105" s="52">
        <f>-(K$103*(MF_Vacancy+MF_Concessions+MF_BadDebt)+K$103*(1-(K$99/MF_UnitCount)))</f>
        <v/>
      </c>
      <c r="L105" s="52">
        <f>-(L$103*(MF_Vacancy+MF_Concessions+MF_BadDebt)+L$103*(1-(L$99/MF_UnitCount)))</f>
        <v/>
      </c>
      <c r="M105" s="52">
        <f>-(M$103*(MF_Vacancy+MF_Concessions+MF_BadDebt)+M$103*(1-(M$99/MF_UnitCount)))</f>
        <v/>
      </c>
      <c r="N105" s="52">
        <f>-(N$103*(MF_Vacancy+MF_Concessions+MF_BadDebt)+N$103*(1-(N$99/MF_UnitCount)))</f>
        <v/>
      </c>
      <c r="O105" s="52">
        <f>-(O$103*(MF_Vacancy+MF_Concessions+MF_BadDebt)+O$103*(1-(O$99/MF_UnitCount)))</f>
        <v/>
      </c>
      <c r="P105" s="52">
        <f>-(P$103*(MF_Vacancy+MF_Concessions+MF_BadDebt)+P$103*(1-(P$99/MF_UnitCount)))</f>
        <v/>
      </c>
      <c r="Q105" s="52">
        <f>-(Q$103*(MF_Vacancy+MF_Concessions+MF_BadDebt)+Q$103*(1-(Q$99/MF_UnitCount)))</f>
        <v/>
      </c>
      <c r="R105" s="52">
        <f>-(R$103*(MF_Vacancy+MF_Concessions+MF_BadDebt)+R$103*(1-(R$99/MF_UnitCount)))</f>
        <v/>
      </c>
      <c r="S105" s="52">
        <f>-(S$103*(MF_Vacancy+MF_Concessions+MF_BadDebt)+S$103*(1-(S$99/MF_UnitCount)))</f>
        <v/>
      </c>
      <c r="T105" s="52">
        <f>-(T$103*(MF_Vacancy+MF_Concessions+MF_BadDebt)+T$103*(1-(T$99/MF_UnitCount)))</f>
        <v/>
      </c>
      <c r="U105" s="52">
        <f>-(U$103*(MF_Vacancy+MF_Concessions+MF_BadDebt)+U$103*(1-(U$99/MF_UnitCount)))</f>
        <v/>
      </c>
      <c r="V105" s="52">
        <f>-(V$103*(MF_Vacancy+MF_Concessions+MF_BadDebt)+V$103*(1-(V$99/MF_UnitCount)))</f>
        <v/>
      </c>
      <c r="W105" s="52">
        <f>-(W$103*(MF_Vacancy+MF_Concessions+MF_BadDebt)+W$103*(1-(W$99/MF_UnitCount)))</f>
        <v/>
      </c>
      <c r="X105" s="52">
        <f>-(X$103*(MF_Vacancy+MF_Concessions+MF_BadDebt)+X$103*(1-(X$99/MF_UnitCount)))</f>
        <v/>
      </c>
      <c r="Y105" s="52">
        <f>-(Y$103*(MF_Vacancy+MF_Concessions+MF_BadDebt)+Y$103*(1-(Y$99/MF_UnitCount)))</f>
        <v/>
      </c>
      <c r="Z105" s="52">
        <f>-(Z$103*(MF_Vacancy+MF_Concessions+MF_BadDebt)+Z$103*(1-(Z$99/MF_UnitCount)))</f>
        <v/>
      </c>
      <c r="AA105" s="52">
        <f>-(AA$103*(MF_Vacancy+MF_Concessions+MF_BadDebt)+AA$103*(1-(AA$99/MF_UnitCount)))</f>
        <v/>
      </c>
      <c r="AB105" s="52">
        <f>-(AB$103*(MF_Vacancy+MF_Concessions+MF_BadDebt)+AB$103*(1-(AB$99/MF_UnitCount)))</f>
        <v/>
      </c>
      <c r="AC105" s="52">
        <f>-(AC$103*(MF_Vacancy+MF_Concessions+MF_BadDebt)+AC$103*(1-(AC$99/MF_UnitCount)))</f>
        <v/>
      </c>
      <c r="AD105" s="52">
        <f>-(AD$103*(MF_Vacancy+MF_Concessions+MF_BadDebt)+AD$103*(1-(AD$99/MF_UnitCount)))</f>
        <v/>
      </c>
      <c r="AE105" s="52">
        <f>-(AE$103*(MF_Vacancy+MF_Concessions+MF_BadDebt)+AE$103*(1-(AE$99/MF_UnitCount)))</f>
        <v/>
      </c>
      <c r="AF105" s="52">
        <f>-(AF$103*(MF_Vacancy+MF_Concessions+MF_BadDebt)+AF$103*(1-(AF$99/MF_UnitCount)))</f>
        <v/>
      </c>
      <c r="AG105" s="52">
        <f>-(AG$103*(MF_Vacancy+MF_Concessions+MF_BadDebt)+AG$103*(1-(AG$99/MF_UnitCount)))</f>
        <v/>
      </c>
      <c r="AH105" s="52">
        <f>-(AH$103*(MF_Vacancy+MF_Concessions+MF_BadDebt)+AH$103*(1-(AH$99/MF_UnitCount)))</f>
        <v/>
      </c>
      <c r="AI105" s="52">
        <f>-(AI$103*(MF_Vacancy+MF_Concessions+MF_BadDebt)+AI$103*(1-(AI$99/MF_UnitCount)))</f>
        <v/>
      </c>
      <c r="AJ105" s="52">
        <f>-(AJ$103*(MF_Vacancy+MF_Concessions+MF_BadDebt)+AJ$103*(1-(AJ$99/MF_UnitCount)))</f>
        <v/>
      </c>
      <c r="AK105" s="52">
        <f>-(AK$103*(MF_Vacancy+MF_Concessions+MF_BadDebt)+AK$103*(1-(AK$99/MF_UnitCount)))</f>
        <v/>
      </c>
      <c r="AL105" s="52">
        <f>-(AL$103*(MF_Vacancy+MF_Concessions+MF_BadDebt)+AL$103*(1-(AL$99/MF_UnitCount)))</f>
        <v/>
      </c>
      <c r="AM105" s="52">
        <f>-(AM$103*(MF_Vacancy+MF_Concessions+MF_BadDebt)+AM$103*(1-(AM$99/MF_UnitCount)))</f>
        <v/>
      </c>
      <c r="AN105" s="52">
        <f>-(AN$103*(MF_Vacancy+MF_Concessions+MF_BadDebt)+AN$103*(1-(AN$99/MF_UnitCount)))</f>
        <v/>
      </c>
      <c r="AO105" s="52">
        <f>-(AO$103*(MF_Vacancy+MF_Concessions+MF_BadDebt)+AO$103*(1-(AO$99/MF_UnitCount)))</f>
        <v/>
      </c>
      <c r="AP105" s="52">
        <f>-(AP$103*(MF_Vacancy+MF_Concessions+MF_BadDebt)+AP$103*(1-(AP$99/MF_UnitCount)))</f>
        <v/>
      </c>
      <c r="AQ105" s="52">
        <f>-(AQ$103*(MF_Vacancy+MF_Concessions+MF_BadDebt)+AQ$103*(1-(AQ$99/MF_UnitCount)))</f>
        <v/>
      </c>
      <c r="AR105" s="52">
        <f>-(AR$103*(MF_Vacancy+MF_Concessions+MF_BadDebt)+AR$103*(1-(AR$99/MF_UnitCount)))</f>
        <v/>
      </c>
      <c r="AS105" s="52">
        <f>-(AS$103*(MF_Vacancy+MF_Concessions+MF_BadDebt)+AS$103*(1-(AS$99/MF_UnitCount)))</f>
        <v/>
      </c>
      <c r="AT105" s="52">
        <f>-(AT$103*(MF_Vacancy+MF_Concessions+MF_BadDebt)+AT$103*(1-(AT$99/MF_UnitCount)))</f>
        <v/>
      </c>
      <c r="AU105" s="52">
        <f>-(AU$103*(MF_Vacancy+MF_Concessions+MF_BadDebt)+AU$103*(1-(AU$99/MF_UnitCount)))</f>
        <v/>
      </c>
      <c r="AV105" s="52">
        <f>-(AV$103*(MF_Vacancy+MF_Concessions+MF_BadDebt)+AV$103*(1-(AV$99/MF_UnitCount)))</f>
        <v/>
      </c>
      <c r="AW105" s="52">
        <f>-(AW$103*(MF_Vacancy+MF_Concessions+MF_BadDebt)+AW$103*(1-(AW$99/MF_UnitCount)))</f>
        <v/>
      </c>
      <c r="AX105" s="52">
        <f>-(AX$103*(MF_Vacancy+MF_Concessions+MF_BadDebt)+AX$103*(1-(AX$99/MF_UnitCount)))</f>
        <v/>
      </c>
      <c r="AY105" s="52">
        <f>-(AY$103*(MF_Vacancy+MF_Concessions+MF_BadDebt)+AY$103*(1-(AY$99/MF_UnitCount)))</f>
        <v/>
      </c>
      <c r="AZ105" s="52">
        <f>-(AZ$103*(MF_Vacancy+MF_Concessions+MF_BadDebt)+AZ$103*(1-(AZ$99/MF_UnitCount)))</f>
        <v/>
      </c>
      <c r="BA105" s="52">
        <f>-(BA$103*(MF_Vacancy+MF_Concessions+MF_BadDebt)+BA$103*(1-(BA$99/MF_UnitCount)))</f>
        <v/>
      </c>
      <c r="BB105" s="52">
        <f>-(BB$103*(MF_Vacancy+MF_Concessions+MF_BadDebt)+BB$103*(1-(BB$99/MF_UnitCount)))</f>
        <v/>
      </c>
      <c r="BC105" s="52">
        <f>-(BC$103*(MF_Vacancy+MF_Concessions+MF_BadDebt)+BC$103*(1-(BC$99/MF_UnitCount)))</f>
        <v/>
      </c>
      <c r="BD105" s="52">
        <f>-(BD$103*(MF_Vacancy+MF_Concessions+MF_BadDebt)+BD$103*(1-(BD$99/MF_UnitCount)))</f>
        <v/>
      </c>
      <c r="BE105" s="52">
        <f>-(BE$103*(MF_Vacancy+MF_Concessions+MF_BadDebt)+BE$103*(1-(BE$99/MF_UnitCount)))</f>
        <v/>
      </c>
      <c r="BF105" s="52">
        <f>-(BF$103*(MF_Vacancy+MF_Concessions+MF_BadDebt)+BF$103*(1-(BF$99/MF_UnitCount)))</f>
        <v/>
      </c>
      <c r="BG105" s="52">
        <f>-(BG$103*(MF_Vacancy+MF_Concessions+MF_BadDebt)+BG$103*(1-(BG$99/MF_UnitCount)))</f>
        <v/>
      </c>
      <c r="BH105" s="52">
        <f>-(BH$103*(MF_Vacancy+MF_Concessions+MF_BadDebt)+BH$103*(1-(BH$99/MF_UnitCount)))</f>
        <v/>
      </c>
      <c r="BI105" s="52">
        <f>-(BI$103*(MF_Vacancy+MF_Concessions+MF_BadDebt)+BI$103*(1-(BI$99/MF_UnitCount)))</f>
        <v/>
      </c>
      <c r="BJ105" s="52">
        <f>-(BJ$103*(MF_Vacancy+MF_Concessions+MF_BadDebt)+BJ$103*(1-(BJ$99/MF_UnitCount)))</f>
        <v/>
      </c>
      <c r="BK105" s="52">
        <f>-(BK$103*(MF_Vacancy+MF_Concessions+MF_BadDebt)+BK$103*(1-(BK$99/MF_UnitCount)))</f>
        <v/>
      </c>
      <c r="BL105" s="52">
        <f>-(BL$103*(MF_Vacancy+MF_Concessions+MF_BadDebt)+BL$103*(1-(BL$99/MF_UnitCount)))</f>
        <v/>
      </c>
      <c r="BM105" s="52">
        <f>-(BM$103*(MF_Vacancy+MF_Concessions+MF_BadDebt)+BM$103*(1-(BM$99/MF_UnitCount)))</f>
        <v/>
      </c>
      <c r="BN105" s="52">
        <f>-(BN$103*(MF_Vacancy+MF_Concessions+MF_BadDebt)+BN$103*(1-(BN$99/MF_UnitCount)))</f>
        <v/>
      </c>
      <c r="BO105" s="52">
        <f>-(BO$103*(MF_Vacancy+MF_Concessions+MF_BadDebt)+BO$103*(1-(BO$99/MF_UnitCount)))</f>
        <v/>
      </c>
      <c r="BP105" s="52">
        <f>-(BP$103*(MF_Vacancy+MF_Concessions+MF_BadDebt)+BP$103*(1-(BP$99/MF_UnitCount)))</f>
        <v/>
      </c>
      <c r="BQ105" s="52">
        <f>-(BQ$103*(MF_Vacancy+MF_Concessions+MF_BadDebt)+BQ$103*(1-(BQ$99/MF_UnitCount)))</f>
        <v/>
      </c>
      <c r="BR105" s="52">
        <f>-(BR$103*(MF_Vacancy+MF_Concessions+MF_BadDebt)+BR$103*(1-(BR$99/MF_UnitCount)))</f>
        <v/>
      </c>
      <c r="BS105" s="52">
        <f>-(BS$103*(MF_Vacancy+MF_Concessions+MF_BadDebt)+BS$103*(1-(BS$99/MF_UnitCount)))</f>
        <v/>
      </c>
      <c r="BT105" s="52">
        <f>-(BT$103*(MF_Vacancy+MF_Concessions+MF_BadDebt)+BT$103*(1-(BT$99/MF_UnitCount)))</f>
        <v/>
      </c>
      <c r="BU105" s="52">
        <f>-(BU$103*(MF_Vacancy+MF_Concessions+MF_BadDebt)+BU$103*(1-(BU$99/MF_UnitCount)))</f>
        <v/>
      </c>
      <c r="BV105" s="52">
        <f>-(BV$103*(MF_Vacancy+MF_Concessions+MF_BadDebt)+BV$103*(1-(BV$99/MF_UnitCount)))</f>
        <v/>
      </c>
      <c r="BW105" s="52">
        <f>-(BW$103*(MF_Vacancy+MF_Concessions+MF_BadDebt)+BW$103*(1-(BW$99/MF_UnitCount)))</f>
        <v/>
      </c>
      <c r="BX105" s="52">
        <f>-(BX$103*(MF_Vacancy+MF_Concessions+MF_BadDebt)+BX$103*(1-(BX$99/MF_UnitCount)))</f>
        <v/>
      </c>
      <c r="BY105" s="52">
        <f>-(BY$103*(MF_Vacancy+MF_Concessions+MF_BadDebt)+BY$103*(1-(BY$99/MF_UnitCount)))</f>
        <v/>
      </c>
      <c r="BZ105" s="52">
        <f>-(BZ$103*(MF_Vacancy+MF_Concessions+MF_BadDebt)+BZ$103*(1-(BZ$99/MF_UnitCount)))</f>
        <v/>
      </c>
      <c r="CA105" s="52">
        <f>-(CA$103*(MF_Vacancy+MF_Concessions+MF_BadDebt)+CA$103*(1-(CA$99/MF_UnitCount)))</f>
        <v/>
      </c>
      <c r="CB105" s="52">
        <f>-(CB$103*(MF_Vacancy+MF_Concessions+MF_BadDebt)+CB$103*(1-(CB$99/MF_UnitCount)))</f>
        <v/>
      </c>
      <c r="CC105" s="52">
        <f>-(CC$103*(MF_Vacancy+MF_Concessions+MF_BadDebt)+CC$103*(1-(CC$99/MF_UnitCount)))</f>
        <v/>
      </c>
      <c r="CD105" s="52">
        <f>-(CD$103*(MF_Vacancy+MF_Concessions+MF_BadDebt)+CD$103*(1-(CD$99/MF_UnitCount)))</f>
        <v/>
      </c>
      <c r="CE105" s="52">
        <f>-(CE$103*(MF_Vacancy+MF_Concessions+MF_BadDebt)+CE$103*(1-(CE$99/MF_UnitCount)))</f>
        <v/>
      </c>
      <c r="CF105" s="52">
        <f>-(CF$103*(MF_Vacancy+MF_Concessions+MF_BadDebt)+CF$103*(1-(CF$99/MF_UnitCount)))</f>
        <v/>
      </c>
      <c r="CG105" s="52">
        <f>-(CG$103*(MF_Vacancy+MF_Concessions+MF_BadDebt)+CG$103*(1-(CG$99/MF_UnitCount)))</f>
        <v/>
      </c>
      <c r="CH105" s="52">
        <f>-(CH$103*(MF_Vacancy+MF_Concessions+MF_BadDebt)+CH$103*(1-(CH$99/MF_UnitCount)))</f>
        <v/>
      </c>
      <c r="CI105" s="52">
        <f>-(CI$103*(MF_Vacancy+MF_Concessions+MF_BadDebt)+CI$103*(1-(CI$99/MF_UnitCount)))</f>
        <v/>
      </c>
      <c r="CJ105" s="52">
        <f>-(CJ$103*(MF_Vacancy+MF_Concessions+MF_BadDebt)+CJ$103*(1-(CJ$99/MF_UnitCount)))</f>
        <v/>
      </c>
      <c r="CK105" s="52">
        <f>-(CK$103*(MF_Vacancy+MF_Concessions+MF_BadDebt)+CK$103*(1-(CK$99/MF_UnitCount)))</f>
        <v/>
      </c>
      <c r="CL105" s="52">
        <f>-(CL$103*(MF_Vacancy+MF_Concessions+MF_BadDebt)+CL$103*(1-(CL$99/MF_UnitCount)))</f>
        <v/>
      </c>
      <c r="CM105" s="52">
        <f>-(CM$103*(MF_Vacancy+MF_Concessions+MF_BadDebt)+CM$103*(1-(CM$99/MF_UnitCount)))</f>
        <v/>
      </c>
      <c r="CN105" s="52">
        <f>-(CN$103*(MF_Vacancy+MF_Concessions+MF_BadDebt)+CN$103*(1-(CN$99/MF_UnitCount)))</f>
        <v/>
      </c>
      <c r="CO105" s="52">
        <f>-(CO$103*(MF_Vacancy+MF_Concessions+MF_BadDebt)+CO$103*(1-(CO$99/MF_UnitCount)))</f>
        <v/>
      </c>
      <c r="CP105" s="52">
        <f>-(CP$103*(MF_Vacancy+MF_Concessions+MF_BadDebt)+CP$103*(1-(CP$99/MF_UnitCount)))</f>
        <v/>
      </c>
      <c r="CQ105" s="52">
        <f>-(CQ$103*(MF_Vacancy+MF_Concessions+MF_BadDebt)+CQ$103*(1-(CQ$99/MF_UnitCount)))</f>
        <v/>
      </c>
      <c r="CR105" s="52">
        <f>-(CR$103*(MF_Vacancy+MF_Concessions+MF_BadDebt)+CR$103*(1-(CR$99/MF_UnitCount)))</f>
        <v/>
      </c>
      <c r="CS105" s="52">
        <f>-(CS$103*(MF_Vacancy+MF_Concessions+MF_BadDebt)+CS$103*(1-(CS$99/MF_UnitCount)))</f>
        <v/>
      </c>
      <c r="CT105" s="52">
        <f>-(CT$103*(MF_Vacancy+MF_Concessions+MF_BadDebt)+CT$103*(1-(CT$99/MF_UnitCount)))</f>
        <v/>
      </c>
      <c r="CU105" s="52">
        <f>-(CU$103*(MF_Vacancy+MF_Concessions+MF_BadDebt)+CU$103*(1-(CU$99/MF_UnitCount)))</f>
        <v/>
      </c>
      <c r="CV105" s="52">
        <f>-(CV$103*(MF_Vacancy+MF_Concessions+MF_BadDebt)+CV$103*(1-(CV$99/MF_UnitCount)))</f>
        <v/>
      </c>
      <c r="CW105" s="52">
        <f>-(CW$103*(MF_Vacancy+MF_Concessions+MF_BadDebt)+CW$103*(1-(CW$99/MF_UnitCount)))</f>
        <v/>
      </c>
      <c r="CX105" s="52">
        <f>-(CX$103*(MF_Vacancy+MF_Concessions+MF_BadDebt)+CX$103*(1-(CX$99/MF_UnitCount)))</f>
        <v/>
      </c>
      <c r="CY105" s="52">
        <f>-(CY$103*(MF_Vacancy+MF_Concessions+MF_BadDebt)+CY$103*(1-(CY$99/MF_UnitCount)))</f>
        <v/>
      </c>
      <c r="CZ105" s="52">
        <f>-(CZ$103*(MF_Vacancy+MF_Concessions+MF_BadDebt)+CZ$103*(1-(CZ$99/MF_UnitCount)))</f>
        <v/>
      </c>
      <c r="DA105" s="52">
        <f>-(DA$103*(MF_Vacancy+MF_Concessions+MF_BadDebt)+DA$103*(1-(DA$99/MF_UnitCount)))</f>
        <v/>
      </c>
      <c r="DB105" s="52">
        <f>-(DB$103*(MF_Vacancy+MF_Concessions+MF_BadDebt)+DB$103*(1-(DB$99/MF_UnitCount)))</f>
        <v/>
      </c>
      <c r="DC105" s="52">
        <f>-(DC$103*(MF_Vacancy+MF_Concessions+MF_BadDebt)+DC$103*(1-(DC$99/MF_UnitCount)))</f>
        <v/>
      </c>
      <c r="DD105" s="52">
        <f>-(DD$103*(MF_Vacancy+MF_Concessions+MF_BadDebt)+DD$103*(1-(DD$99/MF_UnitCount)))</f>
        <v/>
      </c>
      <c r="DE105" s="52">
        <f>-(DE$103*(MF_Vacancy+MF_Concessions+MF_BadDebt)+DE$103*(1-(DE$99/MF_UnitCount)))</f>
        <v/>
      </c>
      <c r="DF105" s="52">
        <f>-(DF$103*(MF_Vacancy+MF_Concessions+MF_BadDebt)+DF$103*(1-(DF$99/MF_UnitCount)))</f>
        <v/>
      </c>
      <c r="DG105" s="52">
        <f>-(DG$103*(MF_Vacancy+MF_Concessions+MF_BadDebt)+DG$103*(1-(DG$99/MF_UnitCount)))</f>
        <v/>
      </c>
      <c r="DH105" s="52">
        <f>-(DH$103*(MF_Vacancy+MF_Concessions+MF_BadDebt)+DH$103*(1-(DH$99/MF_UnitCount)))</f>
        <v/>
      </c>
      <c r="DI105" s="52">
        <f>-(DI$103*(MF_Vacancy+MF_Concessions+MF_BadDebt)+DI$103*(1-(DI$99/MF_UnitCount)))</f>
        <v/>
      </c>
      <c r="DJ105" s="52">
        <f>-(DJ$103*(MF_Vacancy+MF_Concessions+MF_BadDebt)+DJ$103*(1-(DJ$99/MF_UnitCount)))</f>
        <v/>
      </c>
      <c r="DK105" s="52">
        <f>-(DK$103*(MF_Vacancy+MF_Concessions+MF_BadDebt)+DK$103*(1-(DK$99/MF_UnitCount)))</f>
        <v/>
      </c>
      <c r="DL105" s="52">
        <f>-(DL$103*(MF_Vacancy+MF_Concessions+MF_BadDebt)+DL$103*(1-(DL$99/MF_UnitCount)))</f>
        <v/>
      </c>
      <c r="DM105" s="52">
        <f>-(DM$103*(MF_Vacancy+MF_Concessions+MF_BadDebt)+DM$103*(1-(DM$99/MF_UnitCount)))</f>
        <v/>
      </c>
      <c r="DN105" s="52">
        <f>-(DN$103*(MF_Vacancy+MF_Concessions+MF_BadDebt)+DN$103*(1-(DN$99/MF_UnitCount)))</f>
        <v/>
      </c>
      <c r="DO105" s="52">
        <f>-(DO$103*(MF_Vacancy+MF_Concessions+MF_BadDebt)+DO$103*(1-(DO$99/MF_UnitCount)))</f>
        <v/>
      </c>
      <c r="DP105" s="52">
        <f>-(DP$103*(MF_Vacancy+MF_Concessions+MF_BadDebt)+DP$103*(1-(DP$99/MF_UnitCount)))</f>
        <v/>
      </c>
      <c r="DQ105" s="52">
        <f>-(DQ$103*(MF_Vacancy+MF_Concessions+MF_BadDebt)+DQ$103*(1-(DQ$99/MF_UnitCount)))</f>
        <v/>
      </c>
      <c r="DR105" s="52">
        <f>-(DR$103*(MF_Vacancy+MF_Concessions+MF_BadDebt)+DR$103*(1-(DR$99/MF_UnitCount)))</f>
        <v/>
      </c>
      <c r="DS105" s="52">
        <f>-(DS$103*(MF_Vacancy+MF_Concessions+MF_BadDebt)+DS$103*(1-(DS$99/MF_UnitCount)))</f>
        <v/>
      </c>
      <c r="DT105" s="52">
        <f>-(DT$103*(MF_Vacancy+MF_Concessions+MF_BadDebt)+DT$103*(1-(DT$99/MF_UnitCount)))</f>
        <v/>
      </c>
    </row>
    <row r="106">
      <c r="A106" s="3" t="inlineStr">
        <is>
          <t>Other income — itemized ($/unit/mo)</t>
        </is>
      </c>
    </row>
    <row r="107">
      <c r="A107" s="10" t="inlineStr">
        <is>
          <t xml:space="preserve">  RUBS / utility reimbursement</t>
        </is>
      </c>
      <c r="B107" s="55" t="n">
        <v>45</v>
      </c>
      <c r="E107" s="52">
        <f>$B$107*E$99*INDEX(Cum_OtherInc,1,Assumptions!E$77)*Assumptions!E$74</f>
        <v/>
      </c>
      <c r="F107" s="52">
        <f>$B$107*F$99*INDEX(Cum_OtherInc,1,Assumptions!F$77)*Assumptions!F$74</f>
        <v/>
      </c>
      <c r="G107" s="52">
        <f>$B$107*G$99*INDEX(Cum_OtherInc,1,Assumptions!G$77)*Assumptions!G$74</f>
        <v/>
      </c>
      <c r="H107" s="52">
        <f>$B$107*H$99*INDEX(Cum_OtherInc,1,Assumptions!H$77)*Assumptions!H$74</f>
        <v/>
      </c>
      <c r="I107" s="52">
        <f>$B$107*I$99*INDEX(Cum_OtherInc,1,Assumptions!I$77)*Assumptions!I$74</f>
        <v/>
      </c>
      <c r="J107" s="52">
        <f>$B$107*J$99*INDEX(Cum_OtherInc,1,Assumptions!J$77)*Assumptions!J$74</f>
        <v/>
      </c>
      <c r="K107" s="52">
        <f>$B$107*K$99*INDEX(Cum_OtherInc,1,Assumptions!K$77)*Assumptions!K$74</f>
        <v/>
      </c>
      <c r="L107" s="52">
        <f>$B$107*L$99*INDEX(Cum_OtherInc,1,Assumptions!L$77)*Assumptions!L$74</f>
        <v/>
      </c>
      <c r="M107" s="52">
        <f>$B$107*M$99*INDEX(Cum_OtherInc,1,Assumptions!M$77)*Assumptions!M$74</f>
        <v/>
      </c>
      <c r="N107" s="52">
        <f>$B$107*N$99*INDEX(Cum_OtherInc,1,Assumptions!N$77)*Assumptions!N$74</f>
        <v/>
      </c>
      <c r="O107" s="52">
        <f>$B$107*O$99*INDEX(Cum_OtherInc,1,Assumptions!O$77)*Assumptions!O$74</f>
        <v/>
      </c>
      <c r="P107" s="52">
        <f>$B$107*P$99*INDEX(Cum_OtherInc,1,Assumptions!P$77)*Assumptions!P$74</f>
        <v/>
      </c>
      <c r="Q107" s="52">
        <f>$B$107*Q$99*INDEX(Cum_OtherInc,1,Assumptions!Q$77)*Assumptions!Q$74</f>
        <v/>
      </c>
      <c r="R107" s="52">
        <f>$B$107*R$99*INDEX(Cum_OtherInc,1,Assumptions!R$77)*Assumptions!R$74</f>
        <v/>
      </c>
      <c r="S107" s="52">
        <f>$B$107*S$99*INDEX(Cum_OtherInc,1,Assumptions!S$77)*Assumptions!S$74</f>
        <v/>
      </c>
      <c r="T107" s="52">
        <f>$B$107*T$99*INDEX(Cum_OtherInc,1,Assumptions!T$77)*Assumptions!T$74</f>
        <v/>
      </c>
      <c r="U107" s="52">
        <f>$B$107*U$99*INDEX(Cum_OtherInc,1,Assumptions!U$77)*Assumptions!U$74</f>
        <v/>
      </c>
      <c r="V107" s="52">
        <f>$B$107*V$99*INDEX(Cum_OtherInc,1,Assumptions!V$77)*Assumptions!V$74</f>
        <v/>
      </c>
      <c r="W107" s="52">
        <f>$B$107*W$99*INDEX(Cum_OtherInc,1,Assumptions!W$77)*Assumptions!W$74</f>
        <v/>
      </c>
      <c r="X107" s="52">
        <f>$B$107*X$99*INDEX(Cum_OtherInc,1,Assumptions!X$77)*Assumptions!X$74</f>
        <v/>
      </c>
      <c r="Y107" s="52">
        <f>$B$107*Y$99*INDEX(Cum_OtherInc,1,Assumptions!Y$77)*Assumptions!Y$74</f>
        <v/>
      </c>
      <c r="Z107" s="52">
        <f>$B$107*Z$99*INDEX(Cum_OtherInc,1,Assumptions!Z$77)*Assumptions!Z$74</f>
        <v/>
      </c>
      <c r="AA107" s="52">
        <f>$B$107*AA$99*INDEX(Cum_OtherInc,1,Assumptions!AA$77)*Assumptions!AA$74</f>
        <v/>
      </c>
      <c r="AB107" s="52">
        <f>$B$107*AB$99*INDEX(Cum_OtherInc,1,Assumptions!AB$77)*Assumptions!AB$74</f>
        <v/>
      </c>
      <c r="AC107" s="52">
        <f>$B$107*AC$99*INDEX(Cum_OtherInc,1,Assumptions!AC$77)*Assumptions!AC$74</f>
        <v/>
      </c>
      <c r="AD107" s="52">
        <f>$B$107*AD$99*INDEX(Cum_OtherInc,1,Assumptions!AD$77)*Assumptions!AD$74</f>
        <v/>
      </c>
      <c r="AE107" s="52">
        <f>$B$107*AE$99*INDEX(Cum_OtherInc,1,Assumptions!AE$77)*Assumptions!AE$74</f>
        <v/>
      </c>
      <c r="AF107" s="52">
        <f>$B$107*AF$99*INDEX(Cum_OtherInc,1,Assumptions!AF$77)*Assumptions!AF$74</f>
        <v/>
      </c>
      <c r="AG107" s="52">
        <f>$B$107*AG$99*INDEX(Cum_OtherInc,1,Assumptions!AG$77)*Assumptions!AG$74</f>
        <v/>
      </c>
      <c r="AH107" s="52">
        <f>$B$107*AH$99*INDEX(Cum_OtherInc,1,Assumptions!AH$77)*Assumptions!AH$74</f>
        <v/>
      </c>
      <c r="AI107" s="52">
        <f>$B$107*AI$99*INDEX(Cum_OtherInc,1,Assumptions!AI$77)*Assumptions!AI$74</f>
        <v/>
      </c>
      <c r="AJ107" s="52">
        <f>$B$107*AJ$99*INDEX(Cum_OtherInc,1,Assumptions!AJ$77)*Assumptions!AJ$74</f>
        <v/>
      </c>
      <c r="AK107" s="52">
        <f>$B$107*AK$99*INDEX(Cum_OtherInc,1,Assumptions!AK$77)*Assumptions!AK$74</f>
        <v/>
      </c>
      <c r="AL107" s="52">
        <f>$B$107*AL$99*INDEX(Cum_OtherInc,1,Assumptions!AL$77)*Assumptions!AL$74</f>
        <v/>
      </c>
      <c r="AM107" s="52">
        <f>$B$107*AM$99*INDEX(Cum_OtherInc,1,Assumptions!AM$77)*Assumptions!AM$74</f>
        <v/>
      </c>
      <c r="AN107" s="52">
        <f>$B$107*AN$99*INDEX(Cum_OtherInc,1,Assumptions!AN$77)*Assumptions!AN$74</f>
        <v/>
      </c>
      <c r="AO107" s="52">
        <f>$B$107*AO$99*INDEX(Cum_OtherInc,1,Assumptions!AO$77)*Assumptions!AO$74</f>
        <v/>
      </c>
      <c r="AP107" s="52">
        <f>$B$107*AP$99*INDEX(Cum_OtherInc,1,Assumptions!AP$77)*Assumptions!AP$74</f>
        <v/>
      </c>
      <c r="AQ107" s="52">
        <f>$B$107*AQ$99*INDEX(Cum_OtherInc,1,Assumptions!AQ$77)*Assumptions!AQ$74</f>
        <v/>
      </c>
      <c r="AR107" s="52">
        <f>$B$107*AR$99*INDEX(Cum_OtherInc,1,Assumptions!AR$77)*Assumptions!AR$74</f>
        <v/>
      </c>
      <c r="AS107" s="52">
        <f>$B$107*AS$99*INDEX(Cum_OtherInc,1,Assumptions!AS$77)*Assumptions!AS$74</f>
        <v/>
      </c>
      <c r="AT107" s="52">
        <f>$B$107*AT$99*INDEX(Cum_OtherInc,1,Assumptions!AT$77)*Assumptions!AT$74</f>
        <v/>
      </c>
      <c r="AU107" s="52">
        <f>$B$107*AU$99*INDEX(Cum_OtherInc,1,Assumptions!AU$77)*Assumptions!AU$74</f>
        <v/>
      </c>
      <c r="AV107" s="52">
        <f>$B$107*AV$99*INDEX(Cum_OtherInc,1,Assumptions!AV$77)*Assumptions!AV$74</f>
        <v/>
      </c>
      <c r="AW107" s="52">
        <f>$B$107*AW$99*INDEX(Cum_OtherInc,1,Assumptions!AW$77)*Assumptions!AW$74</f>
        <v/>
      </c>
      <c r="AX107" s="52">
        <f>$B$107*AX$99*INDEX(Cum_OtherInc,1,Assumptions!AX$77)*Assumptions!AX$74</f>
        <v/>
      </c>
      <c r="AY107" s="52">
        <f>$B$107*AY$99*INDEX(Cum_OtherInc,1,Assumptions!AY$77)*Assumptions!AY$74</f>
        <v/>
      </c>
      <c r="AZ107" s="52">
        <f>$B$107*AZ$99*INDEX(Cum_OtherInc,1,Assumptions!AZ$77)*Assumptions!AZ$74</f>
        <v/>
      </c>
      <c r="BA107" s="52">
        <f>$B$107*BA$99*INDEX(Cum_OtherInc,1,Assumptions!BA$77)*Assumptions!BA$74</f>
        <v/>
      </c>
      <c r="BB107" s="52">
        <f>$B$107*BB$99*INDEX(Cum_OtherInc,1,Assumptions!BB$77)*Assumptions!BB$74</f>
        <v/>
      </c>
      <c r="BC107" s="52">
        <f>$B$107*BC$99*INDEX(Cum_OtherInc,1,Assumptions!BC$77)*Assumptions!BC$74</f>
        <v/>
      </c>
      <c r="BD107" s="52">
        <f>$B$107*BD$99*INDEX(Cum_OtherInc,1,Assumptions!BD$77)*Assumptions!BD$74</f>
        <v/>
      </c>
      <c r="BE107" s="52">
        <f>$B$107*BE$99*INDEX(Cum_OtherInc,1,Assumptions!BE$77)*Assumptions!BE$74</f>
        <v/>
      </c>
      <c r="BF107" s="52">
        <f>$B$107*BF$99*INDEX(Cum_OtherInc,1,Assumptions!BF$77)*Assumptions!BF$74</f>
        <v/>
      </c>
      <c r="BG107" s="52">
        <f>$B$107*BG$99*INDEX(Cum_OtherInc,1,Assumptions!BG$77)*Assumptions!BG$74</f>
        <v/>
      </c>
      <c r="BH107" s="52">
        <f>$B$107*BH$99*INDEX(Cum_OtherInc,1,Assumptions!BH$77)*Assumptions!BH$74</f>
        <v/>
      </c>
      <c r="BI107" s="52">
        <f>$B$107*BI$99*INDEX(Cum_OtherInc,1,Assumptions!BI$77)*Assumptions!BI$74</f>
        <v/>
      </c>
      <c r="BJ107" s="52">
        <f>$B$107*BJ$99*INDEX(Cum_OtherInc,1,Assumptions!BJ$77)*Assumptions!BJ$74</f>
        <v/>
      </c>
      <c r="BK107" s="52">
        <f>$B$107*BK$99*INDEX(Cum_OtherInc,1,Assumptions!BK$77)*Assumptions!BK$74</f>
        <v/>
      </c>
      <c r="BL107" s="52">
        <f>$B$107*BL$99*INDEX(Cum_OtherInc,1,Assumptions!BL$77)*Assumptions!BL$74</f>
        <v/>
      </c>
      <c r="BM107" s="52">
        <f>$B$107*BM$99*INDEX(Cum_OtherInc,1,Assumptions!BM$77)*Assumptions!BM$74</f>
        <v/>
      </c>
      <c r="BN107" s="52">
        <f>$B$107*BN$99*INDEX(Cum_OtherInc,1,Assumptions!BN$77)*Assumptions!BN$74</f>
        <v/>
      </c>
      <c r="BO107" s="52">
        <f>$B$107*BO$99*INDEX(Cum_OtherInc,1,Assumptions!BO$77)*Assumptions!BO$74</f>
        <v/>
      </c>
      <c r="BP107" s="52">
        <f>$B$107*BP$99*INDEX(Cum_OtherInc,1,Assumptions!BP$77)*Assumptions!BP$74</f>
        <v/>
      </c>
      <c r="BQ107" s="52">
        <f>$B$107*BQ$99*INDEX(Cum_OtherInc,1,Assumptions!BQ$77)*Assumptions!BQ$74</f>
        <v/>
      </c>
      <c r="BR107" s="52">
        <f>$B$107*BR$99*INDEX(Cum_OtherInc,1,Assumptions!BR$77)*Assumptions!BR$74</f>
        <v/>
      </c>
      <c r="BS107" s="52">
        <f>$B$107*BS$99*INDEX(Cum_OtherInc,1,Assumptions!BS$77)*Assumptions!BS$74</f>
        <v/>
      </c>
      <c r="BT107" s="52">
        <f>$B$107*BT$99*INDEX(Cum_OtherInc,1,Assumptions!BT$77)*Assumptions!BT$74</f>
        <v/>
      </c>
      <c r="BU107" s="52">
        <f>$B$107*BU$99*INDEX(Cum_OtherInc,1,Assumptions!BU$77)*Assumptions!BU$74</f>
        <v/>
      </c>
      <c r="BV107" s="52">
        <f>$B$107*BV$99*INDEX(Cum_OtherInc,1,Assumptions!BV$77)*Assumptions!BV$74</f>
        <v/>
      </c>
      <c r="BW107" s="52">
        <f>$B$107*BW$99*INDEX(Cum_OtherInc,1,Assumptions!BW$77)*Assumptions!BW$74</f>
        <v/>
      </c>
      <c r="BX107" s="52">
        <f>$B$107*BX$99*INDEX(Cum_OtherInc,1,Assumptions!BX$77)*Assumptions!BX$74</f>
        <v/>
      </c>
      <c r="BY107" s="52">
        <f>$B$107*BY$99*INDEX(Cum_OtherInc,1,Assumptions!BY$77)*Assumptions!BY$74</f>
        <v/>
      </c>
      <c r="BZ107" s="52">
        <f>$B$107*BZ$99*INDEX(Cum_OtherInc,1,Assumptions!BZ$77)*Assumptions!BZ$74</f>
        <v/>
      </c>
      <c r="CA107" s="52">
        <f>$B$107*CA$99*INDEX(Cum_OtherInc,1,Assumptions!CA$77)*Assumptions!CA$74</f>
        <v/>
      </c>
      <c r="CB107" s="52">
        <f>$B$107*CB$99*INDEX(Cum_OtherInc,1,Assumptions!CB$77)*Assumptions!CB$74</f>
        <v/>
      </c>
      <c r="CC107" s="52">
        <f>$B$107*CC$99*INDEX(Cum_OtherInc,1,Assumptions!CC$77)*Assumptions!CC$74</f>
        <v/>
      </c>
      <c r="CD107" s="52">
        <f>$B$107*CD$99*INDEX(Cum_OtherInc,1,Assumptions!CD$77)*Assumptions!CD$74</f>
        <v/>
      </c>
      <c r="CE107" s="52">
        <f>$B$107*CE$99*INDEX(Cum_OtherInc,1,Assumptions!CE$77)*Assumptions!CE$74</f>
        <v/>
      </c>
      <c r="CF107" s="52">
        <f>$B$107*CF$99*INDEX(Cum_OtherInc,1,Assumptions!CF$77)*Assumptions!CF$74</f>
        <v/>
      </c>
      <c r="CG107" s="52">
        <f>$B$107*CG$99*INDEX(Cum_OtherInc,1,Assumptions!CG$77)*Assumptions!CG$74</f>
        <v/>
      </c>
      <c r="CH107" s="52">
        <f>$B$107*CH$99*INDEX(Cum_OtherInc,1,Assumptions!CH$77)*Assumptions!CH$74</f>
        <v/>
      </c>
      <c r="CI107" s="52">
        <f>$B$107*CI$99*INDEX(Cum_OtherInc,1,Assumptions!CI$77)*Assumptions!CI$74</f>
        <v/>
      </c>
      <c r="CJ107" s="52">
        <f>$B$107*CJ$99*INDEX(Cum_OtherInc,1,Assumptions!CJ$77)*Assumptions!CJ$74</f>
        <v/>
      </c>
      <c r="CK107" s="52">
        <f>$B$107*CK$99*INDEX(Cum_OtherInc,1,Assumptions!CK$77)*Assumptions!CK$74</f>
        <v/>
      </c>
      <c r="CL107" s="52">
        <f>$B$107*CL$99*INDEX(Cum_OtherInc,1,Assumptions!CL$77)*Assumptions!CL$74</f>
        <v/>
      </c>
      <c r="CM107" s="52">
        <f>$B$107*CM$99*INDEX(Cum_OtherInc,1,Assumptions!CM$77)*Assumptions!CM$74</f>
        <v/>
      </c>
      <c r="CN107" s="52">
        <f>$B$107*CN$99*INDEX(Cum_OtherInc,1,Assumptions!CN$77)*Assumptions!CN$74</f>
        <v/>
      </c>
      <c r="CO107" s="52">
        <f>$B$107*CO$99*INDEX(Cum_OtherInc,1,Assumptions!CO$77)*Assumptions!CO$74</f>
        <v/>
      </c>
      <c r="CP107" s="52">
        <f>$B$107*CP$99*INDEX(Cum_OtherInc,1,Assumptions!CP$77)*Assumptions!CP$74</f>
        <v/>
      </c>
      <c r="CQ107" s="52">
        <f>$B$107*CQ$99*INDEX(Cum_OtherInc,1,Assumptions!CQ$77)*Assumptions!CQ$74</f>
        <v/>
      </c>
      <c r="CR107" s="52">
        <f>$B$107*CR$99*INDEX(Cum_OtherInc,1,Assumptions!CR$77)*Assumptions!CR$74</f>
        <v/>
      </c>
      <c r="CS107" s="52">
        <f>$B$107*CS$99*INDEX(Cum_OtherInc,1,Assumptions!CS$77)*Assumptions!CS$74</f>
        <v/>
      </c>
      <c r="CT107" s="52">
        <f>$B$107*CT$99*INDEX(Cum_OtherInc,1,Assumptions!CT$77)*Assumptions!CT$74</f>
        <v/>
      </c>
      <c r="CU107" s="52">
        <f>$B$107*CU$99*INDEX(Cum_OtherInc,1,Assumptions!CU$77)*Assumptions!CU$74</f>
        <v/>
      </c>
      <c r="CV107" s="52">
        <f>$B$107*CV$99*INDEX(Cum_OtherInc,1,Assumptions!CV$77)*Assumptions!CV$74</f>
        <v/>
      </c>
      <c r="CW107" s="52">
        <f>$B$107*CW$99*INDEX(Cum_OtherInc,1,Assumptions!CW$77)*Assumptions!CW$74</f>
        <v/>
      </c>
      <c r="CX107" s="52">
        <f>$B$107*CX$99*INDEX(Cum_OtherInc,1,Assumptions!CX$77)*Assumptions!CX$74</f>
        <v/>
      </c>
      <c r="CY107" s="52">
        <f>$B$107*CY$99*INDEX(Cum_OtherInc,1,Assumptions!CY$77)*Assumptions!CY$74</f>
        <v/>
      </c>
      <c r="CZ107" s="52">
        <f>$B$107*CZ$99*INDEX(Cum_OtherInc,1,Assumptions!CZ$77)*Assumptions!CZ$74</f>
        <v/>
      </c>
      <c r="DA107" s="52">
        <f>$B$107*DA$99*INDEX(Cum_OtherInc,1,Assumptions!DA$77)*Assumptions!DA$74</f>
        <v/>
      </c>
      <c r="DB107" s="52">
        <f>$B$107*DB$99*INDEX(Cum_OtherInc,1,Assumptions!DB$77)*Assumptions!DB$74</f>
        <v/>
      </c>
      <c r="DC107" s="52">
        <f>$B$107*DC$99*INDEX(Cum_OtherInc,1,Assumptions!DC$77)*Assumptions!DC$74</f>
        <v/>
      </c>
      <c r="DD107" s="52">
        <f>$B$107*DD$99*INDEX(Cum_OtherInc,1,Assumptions!DD$77)*Assumptions!DD$74</f>
        <v/>
      </c>
      <c r="DE107" s="52">
        <f>$B$107*DE$99*INDEX(Cum_OtherInc,1,Assumptions!DE$77)*Assumptions!DE$74</f>
        <v/>
      </c>
      <c r="DF107" s="52">
        <f>$B$107*DF$99*INDEX(Cum_OtherInc,1,Assumptions!DF$77)*Assumptions!DF$74</f>
        <v/>
      </c>
      <c r="DG107" s="52">
        <f>$B$107*DG$99*INDEX(Cum_OtherInc,1,Assumptions!DG$77)*Assumptions!DG$74</f>
        <v/>
      </c>
      <c r="DH107" s="52">
        <f>$B$107*DH$99*INDEX(Cum_OtherInc,1,Assumptions!DH$77)*Assumptions!DH$74</f>
        <v/>
      </c>
      <c r="DI107" s="52">
        <f>$B$107*DI$99*INDEX(Cum_OtherInc,1,Assumptions!DI$77)*Assumptions!DI$74</f>
        <v/>
      </c>
      <c r="DJ107" s="52">
        <f>$B$107*DJ$99*INDEX(Cum_OtherInc,1,Assumptions!DJ$77)*Assumptions!DJ$74</f>
        <v/>
      </c>
      <c r="DK107" s="52">
        <f>$B$107*DK$99*INDEX(Cum_OtherInc,1,Assumptions!DK$77)*Assumptions!DK$74</f>
        <v/>
      </c>
      <c r="DL107" s="52">
        <f>$B$107*DL$99*INDEX(Cum_OtherInc,1,Assumptions!DL$77)*Assumptions!DL$74</f>
        <v/>
      </c>
      <c r="DM107" s="52">
        <f>$B$107*DM$99*INDEX(Cum_OtherInc,1,Assumptions!DM$77)*Assumptions!DM$74</f>
        <v/>
      </c>
      <c r="DN107" s="52">
        <f>$B$107*DN$99*INDEX(Cum_OtherInc,1,Assumptions!DN$77)*Assumptions!DN$74</f>
        <v/>
      </c>
      <c r="DO107" s="52">
        <f>$B$107*DO$99*INDEX(Cum_OtherInc,1,Assumptions!DO$77)*Assumptions!DO$74</f>
        <v/>
      </c>
      <c r="DP107" s="52">
        <f>$B$107*DP$99*INDEX(Cum_OtherInc,1,Assumptions!DP$77)*Assumptions!DP$74</f>
        <v/>
      </c>
      <c r="DQ107" s="52">
        <f>$B$107*DQ$99*INDEX(Cum_OtherInc,1,Assumptions!DQ$77)*Assumptions!DQ$74</f>
        <v/>
      </c>
      <c r="DR107" s="52">
        <f>$B$107*DR$99*INDEX(Cum_OtherInc,1,Assumptions!DR$77)*Assumptions!DR$74</f>
        <v/>
      </c>
      <c r="DS107" s="52">
        <f>$B$107*DS$99*INDEX(Cum_OtherInc,1,Assumptions!DS$77)*Assumptions!DS$74</f>
        <v/>
      </c>
      <c r="DT107" s="52">
        <f>$B$107*DT$99*INDEX(Cum_OtherInc,1,Assumptions!DT$77)*Assumptions!DT$74</f>
        <v/>
      </c>
    </row>
    <row r="108">
      <c r="A108" s="10" t="inlineStr">
        <is>
          <t xml:space="preserve">  Parking</t>
        </is>
      </c>
      <c r="B108" s="55" t="n">
        <v>30</v>
      </c>
      <c r="E108" s="52">
        <f>$B$108*E$99*INDEX(Cum_OtherInc,1,Assumptions!E$77)*Assumptions!E$74</f>
        <v/>
      </c>
      <c r="F108" s="52">
        <f>$B$108*F$99*INDEX(Cum_OtherInc,1,Assumptions!F$77)*Assumptions!F$74</f>
        <v/>
      </c>
      <c r="G108" s="52">
        <f>$B$108*G$99*INDEX(Cum_OtherInc,1,Assumptions!G$77)*Assumptions!G$74</f>
        <v/>
      </c>
      <c r="H108" s="52">
        <f>$B$108*H$99*INDEX(Cum_OtherInc,1,Assumptions!H$77)*Assumptions!H$74</f>
        <v/>
      </c>
      <c r="I108" s="52">
        <f>$B$108*I$99*INDEX(Cum_OtherInc,1,Assumptions!I$77)*Assumptions!I$74</f>
        <v/>
      </c>
      <c r="J108" s="52">
        <f>$B$108*J$99*INDEX(Cum_OtherInc,1,Assumptions!J$77)*Assumptions!J$74</f>
        <v/>
      </c>
      <c r="K108" s="52">
        <f>$B$108*K$99*INDEX(Cum_OtherInc,1,Assumptions!K$77)*Assumptions!K$74</f>
        <v/>
      </c>
      <c r="L108" s="52">
        <f>$B$108*L$99*INDEX(Cum_OtherInc,1,Assumptions!L$77)*Assumptions!L$74</f>
        <v/>
      </c>
      <c r="M108" s="52">
        <f>$B$108*M$99*INDEX(Cum_OtherInc,1,Assumptions!M$77)*Assumptions!M$74</f>
        <v/>
      </c>
      <c r="N108" s="52">
        <f>$B$108*N$99*INDEX(Cum_OtherInc,1,Assumptions!N$77)*Assumptions!N$74</f>
        <v/>
      </c>
      <c r="O108" s="52">
        <f>$B$108*O$99*INDEX(Cum_OtherInc,1,Assumptions!O$77)*Assumptions!O$74</f>
        <v/>
      </c>
      <c r="P108" s="52">
        <f>$B$108*P$99*INDEX(Cum_OtherInc,1,Assumptions!P$77)*Assumptions!P$74</f>
        <v/>
      </c>
      <c r="Q108" s="52">
        <f>$B$108*Q$99*INDEX(Cum_OtherInc,1,Assumptions!Q$77)*Assumptions!Q$74</f>
        <v/>
      </c>
      <c r="R108" s="52">
        <f>$B$108*R$99*INDEX(Cum_OtherInc,1,Assumptions!R$77)*Assumptions!R$74</f>
        <v/>
      </c>
      <c r="S108" s="52">
        <f>$B$108*S$99*INDEX(Cum_OtherInc,1,Assumptions!S$77)*Assumptions!S$74</f>
        <v/>
      </c>
      <c r="T108" s="52">
        <f>$B$108*T$99*INDEX(Cum_OtherInc,1,Assumptions!T$77)*Assumptions!T$74</f>
        <v/>
      </c>
      <c r="U108" s="52">
        <f>$B$108*U$99*INDEX(Cum_OtherInc,1,Assumptions!U$77)*Assumptions!U$74</f>
        <v/>
      </c>
      <c r="V108" s="52">
        <f>$B$108*V$99*INDEX(Cum_OtherInc,1,Assumptions!V$77)*Assumptions!V$74</f>
        <v/>
      </c>
      <c r="W108" s="52">
        <f>$B$108*W$99*INDEX(Cum_OtherInc,1,Assumptions!W$77)*Assumptions!W$74</f>
        <v/>
      </c>
      <c r="X108" s="52">
        <f>$B$108*X$99*INDEX(Cum_OtherInc,1,Assumptions!X$77)*Assumptions!X$74</f>
        <v/>
      </c>
      <c r="Y108" s="52">
        <f>$B$108*Y$99*INDEX(Cum_OtherInc,1,Assumptions!Y$77)*Assumptions!Y$74</f>
        <v/>
      </c>
      <c r="Z108" s="52">
        <f>$B$108*Z$99*INDEX(Cum_OtherInc,1,Assumptions!Z$77)*Assumptions!Z$74</f>
        <v/>
      </c>
      <c r="AA108" s="52">
        <f>$B$108*AA$99*INDEX(Cum_OtherInc,1,Assumptions!AA$77)*Assumptions!AA$74</f>
        <v/>
      </c>
      <c r="AB108" s="52">
        <f>$B$108*AB$99*INDEX(Cum_OtherInc,1,Assumptions!AB$77)*Assumptions!AB$74</f>
        <v/>
      </c>
      <c r="AC108" s="52">
        <f>$B$108*AC$99*INDEX(Cum_OtherInc,1,Assumptions!AC$77)*Assumptions!AC$74</f>
        <v/>
      </c>
      <c r="AD108" s="52">
        <f>$B$108*AD$99*INDEX(Cum_OtherInc,1,Assumptions!AD$77)*Assumptions!AD$74</f>
        <v/>
      </c>
      <c r="AE108" s="52">
        <f>$B$108*AE$99*INDEX(Cum_OtherInc,1,Assumptions!AE$77)*Assumptions!AE$74</f>
        <v/>
      </c>
      <c r="AF108" s="52">
        <f>$B$108*AF$99*INDEX(Cum_OtherInc,1,Assumptions!AF$77)*Assumptions!AF$74</f>
        <v/>
      </c>
      <c r="AG108" s="52">
        <f>$B$108*AG$99*INDEX(Cum_OtherInc,1,Assumptions!AG$77)*Assumptions!AG$74</f>
        <v/>
      </c>
      <c r="AH108" s="52">
        <f>$B$108*AH$99*INDEX(Cum_OtherInc,1,Assumptions!AH$77)*Assumptions!AH$74</f>
        <v/>
      </c>
      <c r="AI108" s="52">
        <f>$B$108*AI$99*INDEX(Cum_OtherInc,1,Assumptions!AI$77)*Assumptions!AI$74</f>
        <v/>
      </c>
      <c r="AJ108" s="52">
        <f>$B$108*AJ$99*INDEX(Cum_OtherInc,1,Assumptions!AJ$77)*Assumptions!AJ$74</f>
        <v/>
      </c>
      <c r="AK108" s="52">
        <f>$B$108*AK$99*INDEX(Cum_OtherInc,1,Assumptions!AK$77)*Assumptions!AK$74</f>
        <v/>
      </c>
      <c r="AL108" s="52">
        <f>$B$108*AL$99*INDEX(Cum_OtherInc,1,Assumptions!AL$77)*Assumptions!AL$74</f>
        <v/>
      </c>
      <c r="AM108" s="52">
        <f>$B$108*AM$99*INDEX(Cum_OtherInc,1,Assumptions!AM$77)*Assumptions!AM$74</f>
        <v/>
      </c>
      <c r="AN108" s="52">
        <f>$B$108*AN$99*INDEX(Cum_OtherInc,1,Assumptions!AN$77)*Assumptions!AN$74</f>
        <v/>
      </c>
      <c r="AO108" s="52">
        <f>$B$108*AO$99*INDEX(Cum_OtherInc,1,Assumptions!AO$77)*Assumptions!AO$74</f>
        <v/>
      </c>
      <c r="AP108" s="52">
        <f>$B$108*AP$99*INDEX(Cum_OtherInc,1,Assumptions!AP$77)*Assumptions!AP$74</f>
        <v/>
      </c>
      <c r="AQ108" s="52">
        <f>$B$108*AQ$99*INDEX(Cum_OtherInc,1,Assumptions!AQ$77)*Assumptions!AQ$74</f>
        <v/>
      </c>
      <c r="AR108" s="52">
        <f>$B$108*AR$99*INDEX(Cum_OtherInc,1,Assumptions!AR$77)*Assumptions!AR$74</f>
        <v/>
      </c>
      <c r="AS108" s="52">
        <f>$B$108*AS$99*INDEX(Cum_OtherInc,1,Assumptions!AS$77)*Assumptions!AS$74</f>
        <v/>
      </c>
      <c r="AT108" s="52">
        <f>$B$108*AT$99*INDEX(Cum_OtherInc,1,Assumptions!AT$77)*Assumptions!AT$74</f>
        <v/>
      </c>
      <c r="AU108" s="52">
        <f>$B$108*AU$99*INDEX(Cum_OtherInc,1,Assumptions!AU$77)*Assumptions!AU$74</f>
        <v/>
      </c>
      <c r="AV108" s="52">
        <f>$B$108*AV$99*INDEX(Cum_OtherInc,1,Assumptions!AV$77)*Assumptions!AV$74</f>
        <v/>
      </c>
      <c r="AW108" s="52">
        <f>$B$108*AW$99*INDEX(Cum_OtherInc,1,Assumptions!AW$77)*Assumptions!AW$74</f>
        <v/>
      </c>
      <c r="AX108" s="52">
        <f>$B$108*AX$99*INDEX(Cum_OtherInc,1,Assumptions!AX$77)*Assumptions!AX$74</f>
        <v/>
      </c>
      <c r="AY108" s="52">
        <f>$B$108*AY$99*INDEX(Cum_OtherInc,1,Assumptions!AY$77)*Assumptions!AY$74</f>
        <v/>
      </c>
      <c r="AZ108" s="52">
        <f>$B$108*AZ$99*INDEX(Cum_OtherInc,1,Assumptions!AZ$77)*Assumptions!AZ$74</f>
        <v/>
      </c>
      <c r="BA108" s="52">
        <f>$B$108*BA$99*INDEX(Cum_OtherInc,1,Assumptions!BA$77)*Assumptions!BA$74</f>
        <v/>
      </c>
      <c r="BB108" s="52">
        <f>$B$108*BB$99*INDEX(Cum_OtherInc,1,Assumptions!BB$77)*Assumptions!BB$74</f>
        <v/>
      </c>
      <c r="BC108" s="52">
        <f>$B$108*BC$99*INDEX(Cum_OtherInc,1,Assumptions!BC$77)*Assumptions!BC$74</f>
        <v/>
      </c>
      <c r="BD108" s="52">
        <f>$B$108*BD$99*INDEX(Cum_OtherInc,1,Assumptions!BD$77)*Assumptions!BD$74</f>
        <v/>
      </c>
      <c r="BE108" s="52">
        <f>$B$108*BE$99*INDEX(Cum_OtherInc,1,Assumptions!BE$77)*Assumptions!BE$74</f>
        <v/>
      </c>
      <c r="BF108" s="52">
        <f>$B$108*BF$99*INDEX(Cum_OtherInc,1,Assumptions!BF$77)*Assumptions!BF$74</f>
        <v/>
      </c>
      <c r="BG108" s="52">
        <f>$B$108*BG$99*INDEX(Cum_OtherInc,1,Assumptions!BG$77)*Assumptions!BG$74</f>
        <v/>
      </c>
      <c r="BH108" s="52">
        <f>$B$108*BH$99*INDEX(Cum_OtherInc,1,Assumptions!BH$77)*Assumptions!BH$74</f>
        <v/>
      </c>
      <c r="BI108" s="52">
        <f>$B$108*BI$99*INDEX(Cum_OtherInc,1,Assumptions!BI$77)*Assumptions!BI$74</f>
        <v/>
      </c>
      <c r="BJ108" s="52">
        <f>$B$108*BJ$99*INDEX(Cum_OtherInc,1,Assumptions!BJ$77)*Assumptions!BJ$74</f>
        <v/>
      </c>
      <c r="BK108" s="52">
        <f>$B$108*BK$99*INDEX(Cum_OtherInc,1,Assumptions!BK$77)*Assumptions!BK$74</f>
        <v/>
      </c>
      <c r="BL108" s="52">
        <f>$B$108*BL$99*INDEX(Cum_OtherInc,1,Assumptions!BL$77)*Assumptions!BL$74</f>
        <v/>
      </c>
      <c r="BM108" s="52">
        <f>$B$108*BM$99*INDEX(Cum_OtherInc,1,Assumptions!BM$77)*Assumptions!BM$74</f>
        <v/>
      </c>
      <c r="BN108" s="52">
        <f>$B$108*BN$99*INDEX(Cum_OtherInc,1,Assumptions!BN$77)*Assumptions!BN$74</f>
        <v/>
      </c>
      <c r="BO108" s="52">
        <f>$B$108*BO$99*INDEX(Cum_OtherInc,1,Assumptions!BO$77)*Assumptions!BO$74</f>
        <v/>
      </c>
      <c r="BP108" s="52">
        <f>$B$108*BP$99*INDEX(Cum_OtherInc,1,Assumptions!BP$77)*Assumptions!BP$74</f>
        <v/>
      </c>
      <c r="BQ108" s="52">
        <f>$B$108*BQ$99*INDEX(Cum_OtherInc,1,Assumptions!BQ$77)*Assumptions!BQ$74</f>
        <v/>
      </c>
      <c r="BR108" s="52">
        <f>$B$108*BR$99*INDEX(Cum_OtherInc,1,Assumptions!BR$77)*Assumptions!BR$74</f>
        <v/>
      </c>
      <c r="BS108" s="52">
        <f>$B$108*BS$99*INDEX(Cum_OtherInc,1,Assumptions!BS$77)*Assumptions!BS$74</f>
        <v/>
      </c>
      <c r="BT108" s="52">
        <f>$B$108*BT$99*INDEX(Cum_OtherInc,1,Assumptions!BT$77)*Assumptions!BT$74</f>
        <v/>
      </c>
      <c r="BU108" s="52">
        <f>$B$108*BU$99*INDEX(Cum_OtherInc,1,Assumptions!BU$77)*Assumptions!BU$74</f>
        <v/>
      </c>
      <c r="BV108" s="52">
        <f>$B$108*BV$99*INDEX(Cum_OtherInc,1,Assumptions!BV$77)*Assumptions!BV$74</f>
        <v/>
      </c>
      <c r="BW108" s="52">
        <f>$B$108*BW$99*INDEX(Cum_OtherInc,1,Assumptions!BW$77)*Assumptions!BW$74</f>
        <v/>
      </c>
      <c r="BX108" s="52">
        <f>$B$108*BX$99*INDEX(Cum_OtherInc,1,Assumptions!BX$77)*Assumptions!BX$74</f>
        <v/>
      </c>
      <c r="BY108" s="52">
        <f>$B$108*BY$99*INDEX(Cum_OtherInc,1,Assumptions!BY$77)*Assumptions!BY$74</f>
        <v/>
      </c>
      <c r="BZ108" s="52">
        <f>$B$108*BZ$99*INDEX(Cum_OtherInc,1,Assumptions!BZ$77)*Assumptions!BZ$74</f>
        <v/>
      </c>
      <c r="CA108" s="52">
        <f>$B$108*CA$99*INDEX(Cum_OtherInc,1,Assumptions!CA$77)*Assumptions!CA$74</f>
        <v/>
      </c>
      <c r="CB108" s="52">
        <f>$B$108*CB$99*INDEX(Cum_OtherInc,1,Assumptions!CB$77)*Assumptions!CB$74</f>
        <v/>
      </c>
      <c r="CC108" s="52">
        <f>$B$108*CC$99*INDEX(Cum_OtherInc,1,Assumptions!CC$77)*Assumptions!CC$74</f>
        <v/>
      </c>
      <c r="CD108" s="52">
        <f>$B$108*CD$99*INDEX(Cum_OtherInc,1,Assumptions!CD$77)*Assumptions!CD$74</f>
        <v/>
      </c>
      <c r="CE108" s="52">
        <f>$B$108*CE$99*INDEX(Cum_OtherInc,1,Assumptions!CE$77)*Assumptions!CE$74</f>
        <v/>
      </c>
      <c r="CF108" s="52">
        <f>$B$108*CF$99*INDEX(Cum_OtherInc,1,Assumptions!CF$77)*Assumptions!CF$74</f>
        <v/>
      </c>
      <c r="CG108" s="52">
        <f>$B$108*CG$99*INDEX(Cum_OtherInc,1,Assumptions!CG$77)*Assumptions!CG$74</f>
        <v/>
      </c>
      <c r="CH108" s="52">
        <f>$B$108*CH$99*INDEX(Cum_OtherInc,1,Assumptions!CH$77)*Assumptions!CH$74</f>
        <v/>
      </c>
      <c r="CI108" s="52">
        <f>$B$108*CI$99*INDEX(Cum_OtherInc,1,Assumptions!CI$77)*Assumptions!CI$74</f>
        <v/>
      </c>
      <c r="CJ108" s="52">
        <f>$B$108*CJ$99*INDEX(Cum_OtherInc,1,Assumptions!CJ$77)*Assumptions!CJ$74</f>
        <v/>
      </c>
      <c r="CK108" s="52">
        <f>$B$108*CK$99*INDEX(Cum_OtherInc,1,Assumptions!CK$77)*Assumptions!CK$74</f>
        <v/>
      </c>
      <c r="CL108" s="52">
        <f>$B$108*CL$99*INDEX(Cum_OtherInc,1,Assumptions!CL$77)*Assumptions!CL$74</f>
        <v/>
      </c>
      <c r="CM108" s="52">
        <f>$B$108*CM$99*INDEX(Cum_OtherInc,1,Assumptions!CM$77)*Assumptions!CM$74</f>
        <v/>
      </c>
      <c r="CN108" s="52">
        <f>$B$108*CN$99*INDEX(Cum_OtherInc,1,Assumptions!CN$77)*Assumptions!CN$74</f>
        <v/>
      </c>
      <c r="CO108" s="52">
        <f>$B$108*CO$99*INDEX(Cum_OtherInc,1,Assumptions!CO$77)*Assumptions!CO$74</f>
        <v/>
      </c>
      <c r="CP108" s="52">
        <f>$B$108*CP$99*INDEX(Cum_OtherInc,1,Assumptions!CP$77)*Assumptions!CP$74</f>
        <v/>
      </c>
      <c r="CQ108" s="52">
        <f>$B$108*CQ$99*INDEX(Cum_OtherInc,1,Assumptions!CQ$77)*Assumptions!CQ$74</f>
        <v/>
      </c>
      <c r="CR108" s="52">
        <f>$B$108*CR$99*INDEX(Cum_OtherInc,1,Assumptions!CR$77)*Assumptions!CR$74</f>
        <v/>
      </c>
      <c r="CS108" s="52">
        <f>$B$108*CS$99*INDEX(Cum_OtherInc,1,Assumptions!CS$77)*Assumptions!CS$74</f>
        <v/>
      </c>
      <c r="CT108" s="52">
        <f>$B$108*CT$99*INDEX(Cum_OtherInc,1,Assumptions!CT$77)*Assumptions!CT$74</f>
        <v/>
      </c>
      <c r="CU108" s="52">
        <f>$B$108*CU$99*INDEX(Cum_OtherInc,1,Assumptions!CU$77)*Assumptions!CU$74</f>
        <v/>
      </c>
      <c r="CV108" s="52">
        <f>$B$108*CV$99*INDEX(Cum_OtherInc,1,Assumptions!CV$77)*Assumptions!CV$74</f>
        <v/>
      </c>
      <c r="CW108" s="52">
        <f>$B$108*CW$99*INDEX(Cum_OtherInc,1,Assumptions!CW$77)*Assumptions!CW$74</f>
        <v/>
      </c>
      <c r="CX108" s="52">
        <f>$B$108*CX$99*INDEX(Cum_OtherInc,1,Assumptions!CX$77)*Assumptions!CX$74</f>
        <v/>
      </c>
      <c r="CY108" s="52">
        <f>$B$108*CY$99*INDEX(Cum_OtherInc,1,Assumptions!CY$77)*Assumptions!CY$74</f>
        <v/>
      </c>
      <c r="CZ108" s="52">
        <f>$B$108*CZ$99*INDEX(Cum_OtherInc,1,Assumptions!CZ$77)*Assumptions!CZ$74</f>
        <v/>
      </c>
      <c r="DA108" s="52">
        <f>$B$108*DA$99*INDEX(Cum_OtherInc,1,Assumptions!DA$77)*Assumptions!DA$74</f>
        <v/>
      </c>
      <c r="DB108" s="52">
        <f>$B$108*DB$99*INDEX(Cum_OtherInc,1,Assumptions!DB$77)*Assumptions!DB$74</f>
        <v/>
      </c>
      <c r="DC108" s="52">
        <f>$B$108*DC$99*INDEX(Cum_OtherInc,1,Assumptions!DC$77)*Assumptions!DC$74</f>
        <v/>
      </c>
      <c r="DD108" s="52">
        <f>$B$108*DD$99*INDEX(Cum_OtherInc,1,Assumptions!DD$77)*Assumptions!DD$74</f>
        <v/>
      </c>
      <c r="DE108" s="52">
        <f>$B$108*DE$99*INDEX(Cum_OtherInc,1,Assumptions!DE$77)*Assumptions!DE$74</f>
        <v/>
      </c>
      <c r="DF108" s="52">
        <f>$B$108*DF$99*INDEX(Cum_OtherInc,1,Assumptions!DF$77)*Assumptions!DF$74</f>
        <v/>
      </c>
      <c r="DG108" s="52">
        <f>$B$108*DG$99*INDEX(Cum_OtherInc,1,Assumptions!DG$77)*Assumptions!DG$74</f>
        <v/>
      </c>
      <c r="DH108" s="52">
        <f>$B$108*DH$99*INDEX(Cum_OtherInc,1,Assumptions!DH$77)*Assumptions!DH$74</f>
        <v/>
      </c>
      <c r="DI108" s="52">
        <f>$B$108*DI$99*INDEX(Cum_OtherInc,1,Assumptions!DI$77)*Assumptions!DI$74</f>
        <v/>
      </c>
      <c r="DJ108" s="52">
        <f>$B$108*DJ$99*INDEX(Cum_OtherInc,1,Assumptions!DJ$77)*Assumptions!DJ$74</f>
        <v/>
      </c>
      <c r="DK108" s="52">
        <f>$B$108*DK$99*INDEX(Cum_OtherInc,1,Assumptions!DK$77)*Assumptions!DK$74</f>
        <v/>
      </c>
      <c r="DL108" s="52">
        <f>$B$108*DL$99*INDEX(Cum_OtherInc,1,Assumptions!DL$77)*Assumptions!DL$74</f>
        <v/>
      </c>
      <c r="DM108" s="52">
        <f>$B$108*DM$99*INDEX(Cum_OtherInc,1,Assumptions!DM$77)*Assumptions!DM$74</f>
        <v/>
      </c>
      <c r="DN108" s="52">
        <f>$B$108*DN$99*INDEX(Cum_OtherInc,1,Assumptions!DN$77)*Assumptions!DN$74</f>
        <v/>
      </c>
      <c r="DO108" s="52">
        <f>$B$108*DO$99*INDEX(Cum_OtherInc,1,Assumptions!DO$77)*Assumptions!DO$74</f>
        <v/>
      </c>
      <c r="DP108" s="52">
        <f>$B$108*DP$99*INDEX(Cum_OtherInc,1,Assumptions!DP$77)*Assumptions!DP$74</f>
        <v/>
      </c>
      <c r="DQ108" s="52">
        <f>$B$108*DQ$99*INDEX(Cum_OtherInc,1,Assumptions!DQ$77)*Assumptions!DQ$74</f>
        <v/>
      </c>
      <c r="DR108" s="52">
        <f>$B$108*DR$99*INDEX(Cum_OtherInc,1,Assumptions!DR$77)*Assumptions!DR$74</f>
        <v/>
      </c>
      <c r="DS108" s="52">
        <f>$B$108*DS$99*INDEX(Cum_OtherInc,1,Assumptions!DS$77)*Assumptions!DS$74</f>
        <v/>
      </c>
      <c r="DT108" s="52">
        <f>$B$108*DT$99*INDEX(Cum_OtherInc,1,Assumptions!DT$77)*Assumptions!DT$74</f>
        <v/>
      </c>
    </row>
    <row r="109">
      <c r="A109" s="10" t="inlineStr">
        <is>
          <t xml:space="preserve">  Storage</t>
        </is>
      </c>
      <c r="B109" s="55" t="n">
        <v>12</v>
      </c>
      <c r="E109" s="52">
        <f>$B$109*E$99*INDEX(Cum_OtherInc,1,Assumptions!E$77)*Assumptions!E$74</f>
        <v/>
      </c>
      <c r="F109" s="52">
        <f>$B$109*F$99*INDEX(Cum_OtherInc,1,Assumptions!F$77)*Assumptions!F$74</f>
        <v/>
      </c>
      <c r="G109" s="52">
        <f>$B$109*G$99*INDEX(Cum_OtherInc,1,Assumptions!G$77)*Assumptions!G$74</f>
        <v/>
      </c>
      <c r="H109" s="52">
        <f>$B$109*H$99*INDEX(Cum_OtherInc,1,Assumptions!H$77)*Assumptions!H$74</f>
        <v/>
      </c>
      <c r="I109" s="52">
        <f>$B$109*I$99*INDEX(Cum_OtherInc,1,Assumptions!I$77)*Assumptions!I$74</f>
        <v/>
      </c>
      <c r="J109" s="52">
        <f>$B$109*J$99*INDEX(Cum_OtherInc,1,Assumptions!J$77)*Assumptions!J$74</f>
        <v/>
      </c>
      <c r="K109" s="52">
        <f>$B$109*K$99*INDEX(Cum_OtherInc,1,Assumptions!K$77)*Assumptions!K$74</f>
        <v/>
      </c>
      <c r="L109" s="52">
        <f>$B$109*L$99*INDEX(Cum_OtherInc,1,Assumptions!L$77)*Assumptions!L$74</f>
        <v/>
      </c>
      <c r="M109" s="52">
        <f>$B$109*M$99*INDEX(Cum_OtherInc,1,Assumptions!M$77)*Assumptions!M$74</f>
        <v/>
      </c>
      <c r="N109" s="52">
        <f>$B$109*N$99*INDEX(Cum_OtherInc,1,Assumptions!N$77)*Assumptions!N$74</f>
        <v/>
      </c>
      <c r="O109" s="52">
        <f>$B$109*O$99*INDEX(Cum_OtherInc,1,Assumptions!O$77)*Assumptions!O$74</f>
        <v/>
      </c>
      <c r="P109" s="52">
        <f>$B$109*P$99*INDEX(Cum_OtherInc,1,Assumptions!P$77)*Assumptions!P$74</f>
        <v/>
      </c>
      <c r="Q109" s="52">
        <f>$B$109*Q$99*INDEX(Cum_OtherInc,1,Assumptions!Q$77)*Assumptions!Q$74</f>
        <v/>
      </c>
      <c r="R109" s="52">
        <f>$B$109*R$99*INDEX(Cum_OtherInc,1,Assumptions!R$77)*Assumptions!R$74</f>
        <v/>
      </c>
      <c r="S109" s="52">
        <f>$B$109*S$99*INDEX(Cum_OtherInc,1,Assumptions!S$77)*Assumptions!S$74</f>
        <v/>
      </c>
      <c r="T109" s="52">
        <f>$B$109*T$99*INDEX(Cum_OtherInc,1,Assumptions!T$77)*Assumptions!T$74</f>
        <v/>
      </c>
      <c r="U109" s="52">
        <f>$B$109*U$99*INDEX(Cum_OtherInc,1,Assumptions!U$77)*Assumptions!U$74</f>
        <v/>
      </c>
      <c r="V109" s="52">
        <f>$B$109*V$99*INDEX(Cum_OtherInc,1,Assumptions!V$77)*Assumptions!V$74</f>
        <v/>
      </c>
      <c r="W109" s="52">
        <f>$B$109*W$99*INDEX(Cum_OtherInc,1,Assumptions!W$77)*Assumptions!W$74</f>
        <v/>
      </c>
      <c r="X109" s="52">
        <f>$B$109*X$99*INDEX(Cum_OtherInc,1,Assumptions!X$77)*Assumptions!X$74</f>
        <v/>
      </c>
      <c r="Y109" s="52">
        <f>$B$109*Y$99*INDEX(Cum_OtherInc,1,Assumptions!Y$77)*Assumptions!Y$74</f>
        <v/>
      </c>
      <c r="Z109" s="52">
        <f>$B$109*Z$99*INDEX(Cum_OtherInc,1,Assumptions!Z$77)*Assumptions!Z$74</f>
        <v/>
      </c>
      <c r="AA109" s="52">
        <f>$B$109*AA$99*INDEX(Cum_OtherInc,1,Assumptions!AA$77)*Assumptions!AA$74</f>
        <v/>
      </c>
      <c r="AB109" s="52">
        <f>$B$109*AB$99*INDEX(Cum_OtherInc,1,Assumptions!AB$77)*Assumptions!AB$74</f>
        <v/>
      </c>
      <c r="AC109" s="52">
        <f>$B$109*AC$99*INDEX(Cum_OtherInc,1,Assumptions!AC$77)*Assumptions!AC$74</f>
        <v/>
      </c>
      <c r="AD109" s="52">
        <f>$B$109*AD$99*INDEX(Cum_OtherInc,1,Assumptions!AD$77)*Assumptions!AD$74</f>
        <v/>
      </c>
      <c r="AE109" s="52">
        <f>$B$109*AE$99*INDEX(Cum_OtherInc,1,Assumptions!AE$77)*Assumptions!AE$74</f>
        <v/>
      </c>
      <c r="AF109" s="52">
        <f>$B$109*AF$99*INDEX(Cum_OtherInc,1,Assumptions!AF$77)*Assumptions!AF$74</f>
        <v/>
      </c>
      <c r="AG109" s="52">
        <f>$B$109*AG$99*INDEX(Cum_OtherInc,1,Assumptions!AG$77)*Assumptions!AG$74</f>
        <v/>
      </c>
      <c r="AH109" s="52">
        <f>$B$109*AH$99*INDEX(Cum_OtherInc,1,Assumptions!AH$77)*Assumptions!AH$74</f>
        <v/>
      </c>
      <c r="AI109" s="52">
        <f>$B$109*AI$99*INDEX(Cum_OtherInc,1,Assumptions!AI$77)*Assumptions!AI$74</f>
        <v/>
      </c>
      <c r="AJ109" s="52">
        <f>$B$109*AJ$99*INDEX(Cum_OtherInc,1,Assumptions!AJ$77)*Assumptions!AJ$74</f>
        <v/>
      </c>
      <c r="AK109" s="52">
        <f>$B$109*AK$99*INDEX(Cum_OtherInc,1,Assumptions!AK$77)*Assumptions!AK$74</f>
        <v/>
      </c>
      <c r="AL109" s="52">
        <f>$B$109*AL$99*INDEX(Cum_OtherInc,1,Assumptions!AL$77)*Assumptions!AL$74</f>
        <v/>
      </c>
      <c r="AM109" s="52">
        <f>$B$109*AM$99*INDEX(Cum_OtherInc,1,Assumptions!AM$77)*Assumptions!AM$74</f>
        <v/>
      </c>
      <c r="AN109" s="52">
        <f>$B$109*AN$99*INDEX(Cum_OtherInc,1,Assumptions!AN$77)*Assumptions!AN$74</f>
        <v/>
      </c>
      <c r="AO109" s="52">
        <f>$B$109*AO$99*INDEX(Cum_OtherInc,1,Assumptions!AO$77)*Assumptions!AO$74</f>
        <v/>
      </c>
      <c r="AP109" s="52">
        <f>$B$109*AP$99*INDEX(Cum_OtherInc,1,Assumptions!AP$77)*Assumptions!AP$74</f>
        <v/>
      </c>
      <c r="AQ109" s="52">
        <f>$B$109*AQ$99*INDEX(Cum_OtherInc,1,Assumptions!AQ$77)*Assumptions!AQ$74</f>
        <v/>
      </c>
      <c r="AR109" s="52">
        <f>$B$109*AR$99*INDEX(Cum_OtherInc,1,Assumptions!AR$77)*Assumptions!AR$74</f>
        <v/>
      </c>
      <c r="AS109" s="52">
        <f>$B$109*AS$99*INDEX(Cum_OtherInc,1,Assumptions!AS$77)*Assumptions!AS$74</f>
        <v/>
      </c>
      <c r="AT109" s="52">
        <f>$B$109*AT$99*INDEX(Cum_OtherInc,1,Assumptions!AT$77)*Assumptions!AT$74</f>
        <v/>
      </c>
      <c r="AU109" s="52">
        <f>$B$109*AU$99*INDEX(Cum_OtherInc,1,Assumptions!AU$77)*Assumptions!AU$74</f>
        <v/>
      </c>
      <c r="AV109" s="52">
        <f>$B$109*AV$99*INDEX(Cum_OtherInc,1,Assumptions!AV$77)*Assumptions!AV$74</f>
        <v/>
      </c>
      <c r="AW109" s="52">
        <f>$B$109*AW$99*INDEX(Cum_OtherInc,1,Assumptions!AW$77)*Assumptions!AW$74</f>
        <v/>
      </c>
      <c r="AX109" s="52">
        <f>$B$109*AX$99*INDEX(Cum_OtherInc,1,Assumptions!AX$77)*Assumptions!AX$74</f>
        <v/>
      </c>
      <c r="AY109" s="52">
        <f>$B$109*AY$99*INDEX(Cum_OtherInc,1,Assumptions!AY$77)*Assumptions!AY$74</f>
        <v/>
      </c>
      <c r="AZ109" s="52">
        <f>$B$109*AZ$99*INDEX(Cum_OtherInc,1,Assumptions!AZ$77)*Assumptions!AZ$74</f>
        <v/>
      </c>
      <c r="BA109" s="52">
        <f>$B$109*BA$99*INDEX(Cum_OtherInc,1,Assumptions!BA$77)*Assumptions!BA$74</f>
        <v/>
      </c>
      <c r="BB109" s="52">
        <f>$B$109*BB$99*INDEX(Cum_OtherInc,1,Assumptions!BB$77)*Assumptions!BB$74</f>
        <v/>
      </c>
      <c r="BC109" s="52">
        <f>$B$109*BC$99*INDEX(Cum_OtherInc,1,Assumptions!BC$77)*Assumptions!BC$74</f>
        <v/>
      </c>
      <c r="BD109" s="52">
        <f>$B$109*BD$99*INDEX(Cum_OtherInc,1,Assumptions!BD$77)*Assumptions!BD$74</f>
        <v/>
      </c>
      <c r="BE109" s="52">
        <f>$B$109*BE$99*INDEX(Cum_OtherInc,1,Assumptions!BE$77)*Assumptions!BE$74</f>
        <v/>
      </c>
      <c r="BF109" s="52">
        <f>$B$109*BF$99*INDEX(Cum_OtherInc,1,Assumptions!BF$77)*Assumptions!BF$74</f>
        <v/>
      </c>
      <c r="BG109" s="52">
        <f>$B$109*BG$99*INDEX(Cum_OtherInc,1,Assumptions!BG$77)*Assumptions!BG$74</f>
        <v/>
      </c>
      <c r="BH109" s="52">
        <f>$B$109*BH$99*INDEX(Cum_OtherInc,1,Assumptions!BH$77)*Assumptions!BH$74</f>
        <v/>
      </c>
      <c r="BI109" s="52">
        <f>$B$109*BI$99*INDEX(Cum_OtherInc,1,Assumptions!BI$77)*Assumptions!BI$74</f>
        <v/>
      </c>
      <c r="BJ109" s="52">
        <f>$B$109*BJ$99*INDEX(Cum_OtherInc,1,Assumptions!BJ$77)*Assumptions!BJ$74</f>
        <v/>
      </c>
      <c r="BK109" s="52">
        <f>$B$109*BK$99*INDEX(Cum_OtherInc,1,Assumptions!BK$77)*Assumptions!BK$74</f>
        <v/>
      </c>
      <c r="BL109" s="52">
        <f>$B$109*BL$99*INDEX(Cum_OtherInc,1,Assumptions!BL$77)*Assumptions!BL$74</f>
        <v/>
      </c>
      <c r="BM109" s="52">
        <f>$B$109*BM$99*INDEX(Cum_OtherInc,1,Assumptions!BM$77)*Assumptions!BM$74</f>
        <v/>
      </c>
      <c r="BN109" s="52">
        <f>$B$109*BN$99*INDEX(Cum_OtherInc,1,Assumptions!BN$77)*Assumptions!BN$74</f>
        <v/>
      </c>
      <c r="BO109" s="52">
        <f>$B$109*BO$99*INDEX(Cum_OtherInc,1,Assumptions!BO$77)*Assumptions!BO$74</f>
        <v/>
      </c>
      <c r="BP109" s="52">
        <f>$B$109*BP$99*INDEX(Cum_OtherInc,1,Assumptions!BP$77)*Assumptions!BP$74</f>
        <v/>
      </c>
      <c r="BQ109" s="52">
        <f>$B$109*BQ$99*INDEX(Cum_OtherInc,1,Assumptions!BQ$77)*Assumptions!BQ$74</f>
        <v/>
      </c>
      <c r="BR109" s="52">
        <f>$B$109*BR$99*INDEX(Cum_OtherInc,1,Assumptions!BR$77)*Assumptions!BR$74</f>
        <v/>
      </c>
      <c r="BS109" s="52">
        <f>$B$109*BS$99*INDEX(Cum_OtherInc,1,Assumptions!BS$77)*Assumptions!BS$74</f>
        <v/>
      </c>
      <c r="BT109" s="52">
        <f>$B$109*BT$99*INDEX(Cum_OtherInc,1,Assumptions!BT$77)*Assumptions!BT$74</f>
        <v/>
      </c>
      <c r="BU109" s="52">
        <f>$B$109*BU$99*INDEX(Cum_OtherInc,1,Assumptions!BU$77)*Assumptions!BU$74</f>
        <v/>
      </c>
      <c r="BV109" s="52">
        <f>$B$109*BV$99*INDEX(Cum_OtherInc,1,Assumptions!BV$77)*Assumptions!BV$74</f>
        <v/>
      </c>
      <c r="BW109" s="52">
        <f>$B$109*BW$99*INDEX(Cum_OtherInc,1,Assumptions!BW$77)*Assumptions!BW$74</f>
        <v/>
      </c>
      <c r="BX109" s="52">
        <f>$B$109*BX$99*INDEX(Cum_OtherInc,1,Assumptions!BX$77)*Assumptions!BX$74</f>
        <v/>
      </c>
      <c r="BY109" s="52">
        <f>$B$109*BY$99*INDEX(Cum_OtherInc,1,Assumptions!BY$77)*Assumptions!BY$74</f>
        <v/>
      </c>
      <c r="BZ109" s="52">
        <f>$B$109*BZ$99*INDEX(Cum_OtherInc,1,Assumptions!BZ$77)*Assumptions!BZ$74</f>
        <v/>
      </c>
      <c r="CA109" s="52">
        <f>$B$109*CA$99*INDEX(Cum_OtherInc,1,Assumptions!CA$77)*Assumptions!CA$74</f>
        <v/>
      </c>
      <c r="CB109" s="52">
        <f>$B$109*CB$99*INDEX(Cum_OtherInc,1,Assumptions!CB$77)*Assumptions!CB$74</f>
        <v/>
      </c>
      <c r="CC109" s="52">
        <f>$B$109*CC$99*INDEX(Cum_OtherInc,1,Assumptions!CC$77)*Assumptions!CC$74</f>
        <v/>
      </c>
      <c r="CD109" s="52">
        <f>$B$109*CD$99*INDEX(Cum_OtherInc,1,Assumptions!CD$77)*Assumptions!CD$74</f>
        <v/>
      </c>
      <c r="CE109" s="52">
        <f>$B$109*CE$99*INDEX(Cum_OtherInc,1,Assumptions!CE$77)*Assumptions!CE$74</f>
        <v/>
      </c>
      <c r="CF109" s="52">
        <f>$B$109*CF$99*INDEX(Cum_OtherInc,1,Assumptions!CF$77)*Assumptions!CF$74</f>
        <v/>
      </c>
      <c r="CG109" s="52">
        <f>$B$109*CG$99*INDEX(Cum_OtherInc,1,Assumptions!CG$77)*Assumptions!CG$74</f>
        <v/>
      </c>
      <c r="CH109" s="52">
        <f>$B$109*CH$99*INDEX(Cum_OtherInc,1,Assumptions!CH$77)*Assumptions!CH$74</f>
        <v/>
      </c>
      <c r="CI109" s="52">
        <f>$B$109*CI$99*INDEX(Cum_OtherInc,1,Assumptions!CI$77)*Assumptions!CI$74</f>
        <v/>
      </c>
      <c r="CJ109" s="52">
        <f>$B$109*CJ$99*INDEX(Cum_OtherInc,1,Assumptions!CJ$77)*Assumptions!CJ$74</f>
        <v/>
      </c>
      <c r="CK109" s="52">
        <f>$B$109*CK$99*INDEX(Cum_OtherInc,1,Assumptions!CK$77)*Assumptions!CK$74</f>
        <v/>
      </c>
      <c r="CL109" s="52">
        <f>$B$109*CL$99*INDEX(Cum_OtherInc,1,Assumptions!CL$77)*Assumptions!CL$74</f>
        <v/>
      </c>
      <c r="CM109" s="52">
        <f>$B$109*CM$99*INDEX(Cum_OtherInc,1,Assumptions!CM$77)*Assumptions!CM$74</f>
        <v/>
      </c>
      <c r="CN109" s="52">
        <f>$B$109*CN$99*INDEX(Cum_OtherInc,1,Assumptions!CN$77)*Assumptions!CN$74</f>
        <v/>
      </c>
      <c r="CO109" s="52">
        <f>$B$109*CO$99*INDEX(Cum_OtherInc,1,Assumptions!CO$77)*Assumptions!CO$74</f>
        <v/>
      </c>
      <c r="CP109" s="52">
        <f>$B$109*CP$99*INDEX(Cum_OtherInc,1,Assumptions!CP$77)*Assumptions!CP$74</f>
        <v/>
      </c>
      <c r="CQ109" s="52">
        <f>$B$109*CQ$99*INDEX(Cum_OtherInc,1,Assumptions!CQ$77)*Assumptions!CQ$74</f>
        <v/>
      </c>
      <c r="CR109" s="52">
        <f>$B$109*CR$99*INDEX(Cum_OtherInc,1,Assumptions!CR$77)*Assumptions!CR$74</f>
        <v/>
      </c>
      <c r="CS109" s="52">
        <f>$B$109*CS$99*INDEX(Cum_OtherInc,1,Assumptions!CS$77)*Assumptions!CS$74</f>
        <v/>
      </c>
      <c r="CT109" s="52">
        <f>$B$109*CT$99*INDEX(Cum_OtherInc,1,Assumptions!CT$77)*Assumptions!CT$74</f>
        <v/>
      </c>
      <c r="CU109" s="52">
        <f>$B$109*CU$99*INDEX(Cum_OtherInc,1,Assumptions!CU$77)*Assumptions!CU$74</f>
        <v/>
      </c>
      <c r="CV109" s="52">
        <f>$B$109*CV$99*INDEX(Cum_OtherInc,1,Assumptions!CV$77)*Assumptions!CV$74</f>
        <v/>
      </c>
      <c r="CW109" s="52">
        <f>$B$109*CW$99*INDEX(Cum_OtherInc,1,Assumptions!CW$77)*Assumptions!CW$74</f>
        <v/>
      </c>
      <c r="CX109" s="52">
        <f>$B$109*CX$99*INDEX(Cum_OtherInc,1,Assumptions!CX$77)*Assumptions!CX$74</f>
        <v/>
      </c>
      <c r="CY109" s="52">
        <f>$B$109*CY$99*INDEX(Cum_OtherInc,1,Assumptions!CY$77)*Assumptions!CY$74</f>
        <v/>
      </c>
      <c r="CZ109" s="52">
        <f>$B$109*CZ$99*INDEX(Cum_OtherInc,1,Assumptions!CZ$77)*Assumptions!CZ$74</f>
        <v/>
      </c>
      <c r="DA109" s="52">
        <f>$B$109*DA$99*INDEX(Cum_OtherInc,1,Assumptions!DA$77)*Assumptions!DA$74</f>
        <v/>
      </c>
      <c r="DB109" s="52">
        <f>$B$109*DB$99*INDEX(Cum_OtherInc,1,Assumptions!DB$77)*Assumptions!DB$74</f>
        <v/>
      </c>
      <c r="DC109" s="52">
        <f>$B$109*DC$99*INDEX(Cum_OtherInc,1,Assumptions!DC$77)*Assumptions!DC$74</f>
        <v/>
      </c>
      <c r="DD109" s="52">
        <f>$B$109*DD$99*INDEX(Cum_OtherInc,1,Assumptions!DD$77)*Assumptions!DD$74</f>
        <v/>
      </c>
      <c r="DE109" s="52">
        <f>$B$109*DE$99*INDEX(Cum_OtherInc,1,Assumptions!DE$77)*Assumptions!DE$74</f>
        <v/>
      </c>
      <c r="DF109" s="52">
        <f>$B$109*DF$99*INDEX(Cum_OtherInc,1,Assumptions!DF$77)*Assumptions!DF$74</f>
        <v/>
      </c>
      <c r="DG109" s="52">
        <f>$B$109*DG$99*INDEX(Cum_OtherInc,1,Assumptions!DG$77)*Assumptions!DG$74</f>
        <v/>
      </c>
      <c r="DH109" s="52">
        <f>$B$109*DH$99*INDEX(Cum_OtherInc,1,Assumptions!DH$77)*Assumptions!DH$74</f>
        <v/>
      </c>
      <c r="DI109" s="52">
        <f>$B$109*DI$99*INDEX(Cum_OtherInc,1,Assumptions!DI$77)*Assumptions!DI$74</f>
        <v/>
      </c>
      <c r="DJ109" s="52">
        <f>$B$109*DJ$99*INDEX(Cum_OtherInc,1,Assumptions!DJ$77)*Assumptions!DJ$74</f>
        <v/>
      </c>
      <c r="DK109" s="52">
        <f>$B$109*DK$99*INDEX(Cum_OtherInc,1,Assumptions!DK$77)*Assumptions!DK$74</f>
        <v/>
      </c>
      <c r="DL109" s="52">
        <f>$B$109*DL$99*INDEX(Cum_OtherInc,1,Assumptions!DL$77)*Assumptions!DL$74</f>
        <v/>
      </c>
      <c r="DM109" s="52">
        <f>$B$109*DM$99*INDEX(Cum_OtherInc,1,Assumptions!DM$77)*Assumptions!DM$74</f>
        <v/>
      </c>
      <c r="DN109" s="52">
        <f>$B$109*DN$99*INDEX(Cum_OtherInc,1,Assumptions!DN$77)*Assumptions!DN$74</f>
        <v/>
      </c>
      <c r="DO109" s="52">
        <f>$B$109*DO$99*INDEX(Cum_OtherInc,1,Assumptions!DO$77)*Assumptions!DO$74</f>
        <v/>
      </c>
      <c r="DP109" s="52">
        <f>$B$109*DP$99*INDEX(Cum_OtherInc,1,Assumptions!DP$77)*Assumptions!DP$74</f>
        <v/>
      </c>
      <c r="DQ109" s="52">
        <f>$B$109*DQ$99*INDEX(Cum_OtherInc,1,Assumptions!DQ$77)*Assumptions!DQ$74</f>
        <v/>
      </c>
      <c r="DR109" s="52">
        <f>$B$109*DR$99*INDEX(Cum_OtherInc,1,Assumptions!DR$77)*Assumptions!DR$74</f>
        <v/>
      </c>
      <c r="DS109" s="52">
        <f>$B$109*DS$99*INDEX(Cum_OtherInc,1,Assumptions!DS$77)*Assumptions!DS$74</f>
        <v/>
      </c>
      <c r="DT109" s="52">
        <f>$B$109*DT$99*INDEX(Cum_OtherInc,1,Assumptions!DT$77)*Assumptions!DT$74</f>
        <v/>
      </c>
    </row>
    <row r="110">
      <c r="A110" s="10" t="inlineStr">
        <is>
          <t xml:space="preserve">  Pet</t>
        </is>
      </c>
      <c r="B110" s="55" t="n">
        <v>8</v>
      </c>
      <c r="E110" s="52">
        <f>$B$110*E$99*INDEX(Cum_OtherInc,1,Assumptions!E$77)*Assumptions!E$74</f>
        <v/>
      </c>
      <c r="F110" s="52">
        <f>$B$110*F$99*INDEX(Cum_OtherInc,1,Assumptions!F$77)*Assumptions!F$74</f>
        <v/>
      </c>
      <c r="G110" s="52">
        <f>$B$110*G$99*INDEX(Cum_OtherInc,1,Assumptions!G$77)*Assumptions!G$74</f>
        <v/>
      </c>
      <c r="H110" s="52">
        <f>$B$110*H$99*INDEX(Cum_OtherInc,1,Assumptions!H$77)*Assumptions!H$74</f>
        <v/>
      </c>
      <c r="I110" s="52">
        <f>$B$110*I$99*INDEX(Cum_OtherInc,1,Assumptions!I$77)*Assumptions!I$74</f>
        <v/>
      </c>
      <c r="J110" s="52">
        <f>$B$110*J$99*INDEX(Cum_OtherInc,1,Assumptions!J$77)*Assumptions!J$74</f>
        <v/>
      </c>
      <c r="K110" s="52">
        <f>$B$110*K$99*INDEX(Cum_OtherInc,1,Assumptions!K$77)*Assumptions!K$74</f>
        <v/>
      </c>
      <c r="L110" s="52">
        <f>$B$110*L$99*INDEX(Cum_OtherInc,1,Assumptions!L$77)*Assumptions!L$74</f>
        <v/>
      </c>
      <c r="M110" s="52">
        <f>$B$110*M$99*INDEX(Cum_OtherInc,1,Assumptions!M$77)*Assumptions!M$74</f>
        <v/>
      </c>
      <c r="N110" s="52">
        <f>$B$110*N$99*INDEX(Cum_OtherInc,1,Assumptions!N$77)*Assumptions!N$74</f>
        <v/>
      </c>
      <c r="O110" s="52">
        <f>$B$110*O$99*INDEX(Cum_OtherInc,1,Assumptions!O$77)*Assumptions!O$74</f>
        <v/>
      </c>
      <c r="P110" s="52">
        <f>$B$110*P$99*INDEX(Cum_OtherInc,1,Assumptions!P$77)*Assumptions!P$74</f>
        <v/>
      </c>
      <c r="Q110" s="52">
        <f>$B$110*Q$99*INDEX(Cum_OtherInc,1,Assumptions!Q$77)*Assumptions!Q$74</f>
        <v/>
      </c>
      <c r="R110" s="52">
        <f>$B$110*R$99*INDEX(Cum_OtherInc,1,Assumptions!R$77)*Assumptions!R$74</f>
        <v/>
      </c>
      <c r="S110" s="52">
        <f>$B$110*S$99*INDEX(Cum_OtherInc,1,Assumptions!S$77)*Assumptions!S$74</f>
        <v/>
      </c>
      <c r="T110" s="52">
        <f>$B$110*T$99*INDEX(Cum_OtherInc,1,Assumptions!T$77)*Assumptions!T$74</f>
        <v/>
      </c>
      <c r="U110" s="52">
        <f>$B$110*U$99*INDEX(Cum_OtherInc,1,Assumptions!U$77)*Assumptions!U$74</f>
        <v/>
      </c>
      <c r="V110" s="52">
        <f>$B$110*V$99*INDEX(Cum_OtherInc,1,Assumptions!V$77)*Assumptions!V$74</f>
        <v/>
      </c>
      <c r="W110" s="52">
        <f>$B$110*W$99*INDEX(Cum_OtherInc,1,Assumptions!W$77)*Assumptions!W$74</f>
        <v/>
      </c>
      <c r="X110" s="52">
        <f>$B$110*X$99*INDEX(Cum_OtherInc,1,Assumptions!X$77)*Assumptions!X$74</f>
        <v/>
      </c>
      <c r="Y110" s="52">
        <f>$B$110*Y$99*INDEX(Cum_OtherInc,1,Assumptions!Y$77)*Assumptions!Y$74</f>
        <v/>
      </c>
      <c r="Z110" s="52">
        <f>$B$110*Z$99*INDEX(Cum_OtherInc,1,Assumptions!Z$77)*Assumptions!Z$74</f>
        <v/>
      </c>
      <c r="AA110" s="52">
        <f>$B$110*AA$99*INDEX(Cum_OtherInc,1,Assumptions!AA$77)*Assumptions!AA$74</f>
        <v/>
      </c>
      <c r="AB110" s="52">
        <f>$B$110*AB$99*INDEX(Cum_OtherInc,1,Assumptions!AB$77)*Assumptions!AB$74</f>
        <v/>
      </c>
      <c r="AC110" s="52">
        <f>$B$110*AC$99*INDEX(Cum_OtherInc,1,Assumptions!AC$77)*Assumptions!AC$74</f>
        <v/>
      </c>
      <c r="AD110" s="52">
        <f>$B$110*AD$99*INDEX(Cum_OtherInc,1,Assumptions!AD$77)*Assumptions!AD$74</f>
        <v/>
      </c>
      <c r="AE110" s="52">
        <f>$B$110*AE$99*INDEX(Cum_OtherInc,1,Assumptions!AE$77)*Assumptions!AE$74</f>
        <v/>
      </c>
      <c r="AF110" s="52">
        <f>$B$110*AF$99*INDEX(Cum_OtherInc,1,Assumptions!AF$77)*Assumptions!AF$74</f>
        <v/>
      </c>
      <c r="AG110" s="52">
        <f>$B$110*AG$99*INDEX(Cum_OtherInc,1,Assumptions!AG$77)*Assumptions!AG$74</f>
        <v/>
      </c>
      <c r="AH110" s="52">
        <f>$B$110*AH$99*INDEX(Cum_OtherInc,1,Assumptions!AH$77)*Assumptions!AH$74</f>
        <v/>
      </c>
      <c r="AI110" s="52">
        <f>$B$110*AI$99*INDEX(Cum_OtherInc,1,Assumptions!AI$77)*Assumptions!AI$74</f>
        <v/>
      </c>
      <c r="AJ110" s="52">
        <f>$B$110*AJ$99*INDEX(Cum_OtherInc,1,Assumptions!AJ$77)*Assumptions!AJ$74</f>
        <v/>
      </c>
      <c r="AK110" s="52">
        <f>$B$110*AK$99*INDEX(Cum_OtherInc,1,Assumptions!AK$77)*Assumptions!AK$74</f>
        <v/>
      </c>
      <c r="AL110" s="52">
        <f>$B$110*AL$99*INDEX(Cum_OtherInc,1,Assumptions!AL$77)*Assumptions!AL$74</f>
        <v/>
      </c>
      <c r="AM110" s="52">
        <f>$B$110*AM$99*INDEX(Cum_OtherInc,1,Assumptions!AM$77)*Assumptions!AM$74</f>
        <v/>
      </c>
      <c r="AN110" s="52">
        <f>$B$110*AN$99*INDEX(Cum_OtherInc,1,Assumptions!AN$77)*Assumptions!AN$74</f>
        <v/>
      </c>
      <c r="AO110" s="52">
        <f>$B$110*AO$99*INDEX(Cum_OtherInc,1,Assumptions!AO$77)*Assumptions!AO$74</f>
        <v/>
      </c>
      <c r="AP110" s="52">
        <f>$B$110*AP$99*INDEX(Cum_OtherInc,1,Assumptions!AP$77)*Assumptions!AP$74</f>
        <v/>
      </c>
      <c r="AQ110" s="52">
        <f>$B$110*AQ$99*INDEX(Cum_OtherInc,1,Assumptions!AQ$77)*Assumptions!AQ$74</f>
        <v/>
      </c>
      <c r="AR110" s="52">
        <f>$B$110*AR$99*INDEX(Cum_OtherInc,1,Assumptions!AR$77)*Assumptions!AR$74</f>
        <v/>
      </c>
      <c r="AS110" s="52">
        <f>$B$110*AS$99*INDEX(Cum_OtherInc,1,Assumptions!AS$77)*Assumptions!AS$74</f>
        <v/>
      </c>
      <c r="AT110" s="52">
        <f>$B$110*AT$99*INDEX(Cum_OtherInc,1,Assumptions!AT$77)*Assumptions!AT$74</f>
        <v/>
      </c>
      <c r="AU110" s="52">
        <f>$B$110*AU$99*INDEX(Cum_OtherInc,1,Assumptions!AU$77)*Assumptions!AU$74</f>
        <v/>
      </c>
      <c r="AV110" s="52">
        <f>$B$110*AV$99*INDEX(Cum_OtherInc,1,Assumptions!AV$77)*Assumptions!AV$74</f>
        <v/>
      </c>
      <c r="AW110" s="52">
        <f>$B$110*AW$99*INDEX(Cum_OtherInc,1,Assumptions!AW$77)*Assumptions!AW$74</f>
        <v/>
      </c>
      <c r="AX110" s="52">
        <f>$B$110*AX$99*INDEX(Cum_OtherInc,1,Assumptions!AX$77)*Assumptions!AX$74</f>
        <v/>
      </c>
      <c r="AY110" s="52">
        <f>$B$110*AY$99*INDEX(Cum_OtherInc,1,Assumptions!AY$77)*Assumptions!AY$74</f>
        <v/>
      </c>
      <c r="AZ110" s="52">
        <f>$B$110*AZ$99*INDEX(Cum_OtherInc,1,Assumptions!AZ$77)*Assumptions!AZ$74</f>
        <v/>
      </c>
      <c r="BA110" s="52">
        <f>$B$110*BA$99*INDEX(Cum_OtherInc,1,Assumptions!BA$77)*Assumptions!BA$74</f>
        <v/>
      </c>
      <c r="BB110" s="52">
        <f>$B$110*BB$99*INDEX(Cum_OtherInc,1,Assumptions!BB$77)*Assumptions!BB$74</f>
        <v/>
      </c>
      <c r="BC110" s="52">
        <f>$B$110*BC$99*INDEX(Cum_OtherInc,1,Assumptions!BC$77)*Assumptions!BC$74</f>
        <v/>
      </c>
      <c r="BD110" s="52">
        <f>$B$110*BD$99*INDEX(Cum_OtherInc,1,Assumptions!BD$77)*Assumptions!BD$74</f>
        <v/>
      </c>
      <c r="BE110" s="52">
        <f>$B$110*BE$99*INDEX(Cum_OtherInc,1,Assumptions!BE$77)*Assumptions!BE$74</f>
        <v/>
      </c>
      <c r="BF110" s="52">
        <f>$B$110*BF$99*INDEX(Cum_OtherInc,1,Assumptions!BF$77)*Assumptions!BF$74</f>
        <v/>
      </c>
      <c r="BG110" s="52">
        <f>$B$110*BG$99*INDEX(Cum_OtherInc,1,Assumptions!BG$77)*Assumptions!BG$74</f>
        <v/>
      </c>
      <c r="BH110" s="52">
        <f>$B$110*BH$99*INDEX(Cum_OtherInc,1,Assumptions!BH$77)*Assumptions!BH$74</f>
        <v/>
      </c>
      <c r="BI110" s="52">
        <f>$B$110*BI$99*INDEX(Cum_OtherInc,1,Assumptions!BI$77)*Assumptions!BI$74</f>
        <v/>
      </c>
      <c r="BJ110" s="52">
        <f>$B$110*BJ$99*INDEX(Cum_OtherInc,1,Assumptions!BJ$77)*Assumptions!BJ$74</f>
        <v/>
      </c>
      <c r="BK110" s="52">
        <f>$B$110*BK$99*INDEX(Cum_OtherInc,1,Assumptions!BK$77)*Assumptions!BK$74</f>
        <v/>
      </c>
      <c r="BL110" s="52">
        <f>$B$110*BL$99*INDEX(Cum_OtherInc,1,Assumptions!BL$77)*Assumptions!BL$74</f>
        <v/>
      </c>
      <c r="BM110" s="52">
        <f>$B$110*BM$99*INDEX(Cum_OtherInc,1,Assumptions!BM$77)*Assumptions!BM$74</f>
        <v/>
      </c>
      <c r="BN110" s="52">
        <f>$B$110*BN$99*INDEX(Cum_OtherInc,1,Assumptions!BN$77)*Assumptions!BN$74</f>
        <v/>
      </c>
      <c r="BO110" s="52">
        <f>$B$110*BO$99*INDEX(Cum_OtherInc,1,Assumptions!BO$77)*Assumptions!BO$74</f>
        <v/>
      </c>
      <c r="BP110" s="52">
        <f>$B$110*BP$99*INDEX(Cum_OtherInc,1,Assumptions!BP$77)*Assumptions!BP$74</f>
        <v/>
      </c>
      <c r="BQ110" s="52">
        <f>$B$110*BQ$99*INDEX(Cum_OtherInc,1,Assumptions!BQ$77)*Assumptions!BQ$74</f>
        <v/>
      </c>
      <c r="BR110" s="52">
        <f>$B$110*BR$99*INDEX(Cum_OtherInc,1,Assumptions!BR$77)*Assumptions!BR$74</f>
        <v/>
      </c>
      <c r="BS110" s="52">
        <f>$B$110*BS$99*INDEX(Cum_OtherInc,1,Assumptions!BS$77)*Assumptions!BS$74</f>
        <v/>
      </c>
      <c r="BT110" s="52">
        <f>$B$110*BT$99*INDEX(Cum_OtherInc,1,Assumptions!BT$77)*Assumptions!BT$74</f>
        <v/>
      </c>
      <c r="BU110" s="52">
        <f>$B$110*BU$99*INDEX(Cum_OtherInc,1,Assumptions!BU$77)*Assumptions!BU$74</f>
        <v/>
      </c>
      <c r="BV110" s="52">
        <f>$B$110*BV$99*INDEX(Cum_OtherInc,1,Assumptions!BV$77)*Assumptions!BV$74</f>
        <v/>
      </c>
      <c r="BW110" s="52">
        <f>$B$110*BW$99*INDEX(Cum_OtherInc,1,Assumptions!BW$77)*Assumptions!BW$74</f>
        <v/>
      </c>
      <c r="BX110" s="52">
        <f>$B$110*BX$99*INDEX(Cum_OtherInc,1,Assumptions!BX$77)*Assumptions!BX$74</f>
        <v/>
      </c>
      <c r="BY110" s="52">
        <f>$B$110*BY$99*INDEX(Cum_OtherInc,1,Assumptions!BY$77)*Assumptions!BY$74</f>
        <v/>
      </c>
      <c r="BZ110" s="52">
        <f>$B$110*BZ$99*INDEX(Cum_OtherInc,1,Assumptions!BZ$77)*Assumptions!BZ$74</f>
        <v/>
      </c>
      <c r="CA110" s="52">
        <f>$B$110*CA$99*INDEX(Cum_OtherInc,1,Assumptions!CA$77)*Assumptions!CA$74</f>
        <v/>
      </c>
      <c r="CB110" s="52">
        <f>$B$110*CB$99*INDEX(Cum_OtherInc,1,Assumptions!CB$77)*Assumptions!CB$74</f>
        <v/>
      </c>
      <c r="CC110" s="52">
        <f>$B$110*CC$99*INDEX(Cum_OtherInc,1,Assumptions!CC$77)*Assumptions!CC$74</f>
        <v/>
      </c>
      <c r="CD110" s="52">
        <f>$B$110*CD$99*INDEX(Cum_OtherInc,1,Assumptions!CD$77)*Assumptions!CD$74</f>
        <v/>
      </c>
      <c r="CE110" s="52">
        <f>$B$110*CE$99*INDEX(Cum_OtherInc,1,Assumptions!CE$77)*Assumptions!CE$74</f>
        <v/>
      </c>
      <c r="CF110" s="52">
        <f>$B$110*CF$99*INDEX(Cum_OtherInc,1,Assumptions!CF$77)*Assumptions!CF$74</f>
        <v/>
      </c>
      <c r="CG110" s="52">
        <f>$B$110*CG$99*INDEX(Cum_OtherInc,1,Assumptions!CG$77)*Assumptions!CG$74</f>
        <v/>
      </c>
      <c r="CH110" s="52">
        <f>$B$110*CH$99*INDEX(Cum_OtherInc,1,Assumptions!CH$77)*Assumptions!CH$74</f>
        <v/>
      </c>
      <c r="CI110" s="52">
        <f>$B$110*CI$99*INDEX(Cum_OtherInc,1,Assumptions!CI$77)*Assumptions!CI$74</f>
        <v/>
      </c>
      <c r="CJ110" s="52">
        <f>$B$110*CJ$99*INDEX(Cum_OtherInc,1,Assumptions!CJ$77)*Assumptions!CJ$74</f>
        <v/>
      </c>
      <c r="CK110" s="52">
        <f>$B$110*CK$99*INDEX(Cum_OtherInc,1,Assumptions!CK$77)*Assumptions!CK$74</f>
        <v/>
      </c>
      <c r="CL110" s="52">
        <f>$B$110*CL$99*INDEX(Cum_OtherInc,1,Assumptions!CL$77)*Assumptions!CL$74</f>
        <v/>
      </c>
      <c r="CM110" s="52">
        <f>$B$110*CM$99*INDEX(Cum_OtherInc,1,Assumptions!CM$77)*Assumptions!CM$74</f>
        <v/>
      </c>
      <c r="CN110" s="52">
        <f>$B$110*CN$99*INDEX(Cum_OtherInc,1,Assumptions!CN$77)*Assumptions!CN$74</f>
        <v/>
      </c>
      <c r="CO110" s="52">
        <f>$B$110*CO$99*INDEX(Cum_OtherInc,1,Assumptions!CO$77)*Assumptions!CO$74</f>
        <v/>
      </c>
      <c r="CP110" s="52">
        <f>$B$110*CP$99*INDEX(Cum_OtherInc,1,Assumptions!CP$77)*Assumptions!CP$74</f>
        <v/>
      </c>
      <c r="CQ110" s="52">
        <f>$B$110*CQ$99*INDEX(Cum_OtherInc,1,Assumptions!CQ$77)*Assumptions!CQ$74</f>
        <v/>
      </c>
      <c r="CR110" s="52">
        <f>$B$110*CR$99*INDEX(Cum_OtherInc,1,Assumptions!CR$77)*Assumptions!CR$74</f>
        <v/>
      </c>
      <c r="CS110" s="52">
        <f>$B$110*CS$99*INDEX(Cum_OtherInc,1,Assumptions!CS$77)*Assumptions!CS$74</f>
        <v/>
      </c>
      <c r="CT110" s="52">
        <f>$B$110*CT$99*INDEX(Cum_OtherInc,1,Assumptions!CT$77)*Assumptions!CT$74</f>
        <v/>
      </c>
      <c r="CU110" s="52">
        <f>$B$110*CU$99*INDEX(Cum_OtherInc,1,Assumptions!CU$77)*Assumptions!CU$74</f>
        <v/>
      </c>
      <c r="CV110" s="52">
        <f>$B$110*CV$99*INDEX(Cum_OtherInc,1,Assumptions!CV$77)*Assumptions!CV$74</f>
        <v/>
      </c>
      <c r="CW110" s="52">
        <f>$B$110*CW$99*INDEX(Cum_OtherInc,1,Assumptions!CW$77)*Assumptions!CW$74</f>
        <v/>
      </c>
      <c r="CX110" s="52">
        <f>$B$110*CX$99*INDEX(Cum_OtherInc,1,Assumptions!CX$77)*Assumptions!CX$74</f>
        <v/>
      </c>
      <c r="CY110" s="52">
        <f>$B$110*CY$99*INDEX(Cum_OtherInc,1,Assumptions!CY$77)*Assumptions!CY$74</f>
        <v/>
      </c>
      <c r="CZ110" s="52">
        <f>$B$110*CZ$99*INDEX(Cum_OtherInc,1,Assumptions!CZ$77)*Assumptions!CZ$74</f>
        <v/>
      </c>
      <c r="DA110" s="52">
        <f>$B$110*DA$99*INDEX(Cum_OtherInc,1,Assumptions!DA$77)*Assumptions!DA$74</f>
        <v/>
      </c>
      <c r="DB110" s="52">
        <f>$B$110*DB$99*INDEX(Cum_OtherInc,1,Assumptions!DB$77)*Assumptions!DB$74</f>
        <v/>
      </c>
      <c r="DC110" s="52">
        <f>$B$110*DC$99*INDEX(Cum_OtherInc,1,Assumptions!DC$77)*Assumptions!DC$74</f>
        <v/>
      </c>
      <c r="DD110" s="52">
        <f>$B$110*DD$99*INDEX(Cum_OtherInc,1,Assumptions!DD$77)*Assumptions!DD$74</f>
        <v/>
      </c>
      <c r="DE110" s="52">
        <f>$B$110*DE$99*INDEX(Cum_OtherInc,1,Assumptions!DE$77)*Assumptions!DE$74</f>
        <v/>
      </c>
      <c r="DF110" s="52">
        <f>$B$110*DF$99*INDEX(Cum_OtherInc,1,Assumptions!DF$77)*Assumptions!DF$74</f>
        <v/>
      </c>
      <c r="DG110" s="52">
        <f>$B$110*DG$99*INDEX(Cum_OtherInc,1,Assumptions!DG$77)*Assumptions!DG$74</f>
        <v/>
      </c>
      <c r="DH110" s="52">
        <f>$B$110*DH$99*INDEX(Cum_OtherInc,1,Assumptions!DH$77)*Assumptions!DH$74</f>
        <v/>
      </c>
      <c r="DI110" s="52">
        <f>$B$110*DI$99*INDEX(Cum_OtherInc,1,Assumptions!DI$77)*Assumptions!DI$74</f>
        <v/>
      </c>
      <c r="DJ110" s="52">
        <f>$B$110*DJ$99*INDEX(Cum_OtherInc,1,Assumptions!DJ$77)*Assumptions!DJ$74</f>
        <v/>
      </c>
      <c r="DK110" s="52">
        <f>$B$110*DK$99*INDEX(Cum_OtherInc,1,Assumptions!DK$77)*Assumptions!DK$74</f>
        <v/>
      </c>
      <c r="DL110" s="52">
        <f>$B$110*DL$99*INDEX(Cum_OtherInc,1,Assumptions!DL$77)*Assumptions!DL$74</f>
        <v/>
      </c>
      <c r="DM110" s="52">
        <f>$B$110*DM$99*INDEX(Cum_OtherInc,1,Assumptions!DM$77)*Assumptions!DM$74</f>
        <v/>
      </c>
      <c r="DN110" s="52">
        <f>$B$110*DN$99*INDEX(Cum_OtherInc,1,Assumptions!DN$77)*Assumptions!DN$74</f>
        <v/>
      </c>
      <c r="DO110" s="52">
        <f>$B$110*DO$99*INDEX(Cum_OtherInc,1,Assumptions!DO$77)*Assumptions!DO$74</f>
        <v/>
      </c>
      <c r="DP110" s="52">
        <f>$B$110*DP$99*INDEX(Cum_OtherInc,1,Assumptions!DP$77)*Assumptions!DP$74</f>
        <v/>
      </c>
      <c r="DQ110" s="52">
        <f>$B$110*DQ$99*INDEX(Cum_OtherInc,1,Assumptions!DQ$77)*Assumptions!DQ$74</f>
        <v/>
      </c>
      <c r="DR110" s="52">
        <f>$B$110*DR$99*INDEX(Cum_OtherInc,1,Assumptions!DR$77)*Assumptions!DR$74</f>
        <v/>
      </c>
      <c r="DS110" s="52">
        <f>$B$110*DS$99*INDEX(Cum_OtherInc,1,Assumptions!DS$77)*Assumptions!DS$74</f>
        <v/>
      </c>
      <c r="DT110" s="52">
        <f>$B$110*DT$99*INDEX(Cum_OtherInc,1,Assumptions!DT$77)*Assumptions!DT$74</f>
        <v/>
      </c>
    </row>
    <row r="111">
      <c r="A111" s="10" t="inlineStr">
        <is>
          <t xml:space="preserve">  Application / admin fees</t>
        </is>
      </c>
      <c r="B111" s="55" t="n">
        <v>5</v>
      </c>
      <c r="E111" s="52">
        <f>$B$111*E$99*INDEX(Cum_OtherInc,1,Assumptions!E$77)*Assumptions!E$74</f>
        <v/>
      </c>
      <c r="F111" s="52">
        <f>$B$111*F$99*INDEX(Cum_OtherInc,1,Assumptions!F$77)*Assumptions!F$74</f>
        <v/>
      </c>
      <c r="G111" s="52">
        <f>$B$111*G$99*INDEX(Cum_OtherInc,1,Assumptions!G$77)*Assumptions!G$74</f>
        <v/>
      </c>
      <c r="H111" s="52">
        <f>$B$111*H$99*INDEX(Cum_OtherInc,1,Assumptions!H$77)*Assumptions!H$74</f>
        <v/>
      </c>
      <c r="I111" s="52">
        <f>$B$111*I$99*INDEX(Cum_OtherInc,1,Assumptions!I$77)*Assumptions!I$74</f>
        <v/>
      </c>
      <c r="J111" s="52">
        <f>$B$111*J$99*INDEX(Cum_OtherInc,1,Assumptions!J$77)*Assumptions!J$74</f>
        <v/>
      </c>
      <c r="K111" s="52">
        <f>$B$111*K$99*INDEX(Cum_OtherInc,1,Assumptions!K$77)*Assumptions!K$74</f>
        <v/>
      </c>
      <c r="L111" s="52">
        <f>$B$111*L$99*INDEX(Cum_OtherInc,1,Assumptions!L$77)*Assumptions!L$74</f>
        <v/>
      </c>
      <c r="M111" s="52">
        <f>$B$111*M$99*INDEX(Cum_OtherInc,1,Assumptions!M$77)*Assumptions!M$74</f>
        <v/>
      </c>
      <c r="N111" s="52">
        <f>$B$111*N$99*INDEX(Cum_OtherInc,1,Assumptions!N$77)*Assumptions!N$74</f>
        <v/>
      </c>
      <c r="O111" s="52">
        <f>$B$111*O$99*INDEX(Cum_OtherInc,1,Assumptions!O$77)*Assumptions!O$74</f>
        <v/>
      </c>
      <c r="P111" s="52">
        <f>$B$111*P$99*INDEX(Cum_OtherInc,1,Assumptions!P$77)*Assumptions!P$74</f>
        <v/>
      </c>
      <c r="Q111" s="52">
        <f>$B$111*Q$99*INDEX(Cum_OtherInc,1,Assumptions!Q$77)*Assumptions!Q$74</f>
        <v/>
      </c>
      <c r="R111" s="52">
        <f>$B$111*R$99*INDEX(Cum_OtherInc,1,Assumptions!R$77)*Assumptions!R$74</f>
        <v/>
      </c>
      <c r="S111" s="52">
        <f>$B$111*S$99*INDEX(Cum_OtherInc,1,Assumptions!S$77)*Assumptions!S$74</f>
        <v/>
      </c>
      <c r="T111" s="52">
        <f>$B$111*T$99*INDEX(Cum_OtherInc,1,Assumptions!T$77)*Assumptions!T$74</f>
        <v/>
      </c>
      <c r="U111" s="52">
        <f>$B$111*U$99*INDEX(Cum_OtherInc,1,Assumptions!U$77)*Assumptions!U$74</f>
        <v/>
      </c>
      <c r="V111" s="52">
        <f>$B$111*V$99*INDEX(Cum_OtherInc,1,Assumptions!V$77)*Assumptions!V$74</f>
        <v/>
      </c>
      <c r="W111" s="52">
        <f>$B$111*W$99*INDEX(Cum_OtherInc,1,Assumptions!W$77)*Assumptions!W$74</f>
        <v/>
      </c>
      <c r="X111" s="52">
        <f>$B$111*X$99*INDEX(Cum_OtherInc,1,Assumptions!X$77)*Assumptions!X$74</f>
        <v/>
      </c>
      <c r="Y111" s="52">
        <f>$B$111*Y$99*INDEX(Cum_OtherInc,1,Assumptions!Y$77)*Assumptions!Y$74</f>
        <v/>
      </c>
      <c r="Z111" s="52">
        <f>$B$111*Z$99*INDEX(Cum_OtherInc,1,Assumptions!Z$77)*Assumptions!Z$74</f>
        <v/>
      </c>
      <c r="AA111" s="52">
        <f>$B$111*AA$99*INDEX(Cum_OtherInc,1,Assumptions!AA$77)*Assumptions!AA$74</f>
        <v/>
      </c>
      <c r="AB111" s="52">
        <f>$B$111*AB$99*INDEX(Cum_OtherInc,1,Assumptions!AB$77)*Assumptions!AB$74</f>
        <v/>
      </c>
      <c r="AC111" s="52">
        <f>$B$111*AC$99*INDEX(Cum_OtherInc,1,Assumptions!AC$77)*Assumptions!AC$74</f>
        <v/>
      </c>
      <c r="AD111" s="52">
        <f>$B$111*AD$99*INDEX(Cum_OtherInc,1,Assumptions!AD$77)*Assumptions!AD$74</f>
        <v/>
      </c>
      <c r="AE111" s="52">
        <f>$B$111*AE$99*INDEX(Cum_OtherInc,1,Assumptions!AE$77)*Assumptions!AE$74</f>
        <v/>
      </c>
      <c r="AF111" s="52">
        <f>$B$111*AF$99*INDEX(Cum_OtherInc,1,Assumptions!AF$77)*Assumptions!AF$74</f>
        <v/>
      </c>
      <c r="AG111" s="52">
        <f>$B$111*AG$99*INDEX(Cum_OtherInc,1,Assumptions!AG$77)*Assumptions!AG$74</f>
        <v/>
      </c>
      <c r="AH111" s="52">
        <f>$B$111*AH$99*INDEX(Cum_OtherInc,1,Assumptions!AH$77)*Assumptions!AH$74</f>
        <v/>
      </c>
      <c r="AI111" s="52">
        <f>$B$111*AI$99*INDEX(Cum_OtherInc,1,Assumptions!AI$77)*Assumptions!AI$74</f>
        <v/>
      </c>
      <c r="AJ111" s="52">
        <f>$B$111*AJ$99*INDEX(Cum_OtherInc,1,Assumptions!AJ$77)*Assumptions!AJ$74</f>
        <v/>
      </c>
      <c r="AK111" s="52">
        <f>$B$111*AK$99*INDEX(Cum_OtherInc,1,Assumptions!AK$77)*Assumptions!AK$74</f>
        <v/>
      </c>
      <c r="AL111" s="52">
        <f>$B$111*AL$99*INDEX(Cum_OtherInc,1,Assumptions!AL$77)*Assumptions!AL$74</f>
        <v/>
      </c>
      <c r="AM111" s="52">
        <f>$B$111*AM$99*INDEX(Cum_OtherInc,1,Assumptions!AM$77)*Assumptions!AM$74</f>
        <v/>
      </c>
      <c r="AN111" s="52">
        <f>$B$111*AN$99*INDEX(Cum_OtherInc,1,Assumptions!AN$77)*Assumptions!AN$74</f>
        <v/>
      </c>
      <c r="AO111" s="52">
        <f>$B$111*AO$99*INDEX(Cum_OtherInc,1,Assumptions!AO$77)*Assumptions!AO$74</f>
        <v/>
      </c>
      <c r="AP111" s="52">
        <f>$B$111*AP$99*INDEX(Cum_OtherInc,1,Assumptions!AP$77)*Assumptions!AP$74</f>
        <v/>
      </c>
      <c r="AQ111" s="52">
        <f>$B$111*AQ$99*INDEX(Cum_OtherInc,1,Assumptions!AQ$77)*Assumptions!AQ$74</f>
        <v/>
      </c>
      <c r="AR111" s="52">
        <f>$B$111*AR$99*INDEX(Cum_OtherInc,1,Assumptions!AR$77)*Assumptions!AR$74</f>
        <v/>
      </c>
      <c r="AS111" s="52">
        <f>$B$111*AS$99*INDEX(Cum_OtherInc,1,Assumptions!AS$77)*Assumptions!AS$74</f>
        <v/>
      </c>
      <c r="AT111" s="52">
        <f>$B$111*AT$99*INDEX(Cum_OtherInc,1,Assumptions!AT$77)*Assumptions!AT$74</f>
        <v/>
      </c>
      <c r="AU111" s="52">
        <f>$B$111*AU$99*INDEX(Cum_OtherInc,1,Assumptions!AU$77)*Assumptions!AU$74</f>
        <v/>
      </c>
      <c r="AV111" s="52">
        <f>$B$111*AV$99*INDEX(Cum_OtherInc,1,Assumptions!AV$77)*Assumptions!AV$74</f>
        <v/>
      </c>
      <c r="AW111" s="52">
        <f>$B$111*AW$99*INDEX(Cum_OtherInc,1,Assumptions!AW$77)*Assumptions!AW$74</f>
        <v/>
      </c>
      <c r="AX111" s="52">
        <f>$B$111*AX$99*INDEX(Cum_OtherInc,1,Assumptions!AX$77)*Assumptions!AX$74</f>
        <v/>
      </c>
      <c r="AY111" s="52">
        <f>$B$111*AY$99*INDEX(Cum_OtherInc,1,Assumptions!AY$77)*Assumptions!AY$74</f>
        <v/>
      </c>
      <c r="AZ111" s="52">
        <f>$B$111*AZ$99*INDEX(Cum_OtherInc,1,Assumptions!AZ$77)*Assumptions!AZ$74</f>
        <v/>
      </c>
      <c r="BA111" s="52">
        <f>$B$111*BA$99*INDEX(Cum_OtherInc,1,Assumptions!BA$77)*Assumptions!BA$74</f>
        <v/>
      </c>
      <c r="BB111" s="52">
        <f>$B$111*BB$99*INDEX(Cum_OtherInc,1,Assumptions!BB$77)*Assumptions!BB$74</f>
        <v/>
      </c>
      <c r="BC111" s="52">
        <f>$B$111*BC$99*INDEX(Cum_OtherInc,1,Assumptions!BC$77)*Assumptions!BC$74</f>
        <v/>
      </c>
      <c r="BD111" s="52">
        <f>$B$111*BD$99*INDEX(Cum_OtherInc,1,Assumptions!BD$77)*Assumptions!BD$74</f>
        <v/>
      </c>
      <c r="BE111" s="52">
        <f>$B$111*BE$99*INDEX(Cum_OtherInc,1,Assumptions!BE$77)*Assumptions!BE$74</f>
        <v/>
      </c>
      <c r="BF111" s="52">
        <f>$B$111*BF$99*INDEX(Cum_OtherInc,1,Assumptions!BF$77)*Assumptions!BF$74</f>
        <v/>
      </c>
      <c r="BG111" s="52">
        <f>$B$111*BG$99*INDEX(Cum_OtherInc,1,Assumptions!BG$77)*Assumptions!BG$74</f>
        <v/>
      </c>
      <c r="BH111" s="52">
        <f>$B$111*BH$99*INDEX(Cum_OtherInc,1,Assumptions!BH$77)*Assumptions!BH$74</f>
        <v/>
      </c>
      <c r="BI111" s="52">
        <f>$B$111*BI$99*INDEX(Cum_OtherInc,1,Assumptions!BI$77)*Assumptions!BI$74</f>
        <v/>
      </c>
      <c r="BJ111" s="52">
        <f>$B$111*BJ$99*INDEX(Cum_OtherInc,1,Assumptions!BJ$77)*Assumptions!BJ$74</f>
        <v/>
      </c>
      <c r="BK111" s="52">
        <f>$B$111*BK$99*INDEX(Cum_OtherInc,1,Assumptions!BK$77)*Assumptions!BK$74</f>
        <v/>
      </c>
      <c r="BL111" s="52">
        <f>$B$111*BL$99*INDEX(Cum_OtherInc,1,Assumptions!BL$77)*Assumptions!BL$74</f>
        <v/>
      </c>
      <c r="BM111" s="52">
        <f>$B$111*BM$99*INDEX(Cum_OtherInc,1,Assumptions!BM$77)*Assumptions!BM$74</f>
        <v/>
      </c>
      <c r="BN111" s="52">
        <f>$B$111*BN$99*INDEX(Cum_OtherInc,1,Assumptions!BN$77)*Assumptions!BN$74</f>
        <v/>
      </c>
      <c r="BO111" s="52">
        <f>$B$111*BO$99*INDEX(Cum_OtherInc,1,Assumptions!BO$77)*Assumptions!BO$74</f>
        <v/>
      </c>
      <c r="BP111" s="52">
        <f>$B$111*BP$99*INDEX(Cum_OtherInc,1,Assumptions!BP$77)*Assumptions!BP$74</f>
        <v/>
      </c>
      <c r="BQ111" s="52">
        <f>$B$111*BQ$99*INDEX(Cum_OtherInc,1,Assumptions!BQ$77)*Assumptions!BQ$74</f>
        <v/>
      </c>
      <c r="BR111" s="52">
        <f>$B$111*BR$99*INDEX(Cum_OtherInc,1,Assumptions!BR$77)*Assumptions!BR$74</f>
        <v/>
      </c>
      <c r="BS111" s="52">
        <f>$B$111*BS$99*INDEX(Cum_OtherInc,1,Assumptions!BS$77)*Assumptions!BS$74</f>
        <v/>
      </c>
      <c r="BT111" s="52">
        <f>$B$111*BT$99*INDEX(Cum_OtherInc,1,Assumptions!BT$77)*Assumptions!BT$74</f>
        <v/>
      </c>
      <c r="BU111" s="52">
        <f>$B$111*BU$99*INDEX(Cum_OtherInc,1,Assumptions!BU$77)*Assumptions!BU$74</f>
        <v/>
      </c>
      <c r="BV111" s="52">
        <f>$B$111*BV$99*INDEX(Cum_OtherInc,1,Assumptions!BV$77)*Assumptions!BV$74</f>
        <v/>
      </c>
      <c r="BW111" s="52">
        <f>$B$111*BW$99*INDEX(Cum_OtherInc,1,Assumptions!BW$77)*Assumptions!BW$74</f>
        <v/>
      </c>
      <c r="BX111" s="52">
        <f>$B$111*BX$99*INDEX(Cum_OtherInc,1,Assumptions!BX$77)*Assumptions!BX$74</f>
        <v/>
      </c>
      <c r="BY111" s="52">
        <f>$B$111*BY$99*INDEX(Cum_OtherInc,1,Assumptions!BY$77)*Assumptions!BY$74</f>
        <v/>
      </c>
      <c r="BZ111" s="52">
        <f>$B$111*BZ$99*INDEX(Cum_OtherInc,1,Assumptions!BZ$77)*Assumptions!BZ$74</f>
        <v/>
      </c>
      <c r="CA111" s="52">
        <f>$B$111*CA$99*INDEX(Cum_OtherInc,1,Assumptions!CA$77)*Assumptions!CA$74</f>
        <v/>
      </c>
      <c r="CB111" s="52">
        <f>$B$111*CB$99*INDEX(Cum_OtherInc,1,Assumptions!CB$77)*Assumptions!CB$74</f>
        <v/>
      </c>
      <c r="CC111" s="52">
        <f>$B$111*CC$99*INDEX(Cum_OtherInc,1,Assumptions!CC$77)*Assumptions!CC$74</f>
        <v/>
      </c>
      <c r="CD111" s="52">
        <f>$B$111*CD$99*INDEX(Cum_OtherInc,1,Assumptions!CD$77)*Assumptions!CD$74</f>
        <v/>
      </c>
      <c r="CE111" s="52">
        <f>$B$111*CE$99*INDEX(Cum_OtherInc,1,Assumptions!CE$77)*Assumptions!CE$74</f>
        <v/>
      </c>
      <c r="CF111" s="52">
        <f>$B$111*CF$99*INDEX(Cum_OtherInc,1,Assumptions!CF$77)*Assumptions!CF$74</f>
        <v/>
      </c>
      <c r="CG111" s="52">
        <f>$B$111*CG$99*INDEX(Cum_OtherInc,1,Assumptions!CG$77)*Assumptions!CG$74</f>
        <v/>
      </c>
      <c r="CH111" s="52">
        <f>$B$111*CH$99*INDEX(Cum_OtherInc,1,Assumptions!CH$77)*Assumptions!CH$74</f>
        <v/>
      </c>
      <c r="CI111" s="52">
        <f>$B$111*CI$99*INDEX(Cum_OtherInc,1,Assumptions!CI$77)*Assumptions!CI$74</f>
        <v/>
      </c>
      <c r="CJ111" s="52">
        <f>$B$111*CJ$99*INDEX(Cum_OtherInc,1,Assumptions!CJ$77)*Assumptions!CJ$74</f>
        <v/>
      </c>
      <c r="CK111" s="52">
        <f>$B$111*CK$99*INDEX(Cum_OtherInc,1,Assumptions!CK$77)*Assumptions!CK$74</f>
        <v/>
      </c>
      <c r="CL111" s="52">
        <f>$B$111*CL$99*INDEX(Cum_OtherInc,1,Assumptions!CL$77)*Assumptions!CL$74</f>
        <v/>
      </c>
      <c r="CM111" s="52">
        <f>$B$111*CM$99*INDEX(Cum_OtherInc,1,Assumptions!CM$77)*Assumptions!CM$74</f>
        <v/>
      </c>
      <c r="CN111" s="52">
        <f>$B$111*CN$99*INDEX(Cum_OtherInc,1,Assumptions!CN$77)*Assumptions!CN$74</f>
        <v/>
      </c>
      <c r="CO111" s="52">
        <f>$B$111*CO$99*INDEX(Cum_OtherInc,1,Assumptions!CO$77)*Assumptions!CO$74</f>
        <v/>
      </c>
      <c r="CP111" s="52">
        <f>$B$111*CP$99*INDEX(Cum_OtherInc,1,Assumptions!CP$77)*Assumptions!CP$74</f>
        <v/>
      </c>
      <c r="CQ111" s="52">
        <f>$B$111*CQ$99*INDEX(Cum_OtherInc,1,Assumptions!CQ$77)*Assumptions!CQ$74</f>
        <v/>
      </c>
      <c r="CR111" s="52">
        <f>$B$111*CR$99*INDEX(Cum_OtherInc,1,Assumptions!CR$77)*Assumptions!CR$74</f>
        <v/>
      </c>
      <c r="CS111" s="52">
        <f>$B$111*CS$99*INDEX(Cum_OtherInc,1,Assumptions!CS$77)*Assumptions!CS$74</f>
        <v/>
      </c>
      <c r="CT111" s="52">
        <f>$B$111*CT$99*INDEX(Cum_OtherInc,1,Assumptions!CT$77)*Assumptions!CT$74</f>
        <v/>
      </c>
      <c r="CU111" s="52">
        <f>$B$111*CU$99*INDEX(Cum_OtherInc,1,Assumptions!CU$77)*Assumptions!CU$74</f>
        <v/>
      </c>
      <c r="CV111" s="52">
        <f>$B$111*CV$99*INDEX(Cum_OtherInc,1,Assumptions!CV$77)*Assumptions!CV$74</f>
        <v/>
      </c>
      <c r="CW111" s="52">
        <f>$B$111*CW$99*INDEX(Cum_OtherInc,1,Assumptions!CW$77)*Assumptions!CW$74</f>
        <v/>
      </c>
      <c r="CX111" s="52">
        <f>$B$111*CX$99*INDEX(Cum_OtherInc,1,Assumptions!CX$77)*Assumptions!CX$74</f>
        <v/>
      </c>
      <c r="CY111" s="52">
        <f>$B$111*CY$99*INDEX(Cum_OtherInc,1,Assumptions!CY$77)*Assumptions!CY$74</f>
        <v/>
      </c>
      <c r="CZ111" s="52">
        <f>$B$111*CZ$99*INDEX(Cum_OtherInc,1,Assumptions!CZ$77)*Assumptions!CZ$74</f>
        <v/>
      </c>
      <c r="DA111" s="52">
        <f>$B$111*DA$99*INDEX(Cum_OtherInc,1,Assumptions!DA$77)*Assumptions!DA$74</f>
        <v/>
      </c>
      <c r="DB111" s="52">
        <f>$B$111*DB$99*INDEX(Cum_OtherInc,1,Assumptions!DB$77)*Assumptions!DB$74</f>
        <v/>
      </c>
      <c r="DC111" s="52">
        <f>$B$111*DC$99*INDEX(Cum_OtherInc,1,Assumptions!DC$77)*Assumptions!DC$74</f>
        <v/>
      </c>
      <c r="DD111" s="52">
        <f>$B$111*DD$99*INDEX(Cum_OtherInc,1,Assumptions!DD$77)*Assumptions!DD$74</f>
        <v/>
      </c>
      <c r="DE111" s="52">
        <f>$B$111*DE$99*INDEX(Cum_OtherInc,1,Assumptions!DE$77)*Assumptions!DE$74</f>
        <v/>
      </c>
      <c r="DF111" s="52">
        <f>$B$111*DF$99*INDEX(Cum_OtherInc,1,Assumptions!DF$77)*Assumptions!DF$74</f>
        <v/>
      </c>
      <c r="DG111" s="52">
        <f>$B$111*DG$99*INDEX(Cum_OtherInc,1,Assumptions!DG$77)*Assumptions!DG$74</f>
        <v/>
      </c>
      <c r="DH111" s="52">
        <f>$B$111*DH$99*INDEX(Cum_OtherInc,1,Assumptions!DH$77)*Assumptions!DH$74</f>
        <v/>
      </c>
      <c r="DI111" s="52">
        <f>$B$111*DI$99*INDEX(Cum_OtherInc,1,Assumptions!DI$77)*Assumptions!DI$74</f>
        <v/>
      </c>
      <c r="DJ111" s="52">
        <f>$B$111*DJ$99*INDEX(Cum_OtherInc,1,Assumptions!DJ$77)*Assumptions!DJ$74</f>
        <v/>
      </c>
      <c r="DK111" s="52">
        <f>$B$111*DK$99*INDEX(Cum_OtherInc,1,Assumptions!DK$77)*Assumptions!DK$74</f>
        <v/>
      </c>
      <c r="DL111" s="52">
        <f>$B$111*DL$99*INDEX(Cum_OtherInc,1,Assumptions!DL$77)*Assumptions!DL$74</f>
        <v/>
      </c>
      <c r="DM111" s="52">
        <f>$B$111*DM$99*INDEX(Cum_OtherInc,1,Assumptions!DM$77)*Assumptions!DM$74</f>
        <v/>
      </c>
      <c r="DN111" s="52">
        <f>$B$111*DN$99*INDEX(Cum_OtherInc,1,Assumptions!DN$77)*Assumptions!DN$74</f>
        <v/>
      </c>
      <c r="DO111" s="52">
        <f>$B$111*DO$99*INDEX(Cum_OtherInc,1,Assumptions!DO$77)*Assumptions!DO$74</f>
        <v/>
      </c>
      <c r="DP111" s="52">
        <f>$B$111*DP$99*INDEX(Cum_OtherInc,1,Assumptions!DP$77)*Assumptions!DP$74</f>
        <v/>
      </c>
      <c r="DQ111" s="52">
        <f>$B$111*DQ$99*INDEX(Cum_OtherInc,1,Assumptions!DQ$77)*Assumptions!DQ$74</f>
        <v/>
      </c>
      <c r="DR111" s="52">
        <f>$B$111*DR$99*INDEX(Cum_OtherInc,1,Assumptions!DR$77)*Assumptions!DR$74</f>
        <v/>
      </c>
      <c r="DS111" s="52">
        <f>$B$111*DS$99*INDEX(Cum_OtherInc,1,Assumptions!DS$77)*Assumptions!DS$74</f>
        <v/>
      </c>
      <c r="DT111" s="52">
        <f>$B$111*DT$99*INDEX(Cum_OtherInc,1,Assumptions!DT$77)*Assumptions!DT$74</f>
        <v/>
      </c>
    </row>
    <row r="112">
      <c r="A112" s="10" t="inlineStr">
        <is>
          <t xml:space="preserve">  Other</t>
        </is>
      </c>
      <c r="B112" s="55" t="n">
        <v>6</v>
      </c>
      <c r="E112" s="52">
        <f>$B$112*E$99*INDEX(Cum_OtherInc,1,Assumptions!E$77)*Assumptions!E$74</f>
        <v/>
      </c>
      <c r="F112" s="52">
        <f>$B$112*F$99*INDEX(Cum_OtherInc,1,Assumptions!F$77)*Assumptions!F$74</f>
        <v/>
      </c>
      <c r="G112" s="52">
        <f>$B$112*G$99*INDEX(Cum_OtherInc,1,Assumptions!G$77)*Assumptions!G$74</f>
        <v/>
      </c>
      <c r="H112" s="52">
        <f>$B$112*H$99*INDEX(Cum_OtherInc,1,Assumptions!H$77)*Assumptions!H$74</f>
        <v/>
      </c>
      <c r="I112" s="52">
        <f>$B$112*I$99*INDEX(Cum_OtherInc,1,Assumptions!I$77)*Assumptions!I$74</f>
        <v/>
      </c>
      <c r="J112" s="52">
        <f>$B$112*J$99*INDEX(Cum_OtherInc,1,Assumptions!J$77)*Assumptions!J$74</f>
        <v/>
      </c>
      <c r="K112" s="52">
        <f>$B$112*K$99*INDEX(Cum_OtherInc,1,Assumptions!K$77)*Assumptions!K$74</f>
        <v/>
      </c>
      <c r="L112" s="52">
        <f>$B$112*L$99*INDEX(Cum_OtherInc,1,Assumptions!L$77)*Assumptions!L$74</f>
        <v/>
      </c>
      <c r="M112" s="52">
        <f>$B$112*M$99*INDEX(Cum_OtherInc,1,Assumptions!M$77)*Assumptions!M$74</f>
        <v/>
      </c>
      <c r="N112" s="52">
        <f>$B$112*N$99*INDEX(Cum_OtherInc,1,Assumptions!N$77)*Assumptions!N$74</f>
        <v/>
      </c>
      <c r="O112" s="52">
        <f>$B$112*O$99*INDEX(Cum_OtherInc,1,Assumptions!O$77)*Assumptions!O$74</f>
        <v/>
      </c>
      <c r="P112" s="52">
        <f>$B$112*P$99*INDEX(Cum_OtherInc,1,Assumptions!P$77)*Assumptions!P$74</f>
        <v/>
      </c>
      <c r="Q112" s="52">
        <f>$B$112*Q$99*INDEX(Cum_OtherInc,1,Assumptions!Q$77)*Assumptions!Q$74</f>
        <v/>
      </c>
      <c r="R112" s="52">
        <f>$B$112*R$99*INDEX(Cum_OtherInc,1,Assumptions!R$77)*Assumptions!R$74</f>
        <v/>
      </c>
      <c r="S112" s="52">
        <f>$B$112*S$99*INDEX(Cum_OtherInc,1,Assumptions!S$77)*Assumptions!S$74</f>
        <v/>
      </c>
      <c r="T112" s="52">
        <f>$B$112*T$99*INDEX(Cum_OtherInc,1,Assumptions!T$77)*Assumptions!T$74</f>
        <v/>
      </c>
      <c r="U112" s="52">
        <f>$B$112*U$99*INDEX(Cum_OtherInc,1,Assumptions!U$77)*Assumptions!U$74</f>
        <v/>
      </c>
      <c r="V112" s="52">
        <f>$B$112*V$99*INDEX(Cum_OtherInc,1,Assumptions!V$77)*Assumptions!V$74</f>
        <v/>
      </c>
      <c r="W112" s="52">
        <f>$B$112*W$99*INDEX(Cum_OtherInc,1,Assumptions!W$77)*Assumptions!W$74</f>
        <v/>
      </c>
      <c r="X112" s="52">
        <f>$B$112*X$99*INDEX(Cum_OtherInc,1,Assumptions!X$77)*Assumptions!X$74</f>
        <v/>
      </c>
      <c r="Y112" s="52">
        <f>$B$112*Y$99*INDEX(Cum_OtherInc,1,Assumptions!Y$77)*Assumptions!Y$74</f>
        <v/>
      </c>
      <c r="Z112" s="52">
        <f>$B$112*Z$99*INDEX(Cum_OtherInc,1,Assumptions!Z$77)*Assumptions!Z$74</f>
        <v/>
      </c>
      <c r="AA112" s="52">
        <f>$B$112*AA$99*INDEX(Cum_OtherInc,1,Assumptions!AA$77)*Assumptions!AA$74</f>
        <v/>
      </c>
      <c r="AB112" s="52">
        <f>$B$112*AB$99*INDEX(Cum_OtherInc,1,Assumptions!AB$77)*Assumptions!AB$74</f>
        <v/>
      </c>
      <c r="AC112" s="52">
        <f>$B$112*AC$99*INDEX(Cum_OtherInc,1,Assumptions!AC$77)*Assumptions!AC$74</f>
        <v/>
      </c>
      <c r="AD112" s="52">
        <f>$B$112*AD$99*INDEX(Cum_OtherInc,1,Assumptions!AD$77)*Assumptions!AD$74</f>
        <v/>
      </c>
      <c r="AE112" s="52">
        <f>$B$112*AE$99*INDEX(Cum_OtherInc,1,Assumptions!AE$77)*Assumptions!AE$74</f>
        <v/>
      </c>
      <c r="AF112" s="52">
        <f>$B$112*AF$99*INDEX(Cum_OtherInc,1,Assumptions!AF$77)*Assumptions!AF$74</f>
        <v/>
      </c>
      <c r="AG112" s="52">
        <f>$B$112*AG$99*INDEX(Cum_OtherInc,1,Assumptions!AG$77)*Assumptions!AG$74</f>
        <v/>
      </c>
      <c r="AH112" s="52">
        <f>$B$112*AH$99*INDEX(Cum_OtherInc,1,Assumptions!AH$77)*Assumptions!AH$74</f>
        <v/>
      </c>
      <c r="AI112" s="52">
        <f>$B$112*AI$99*INDEX(Cum_OtherInc,1,Assumptions!AI$77)*Assumptions!AI$74</f>
        <v/>
      </c>
      <c r="AJ112" s="52">
        <f>$B$112*AJ$99*INDEX(Cum_OtherInc,1,Assumptions!AJ$77)*Assumptions!AJ$74</f>
        <v/>
      </c>
      <c r="AK112" s="52">
        <f>$B$112*AK$99*INDEX(Cum_OtherInc,1,Assumptions!AK$77)*Assumptions!AK$74</f>
        <v/>
      </c>
      <c r="AL112" s="52">
        <f>$B$112*AL$99*INDEX(Cum_OtherInc,1,Assumptions!AL$77)*Assumptions!AL$74</f>
        <v/>
      </c>
      <c r="AM112" s="52">
        <f>$B$112*AM$99*INDEX(Cum_OtherInc,1,Assumptions!AM$77)*Assumptions!AM$74</f>
        <v/>
      </c>
      <c r="AN112" s="52">
        <f>$B$112*AN$99*INDEX(Cum_OtherInc,1,Assumptions!AN$77)*Assumptions!AN$74</f>
        <v/>
      </c>
      <c r="AO112" s="52">
        <f>$B$112*AO$99*INDEX(Cum_OtherInc,1,Assumptions!AO$77)*Assumptions!AO$74</f>
        <v/>
      </c>
      <c r="AP112" s="52">
        <f>$B$112*AP$99*INDEX(Cum_OtherInc,1,Assumptions!AP$77)*Assumptions!AP$74</f>
        <v/>
      </c>
      <c r="AQ112" s="52">
        <f>$B$112*AQ$99*INDEX(Cum_OtherInc,1,Assumptions!AQ$77)*Assumptions!AQ$74</f>
        <v/>
      </c>
      <c r="AR112" s="52">
        <f>$B$112*AR$99*INDEX(Cum_OtherInc,1,Assumptions!AR$77)*Assumptions!AR$74</f>
        <v/>
      </c>
      <c r="AS112" s="52">
        <f>$B$112*AS$99*INDEX(Cum_OtherInc,1,Assumptions!AS$77)*Assumptions!AS$74</f>
        <v/>
      </c>
      <c r="AT112" s="52">
        <f>$B$112*AT$99*INDEX(Cum_OtherInc,1,Assumptions!AT$77)*Assumptions!AT$74</f>
        <v/>
      </c>
      <c r="AU112" s="52">
        <f>$B$112*AU$99*INDEX(Cum_OtherInc,1,Assumptions!AU$77)*Assumptions!AU$74</f>
        <v/>
      </c>
      <c r="AV112" s="52">
        <f>$B$112*AV$99*INDEX(Cum_OtherInc,1,Assumptions!AV$77)*Assumptions!AV$74</f>
        <v/>
      </c>
      <c r="AW112" s="52">
        <f>$B$112*AW$99*INDEX(Cum_OtherInc,1,Assumptions!AW$77)*Assumptions!AW$74</f>
        <v/>
      </c>
      <c r="AX112" s="52">
        <f>$B$112*AX$99*INDEX(Cum_OtherInc,1,Assumptions!AX$77)*Assumptions!AX$74</f>
        <v/>
      </c>
      <c r="AY112" s="52">
        <f>$B$112*AY$99*INDEX(Cum_OtherInc,1,Assumptions!AY$77)*Assumptions!AY$74</f>
        <v/>
      </c>
      <c r="AZ112" s="52">
        <f>$B$112*AZ$99*INDEX(Cum_OtherInc,1,Assumptions!AZ$77)*Assumptions!AZ$74</f>
        <v/>
      </c>
      <c r="BA112" s="52">
        <f>$B$112*BA$99*INDEX(Cum_OtherInc,1,Assumptions!BA$77)*Assumptions!BA$74</f>
        <v/>
      </c>
      <c r="BB112" s="52">
        <f>$B$112*BB$99*INDEX(Cum_OtherInc,1,Assumptions!BB$77)*Assumptions!BB$74</f>
        <v/>
      </c>
      <c r="BC112" s="52">
        <f>$B$112*BC$99*INDEX(Cum_OtherInc,1,Assumptions!BC$77)*Assumptions!BC$74</f>
        <v/>
      </c>
      <c r="BD112" s="52">
        <f>$B$112*BD$99*INDEX(Cum_OtherInc,1,Assumptions!BD$77)*Assumptions!BD$74</f>
        <v/>
      </c>
      <c r="BE112" s="52">
        <f>$B$112*BE$99*INDEX(Cum_OtherInc,1,Assumptions!BE$77)*Assumptions!BE$74</f>
        <v/>
      </c>
      <c r="BF112" s="52">
        <f>$B$112*BF$99*INDEX(Cum_OtherInc,1,Assumptions!BF$77)*Assumptions!BF$74</f>
        <v/>
      </c>
      <c r="BG112" s="52">
        <f>$B$112*BG$99*INDEX(Cum_OtherInc,1,Assumptions!BG$77)*Assumptions!BG$74</f>
        <v/>
      </c>
      <c r="BH112" s="52">
        <f>$B$112*BH$99*INDEX(Cum_OtherInc,1,Assumptions!BH$77)*Assumptions!BH$74</f>
        <v/>
      </c>
      <c r="BI112" s="52">
        <f>$B$112*BI$99*INDEX(Cum_OtherInc,1,Assumptions!BI$77)*Assumptions!BI$74</f>
        <v/>
      </c>
      <c r="BJ112" s="52">
        <f>$B$112*BJ$99*INDEX(Cum_OtherInc,1,Assumptions!BJ$77)*Assumptions!BJ$74</f>
        <v/>
      </c>
      <c r="BK112" s="52">
        <f>$B$112*BK$99*INDEX(Cum_OtherInc,1,Assumptions!BK$77)*Assumptions!BK$74</f>
        <v/>
      </c>
      <c r="BL112" s="52">
        <f>$B$112*BL$99*INDEX(Cum_OtherInc,1,Assumptions!BL$77)*Assumptions!BL$74</f>
        <v/>
      </c>
      <c r="BM112" s="52">
        <f>$B$112*BM$99*INDEX(Cum_OtherInc,1,Assumptions!BM$77)*Assumptions!BM$74</f>
        <v/>
      </c>
      <c r="BN112" s="52">
        <f>$B$112*BN$99*INDEX(Cum_OtherInc,1,Assumptions!BN$77)*Assumptions!BN$74</f>
        <v/>
      </c>
      <c r="BO112" s="52">
        <f>$B$112*BO$99*INDEX(Cum_OtherInc,1,Assumptions!BO$77)*Assumptions!BO$74</f>
        <v/>
      </c>
      <c r="BP112" s="52">
        <f>$B$112*BP$99*INDEX(Cum_OtherInc,1,Assumptions!BP$77)*Assumptions!BP$74</f>
        <v/>
      </c>
      <c r="BQ112" s="52">
        <f>$B$112*BQ$99*INDEX(Cum_OtherInc,1,Assumptions!BQ$77)*Assumptions!BQ$74</f>
        <v/>
      </c>
      <c r="BR112" s="52">
        <f>$B$112*BR$99*INDEX(Cum_OtherInc,1,Assumptions!BR$77)*Assumptions!BR$74</f>
        <v/>
      </c>
      <c r="BS112" s="52">
        <f>$B$112*BS$99*INDEX(Cum_OtherInc,1,Assumptions!BS$77)*Assumptions!BS$74</f>
        <v/>
      </c>
      <c r="BT112" s="52">
        <f>$B$112*BT$99*INDEX(Cum_OtherInc,1,Assumptions!BT$77)*Assumptions!BT$74</f>
        <v/>
      </c>
      <c r="BU112" s="52">
        <f>$B$112*BU$99*INDEX(Cum_OtherInc,1,Assumptions!BU$77)*Assumptions!BU$74</f>
        <v/>
      </c>
      <c r="BV112" s="52">
        <f>$B$112*BV$99*INDEX(Cum_OtherInc,1,Assumptions!BV$77)*Assumptions!BV$74</f>
        <v/>
      </c>
      <c r="BW112" s="52">
        <f>$B$112*BW$99*INDEX(Cum_OtherInc,1,Assumptions!BW$77)*Assumptions!BW$74</f>
        <v/>
      </c>
      <c r="BX112" s="52">
        <f>$B$112*BX$99*INDEX(Cum_OtherInc,1,Assumptions!BX$77)*Assumptions!BX$74</f>
        <v/>
      </c>
      <c r="BY112" s="52">
        <f>$B$112*BY$99*INDEX(Cum_OtherInc,1,Assumptions!BY$77)*Assumptions!BY$74</f>
        <v/>
      </c>
      <c r="BZ112" s="52">
        <f>$B$112*BZ$99*INDEX(Cum_OtherInc,1,Assumptions!BZ$77)*Assumptions!BZ$74</f>
        <v/>
      </c>
      <c r="CA112" s="52">
        <f>$B$112*CA$99*INDEX(Cum_OtherInc,1,Assumptions!CA$77)*Assumptions!CA$74</f>
        <v/>
      </c>
      <c r="CB112" s="52">
        <f>$B$112*CB$99*INDEX(Cum_OtherInc,1,Assumptions!CB$77)*Assumptions!CB$74</f>
        <v/>
      </c>
      <c r="CC112" s="52">
        <f>$B$112*CC$99*INDEX(Cum_OtherInc,1,Assumptions!CC$77)*Assumptions!CC$74</f>
        <v/>
      </c>
      <c r="CD112" s="52">
        <f>$B$112*CD$99*INDEX(Cum_OtherInc,1,Assumptions!CD$77)*Assumptions!CD$74</f>
        <v/>
      </c>
      <c r="CE112" s="52">
        <f>$B$112*CE$99*INDEX(Cum_OtherInc,1,Assumptions!CE$77)*Assumptions!CE$74</f>
        <v/>
      </c>
      <c r="CF112" s="52">
        <f>$B$112*CF$99*INDEX(Cum_OtherInc,1,Assumptions!CF$77)*Assumptions!CF$74</f>
        <v/>
      </c>
      <c r="CG112" s="52">
        <f>$B$112*CG$99*INDEX(Cum_OtherInc,1,Assumptions!CG$77)*Assumptions!CG$74</f>
        <v/>
      </c>
      <c r="CH112" s="52">
        <f>$B$112*CH$99*INDEX(Cum_OtherInc,1,Assumptions!CH$77)*Assumptions!CH$74</f>
        <v/>
      </c>
      <c r="CI112" s="52">
        <f>$B$112*CI$99*INDEX(Cum_OtherInc,1,Assumptions!CI$77)*Assumptions!CI$74</f>
        <v/>
      </c>
      <c r="CJ112" s="52">
        <f>$B$112*CJ$99*INDEX(Cum_OtherInc,1,Assumptions!CJ$77)*Assumptions!CJ$74</f>
        <v/>
      </c>
      <c r="CK112" s="52">
        <f>$B$112*CK$99*INDEX(Cum_OtherInc,1,Assumptions!CK$77)*Assumptions!CK$74</f>
        <v/>
      </c>
      <c r="CL112" s="52">
        <f>$B$112*CL$99*INDEX(Cum_OtherInc,1,Assumptions!CL$77)*Assumptions!CL$74</f>
        <v/>
      </c>
      <c r="CM112" s="52">
        <f>$B$112*CM$99*INDEX(Cum_OtherInc,1,Assumptions!CM$77)*Assumptions!CM$74</f>
        <v/>
      </c>
      <c r="CN112" s="52">
        <f>$B$112*CN$99*INDEX(Cum_OtherInc,1,Assumptions!CN$77)*Assumptions!CN$74</f>
        <v/>
      </c>
      <c r="CO112" s="52">
        <f>$B$112*CO$99*INDEX(Cum_OtherInc,1,Assumptions!CO$77)*Assumptions!CO$74</f>
        <v/>
      </c>
      <c r="CP112" s="52">
        <f>$B$112*CP$99*INDEX(Cum_OtherInc,1,Assumptions!CP$77)*Assumptions!CP$74</f>
        <v/>
      </c>
      <c r="CQ112" s="52">
        <f>$B$112*CQ$99*INDEX(Cum_OtherInc,1,Assumptions!CQ$77)*Assumptions!CQ$74</f>
        <v/>
      </c>
      <c r="CR112" s="52">
        <f>$B$112*CR$99*INDEX(Cum_OtherInc,1,Assumptions!CR$77)*Assumptions!CR$74</f>
        <v/>
      </c>
      <c r="CS112" s="52">
        <f>$B$112*CS$99*INDEX(Cum_OtherInc,1,Assumptions!CS$77)*Assumptions!CS$74</f>
        <v/>
      </c>
      <c r="CT112" s="52">
        <f>$B$112*CT$99*INDEX(Cum_OtherInc,1,Assumptions!CT$77)*Assumptions!CT$74</f>
        <v/>
      </c>
      <c r="CU112" s="52">
        <f>$B$112*CU$99*INDEX(Cum_OtherInc,1,Assumptions!CU$77)*Assumptions!CU$74</f>
        <v/>
      </c>
      <c r="CV112" s="52">
        <f>$B$112*CV$99*INDEX(Cum_OtherInc,1,Assumptions!CV$77)*Assumptions!CV$74</f>
        <v/>
      </c>
      <c r="CW112" s="52">
        <f>$B$112*CW$99*INDEX(Cum_OtherInc,1,Assumptions!CW$77)*Assumptions!CW$74</f>
        <v/>
      </c>
      <c r="CX112" s="52">
        <f>$B$112*CX$99*INDEX(Cum_OtherInc,1,Assumptions!CX$77)*Assumptions!CX$74</f>
        <v/>
      </c>
      <c r="CY112" s="52">
        <f>$B$112*CY$99*INDEX(Cum_OtherInc,1,Assumptions!CY$77)*Assumptions!CY$74</f>
        <v/>
      </c>
      <c r="CZ112" s="52">
        <f>$B$112*CZ$99*INDEX(Cum_OtherInc,1,Assumptions!CZ$77)*Assumptions!CZ$74</f>
        <v/>
      </c>
      <c r="DA112" s="52">
        <f>$B$112*DA$99*INDEX(Cum_OtherInc,1,Assumptions!DA$77)*Assumptions!DA$74</f>
        <v/>
      </c>
      <c r="DB112" s="52">
        <f>$B$112*DB$99*INDEX(Cum_OtherInc,1,Assumptions!DB$77)*Assumptions!DB$74</f>
        <v/>
      </c>
      <c r="DC112" s="52">
        <f>$B$112*DC$99*INDEX(Cum_OtherInc,1,Assumptions!DC$77)*Assumptions!DC$74</f>
        <v/>
      </c>
      <c r="DD112" s="52">
        <f>$B$112*DD$99*INDEX(Cum_OtherInc,1,Assumptions!DD$77)*Assumptions!DD$74</f>
        <v/>
      </c>
      <c r="DE112" s="52">
        <f>$B$112*DE$99*INDEX(Cum_OtherInc,1,Assumptions!DE$77)*Assumptions!DE$74</f>
        <v/>
      </c>
      <c r="DF112" s="52">
        <f>$B$112*DF$99*INDEX(Cum_OtherInc,1,Assumptions!DF$77)*Assumptions!DF$74</f>
        <v/>
      </c>
      <c r="DG112" s="52">
        <f>$B$112*DG$99*INDEX(Cum_OtherInc,1,Assumptions!DG$77)*Assumptions!DG$74</f>
        <v/>
      </c>
      <c r="DH112" s="52">
        <f>$B$112*DH$99*INDEX(Cum_OtherInc,1,Assumptions!DH$77)*Assumptions!DH$74</f>
        <v/>
      </c>
      <c r="DI112" s="52">
        <f>$B$112*DI$99*INDEX(Cum_OtherInc,1,Assumptions!DI$77)*Assumptions!DI$74</f>
        <v/>
      </c>
      <c r="DJ112" s="52">
        <f>$B$112*DJ$99*INDEX(Cum_OtherInc,1,Assumptions!DJ$77)*Assumptions!DJ$74</f>
        <v/>
      </c>
      <c r="DK112" s="52">
        <f>$B$112*DK$99*INDEX(Cum_OtherInc,1,Assumptions!DK$77)*Assumptions!DK$74</f>
        <v/>
      </c>
      <c r="DL112" s="52">
        <f>$B$112*DL$99*INDEX(Cum_OtherInc,1,Assumptions!DL$77)*Assumptions!DL$74</f>
        <v/>
      </c>
      <c r="DM112" s="52">
        <f>$B$112*DM$99*INDEX(Cum_OtherInc,1,Assumptions!DM$77)*Assumptions!DM$74</f>
        <v/>
      </c>
      <c r="DN112" s="52">
        <f>$B$112*DN$99*INDEX(Cum_OtherInc,1,Assumptions!DN$77)*Assumptions!DN$74</f>
        <v/>
      </c>
      <c r="DO112" s="52">
        <f>$B$112*DO$99*INDEX(Cum_OtherInc,1,Assumptions!DO$77)*Assumptions!DO$74</f>
        <v/>
      </c>
      <c r="DP112" s="52">
        <f>$B$112*DP$99*INDEX(Cum_OtherInc,1,Assumptions!DP$77)*Assumptions!DP$74</f>
        <v/>
      </c>
      <c r="DQ112" s="52">
        <f>$B$112*DQ$99*INDEX(Cum_OtherInc,1,Assumptions!DQ$77)*Assumptions!DQ$74</f>
        <v/>
      </c>
      <c r="DR112" s="52">
        <f>$B$112*DR$99*INDEX(Cum_OtherInc,1,Assumptions!DR$77)*Assumptions!DR$74</f>
        <v/>
      </c>
      <c r="DS112" s="52">
        <f>$B$112*DS$99*INDEX(Cum_OtherInc,1,Assumptions!DS$77)*Assumptions!DS$74</f>
        <v/>
      </c>
      <c r="DT112" s="52">
        <f>$B$112*DT$99*INDEX(Cum_OtherInc,1,Assumptions!DT$77)*Assumptions!DT$74</f>
        <v/>
      </c>
    </row>
    <row r="113">
      <c r="A113" s="10" t="inlineStr">
        <is>
          <t>Total other income ($/mo)</t>
        </is>
      </c>
      <c r="E113" s="52">
        <f>SUM(E107:E112)</f>
        <v/>
      </c>
      <c r="F113" s="52">
        <f>SUM(F107:F112)</f>
        <v/>
      </c>
      <c r="G113" s="52">
        <f>SUM(G107:G112)</f>
        <v/>
      </c>
      <c r="H113" s="52">
        <f>SUM(H107:H112)</f>
        <v/>
      </c>
      <c r="I113" s="52">
        <f>SUM(I107:I112)</f>
        <v/>
      </c>
      <c r="J113" s="52">
        <f>SUM(J107:J112)</f>
        <v/>
      </c>
      <c r="K113" s="52">
        <f>SUM(K107:K112)</f>
        <v/>
      </c>
      <c r="L113" s="52">
        <f>SUM(L107:L112)</f>
        <v/>
      </c>
      <c r="M113" s="52">
        <f>SUM(M107:M112)</f>
        <v/>
      </c>
      <c r="N113" s="52">
        <f>SUM(N107:N112)</f>
        <v/>
      </c>
      <c r="O113" s="52">
        <f>SUM(O107:O112)</f>
        <v/>
      </c>
      <c r="P113" s="52">
        <f>SUM(P107:P112)</f>
        <v/>
      </c>
      <c r="Q113" s="52">
        <f>SUM(Q107:Q112)</f>
        <v/>
      </c>
      <c r="R113" s="52">
        <f>SUM(R107:R112)</f>
        <v/>
      </c>
      <c r="S113" s="52">
        <f>SUM(S107:S112)</f>
        <v/>
      </c>
      <c r="T113" s="52">
        <f>SUM(T107:T112)</f>
        <v/>
      </c>
      <c r="U113" s="52">
        <f>SUM(U107:U112)</f>
        <v/>
      </c>
      <c r="V113" s="52">
        <f>SUM(V107:V112)</f>
        <v/>
      </c>
      <c r="W113" s="52">
        <f>SUM(W107:W112)</f>
        <v/>
      </c>
      <c r="X113" s="52">
        <f>SUM(X107:X112)</f>
        <v/>
      </c>
      <c r="Y113" s="52">
        <f>SUM(Y107:Y112)</f>
        <v/>
      </c>
      <c r="Z113" s="52">
        <f>SUM(Z107:Z112)</f>
        <v/>
      </c>
      <c r="AA113" s="52">
        <f>SUM(AA107:AA112)</f>
        <v/>
      </c>
      <c r="AB113" s="52">
        <f>SUM(AB107:AB112)</f>
        <v/>
      </c>
      <c r="AC113" s="52">
        <f>SUM(AC107:AC112)</f>
        <v/>
      </c>
      <c r="AD113" s="52">
        <f>SUM(AD107:AD112)</f>
        <v/>
      </c>
      <c r="AE113" s="52">
        <f>SUM(AE107:AE112)</f>
        <v/>
      </c>
      <c r="AF113" s="52">
        <f>SUM(AF107:AF112)</f>
        <v/>
      </c>
      <c r="AG113" s="52">
        <f>SUM(AG107:AG112)</f>
        <v/>
      </c>
      <c r="AH113" s="52">
        <f>SUM(AH107:AH112)</f>
        <v/>
      </c>
      <c r="AI113" s="52">
        <f>SUM(AI107:AI112)</f>
        <v/>
      </c>
      <c r="AJ113" s="52">
        <f>SUM(AJ107:AJ112)</f>
        <v/>
      </c>
      <c r="AK113" s="52">
        <f>SUM(AK107:AK112)</f>
        <v/>
      </c>
      <c r="AL113" s="52">
        <f>SUM(AL107:AL112)</f>
        <v/>
      </c>
      <c r="AM113" s="52">
        <f>SUM(AM107:AM112)</f>
        <v/>
      </c>
      <c r="AN113" s="52">
        <f>SUM(AN107:AN112)</f>
        <v/>
      </c>
      <c r="AO113" s="52">
        <f>SUM(AO107:AO112)</f>
        <v/>
      </c>
      <c r="AP113" s="52">
        <f>SUM(AP107:AP112)</f>
        <v/>
      </c>
      <c r="AQ113" s="52">
        <f>SUM(AQ107:AQ112)</f>
        <v/>
      </c>
      <c r="AR113" s="52">
        <f>SUM(AR107:AR112)</f>
        <v/>
      </c>
      <c r="AS113" s="52">
        <f>SUM(AS107:AS112)</f>
        <v/>
      </c>
      <c r="AT113" s="52">
        <f>SUM(AT107:AT112)</f>
        <v/>
      </c>
      <c r="AU113" s="52">
        <f>SUM(AU107:AU112)</f>
        <v/>
      </c>
      <c r="AV113" s="52">
        <f>SUM(AV107:AV112)</f>
        <v/>
      </c>
      <c r="AW113" s="52">
        <f>SUM(AW107:AW112)</f>
        <v/>
      </c>
      <c r="AX113" s="52">
        <f>SUM(AX107:AX112)</f>
        <v/>
      </c>
      <c r="AY113" s="52">
        <f>SUM(AY107:AY112)</f>
        <v/>
      </c>
      <c r="AZ113" s="52">
        <f>SUM(AZ107:AZ112)</f>
        <v/>
      </c>
      <c r="BA113" s="52">
        <f>SUM(BA107:BA112)</f>
        <v/>
      </c>
      <c r="BB113" s="52">
        <f>SUM(BB107:BB112)</f>
        <v/>
      </c>
      <c r="BC113" s="52">
        <f>SUM(BC107:BC112)</f>
        <v/>
      </c>
      <c r="BD113" s="52">
        <f>SUM(BD107:BD112)</f>
        <v/>
      </c>
      <c r="BE113" s="52">
        <f>SUM(BE107:BE112)</f>
        <v/>
      </c>
      <c r="BF113" s="52">
        <f>SUM(BF107:BF112)</f>
        <v/>
      </c>
      <c r="BG113" s="52">
        <f>SUM(BG107:BG112)</f>
        <v/>
      </c>
      <c r="BH113" s="52">
        <f>SUM(BH107:BH112)</f>
        <v/>
      </c>
      <c r="BI113" s="52">
        <f>SUM(BI107:BI112)</f>
        <v/>
      </c>
      <c r="BJ113" s="52">
        <f>SUM(BJ107:BJ112)</f>
        <v/>
      </c>
      <c r="BK113" s="52">
        <f>SUM(BK107:BK112)</f>
        <v/>
      </c>
      <c r="BL113" s="52">
        <f>SUM(BL107:BL112)</f>
        <v/>
      </c>
      <c r="BM113" s="52">
        <f>SUM(BM107:BM112)</f>
        <v/>
      </c>
      <c r="BN113" s="52">
        <f>SUM(BN107:BN112)</f>
        <v/>
      </c>
      <c r="BO113" s="52">
        <f>SUM(BO107:BO112)</f>
        <v/>
      </c>
      <c r="BP113" s="52">
        <f>SUM(BP107:BP112)</f>
        <v/>
      </c>
      <c r="BQ113" s="52">
        <f>SUM(BQ107:BQ112)</f>
        <v/>
      </c>
      <c r="BR113" s="52">
        <f>SUM(BR107:BR112)</f>
        <v/>
      </c>
      <c r="BS113" s="52">
        <f>SUM(BS107:BS112)</f>
        <v/>
      </c>
      <c r="BT113" s="52">
        <f>SUM(BT107:BT112)</f>
        <v/>
      </c>
      <c r="BU113" s="52">
        <f>SUM(BU107:BU112)</f>
        <v/>
      </c>
      <c r="BV113" s="52">
        <f>SUM(BV107:BV112)</f>
        <v/>
      </c>
      <c r="BW113" s="52">
        <f>SUM(BW107:BW112)</f>
        <v/>
      </c>
      <c r="BX113" s="52">
        <f>SUM(BX107:BX112)</f>
        <v/>
      </c>
      <c r="BY113" s="52">
        <f>SUM(BY107:BY112)</f>
        <v/>
      </c>
      <c r="BZ113" s="52">
        <f>SUM(BZ107:BZ112)</f>
        <v/>
      </c>
      <c r="CA113" s="52">
        <f>SUM(CA107:CA112)</f>
        <v/>
      </c>
      <c r="CB113" s="52">
        <f>SUM(CB107:CB112)</f>
        <v/>
      </c>
      <c r="CC113" s="52">
        <f>SUM(CC107:CC112)</f>
        <v/>
      </c>
      <c r="CD113" s="52">
        <f>SUM(CD107:CD112)</f>
        <v/>
      </c>
      <c r="CE113" s="52">
        <f>SUM(CE107:CE112)</f>
        <v/>
      </c>
      <c r="CF113" s="52">
        <f>SUM(CF107:CF112)</f>
        <v/>
      </c>
      <c r="CG113" s="52">
        <f>SUM(CG107:CG112)</f>
        <v/>
      </c>
      <c r="CH113" s="52">
        <f>SUM(CH107:CH112)</f>
        <v/>
      </c>
      <c r="CI113" s="52">
        <f>SUM(CI107:CI112)</f>
        <v/>
      </c>
      <c r="CJ113" s="52">
        <f>SUM(CJ107:CJ112)</f>
        <v/>
      </c>
      <c r="CK113" s="52">
        <f>SUM(CK107:CK112)</f>
        <v/>
      </c>
      <c r="CL113" s="52">
        <f>SUM(CL107:CL112)</f>
        <v/>
      </c>
      <c r="CM113" s="52">
        <f>SUM(CM107:CM112)</f>
        <v/>
      </c>
      <c r="CN113" s="52">
        <f>SUM(CN107:CN112)</f>
        <v/>
      </c>
      <c r="CO113" s="52">
        <f>SUM(CO107:CO112)</f>
        <v/>
      </c>
      <c r="CP113" s="52">
        <f>SUM(CP107:CP112)</f>
        <v/>
      </c>
      <c r="CQ113" s="52">
        <f>SUM(CQ107:CQ112)</f>
        <v/>
      </c>
      <c r="CR113" s="52">
        <f>SUM(CR107:CR112)</f>
        <v/>
      </c>
      <c r="CS113" s="52">
        <f>SUM(CS107:CS112)</f>
        <v/>
      </c>
      <c r="CT113" s="52">
        <f>SUM(CT107:CT112)</f>
        <v/>
      </c>
      <c r="CU113" s="52">
        <f>SUM(CU107:CU112)</f>
        <v/>
      </c>
      <c r="CV113" s="52">
        <f>SUM(CV107:CV112)</f>
        <v/>
      </c>
      <c r="CW113" s="52">
        <f>SUM(CW107:CW112)</f>
        <v/>
      </c>
      <c r="CX113" s="52">
        <f>SUM(CX107:CX112)</f>
        <v/>
      </c>
      <c r="CY113" s="52">
        <f>SUM(CY107:CY112)</f>
        <v/>
      </c>
      <c r="CZ113" s="52">
        <f>SUM(CZ107:CZ112)</f>
        <v/>
      </c>
      <c r="DA113" s="52">
        <f>SUM(DA107:DA112)</f>
        <v/>
      </c>
      <c r="DB113" s="52">
        <f>SUM(DB107:DB112)</f>
        <v/>
      </c>
      <c r="DC113" s="52">
        <f>SUM(DC107:DC112)</f>
        <v/>
      </c>
      <c r="DD113" s="52">
        <f>SUM(DD107:DD112)</f>
        <v/>
      </c>
      <c r="DE113" s="52">
        <f>SUM(DE107:DE112)</f>
        <v/>
      </c>
      <c r="DF113" s="52">
        <f>SUM(DF107:DF112)</f>
        <v/>
      </c>
      <c r="DG113" s="52">
        <f>SUM(DG107:DG112)</f>
        <v/>
      </c>
      <c r="DH113" s="52">
        <f>SUM(DH107:DH112)</f>
        <v/>
      </c>
      <c r="DI113" s="52">
        <f>SUM(DI107:DI112)</f>
        <v/>
      </c>
      <c r="DJ113" s="52">
        <f>SUM(DJ107:DJ112)</f>
        <v/>
      </c>
      <c r="DK113" s="52">
        <f>SUM(DK107:DK112)</f>
        <v/>
      </c>
      <c r="DL113" s="52">
        <f>SUM(DL107:DL112)</f>
        <v/>
      </c>
      <c r="DM113" s="52">
        <f>SUM(DM107:DM112)</f>
        <v/>
      </c>
      <c r="DN113" s="52">
        <f>SUM(DN107:DN112)</f>
        <v/>
      </c>
      <c r="DO113" s="52">
        <f>SUM(DO107:DO112)</f>
        <v/>
      </c>
      <c r="DP113" s="52">
        <f>SUM(DP107:DP112)</f>
        <v/>
      </c>
      <c r="DQ113" s="52">
        <f>SUM(DQ107:DQ112)</f>
        <v/>
      </c>
      <c r="DR113" s="52">
        <f>SUM(DR107:DR112)</f>
        <v/>
      </c>
      <c r="DS113" s="52">
        <f>SUM(DS107:DS112)</f>
        <v/>
      </c>
      <c r="DT113" s="52">
        <f>SUM(DT107:DT112)</f>
        <v/>
      </c>
    </row>
    <row r="114">
      <c r="A114" s="3" t="inlineStr">
        <is>
          <t>MF EGI ($/mo)</t>
        </is>
      </c>
      <c r="E114" s="62">
        <f>E$103+E$104+E$105+E$113</f>
        <v/>
      </c>
      <c r="F114" s="62">
        <f>F$103+F$104+F$105+F$113</f>
        <v/>
      </c>
      <c r="G114" s="62">
        <f>G$103+G$104+G$105+G$113</f>
        <v/>
      </c>
      <c r="H114" s="62">
        <f>H$103+H$104+H$105+H$113</f>
        <v/>
      </c>
      <c r="I114" s="62">
        <f>I$103+I$104+I$105+I$113</f>
        <v/>
      </c>
      <c r="J114" s="62">
        <f>J$103+J$104+J$105+J$113</f>
        <v/>
      </c>
      <c r="K114" s="62">
        <f>K$103+K$104+K$105+K$113</f>
        <v/>
      </c>
      <c r="L114" s="62">
        <f>L$103+L$104+L$105+L$113</f>
        <v/>
      </c>
      <c r="M114" s="62">
        <f>M$103+M$104+M$105+M$113</f>
        <v/>
      </c>
      <c r="N114" s="62">
        <f>N$103+N$104+N$105+N$113</f>
        <v/>
      </c>
      <c r="O114" s="62">
        <f>O$103+O$104+O$105+O$113</f>
        <v/>
      </c>
      <c r="P114" s="62">
        <f>P$103+P$104+P$105+P$113</f>
        <v/>
      </c>
      <c r="Q114" s="62">
        <f>Q$103+Q$104+Q$105+Q$113</f>
        <v/>
      </c>
      <c r="R114" s="62">
        <f>R$103+R$104+R$105+R$113</f>
        <v/>
      </c>
      <c r="S114" s="62">
        <f>S$103+S$104+S$105+S$113</f>
        <v/>
      </c>
      <c r="T114" s="62">
        <f>T$103+T$104+T$105+T$113</f>
        <v/>
      </c>
      <c r="U114" s="62">
        <f>U$103+U$104+U$105+U$113</f>
        <v/>
      </c>
      <c r="V114" s="62">
        <f>V$103+V$104+V$105+V$113</f>
        <v/>
      </c>
      <c r="W114" s="62">
        <f>W$103+W$104+W$105+W$113</f>
        <v/>
      </c>
      <c r="X114" s="62">
        <f>X$103+X$104+X$105+X$113</f>
        <v/>
      </c>
      <c r="Y114" s="62">
        <f>Y$103+Y$104+Y$105+Y$113</f>
        <v/>
      </c>
      <c r="Z114" s="62">
        <f>Z$103+Z$104+Z$105+Z$113</f>
        <v/>
      </c>
      <c r="AA114" s="62">
        <f>AA$103+AA$104+AA$105+AA$113</f>
        <v/>
      </c>
      <c r="AB114" s="62">
        <f>AB$103+AB$104+AB$105+AB$113</f>
        <v/>
      </c>
      <c r="AC114" s="62">
        <f>AC$103+AC$104+AC$105+AC$113</f>
        <v/>
      </c>
      <c r="AD114" s="62">
        <f>AD$103+AD$104+AD$105+AD$113</f>
        <v/>
      </c>
      <c r="AE114" s="62">
        <f>AE$103+AE$104+AE$105+AE$113</f>
        <v/>
      </c>
      <c r="AF114" s="62">
        <f>AF$103+AF$104+AF$105+AF$113</f>
        <v/>
      </c>
      <c r="AG114" s="62">
        <f>AG$103+AG$104+AG$105+AG$113</f>
        <v/>
      </c>
      <c r="AH114" s="62">
        <f>AH$103+AH$104+AH$105+AH$113</f>
        <v/>
      </c>
      <c r="AI114" s="62">
        <f>AI$103+AI$104+AI$105+AI$113</f>
        <v/>
      </c>
      <c r="AJ114" s="62">
        <f>AJ$103+AJ$104+AJ$105+AJ$113</f>
        <v/>
      </c>
      <c r="AK114" s="62">
        <f>AK$103+AK$104+AK$105+AK$113</f>
        <v/>
      </c>
      <c r="AL114" s="62">
        <f>AL$103+AL$104+AL$105+AL$113</f>
        <v/>
      </c>
      <c r="AM114" s="62">
        <f>AM$103+AM$104+AM$105+AM$113</f>
        <v/>
      </c>
      <c r="AN114" s="62">
        <f>AN$103+AN$104+AN$105+AN$113</f>
        <v/>
      </c>
      <c r="AO114" s="62">
        <f>AO$103+AO$104+AO$105+AO$113</f>
        <v/>
      </c>
      <c r="AP114" s="62">
        <f>AP$103+AP$104+AP$105+AP$113</f>
        <v/>
      </c>
      <c r="AQ114" s="62">
        <f>AQ$103+AQ$104+AQ$105+AQ$113</f>
        <v/>
      </c>
      <c r="AR114" s="62">
        <f>AR$103+AR$104+AR$105+AR$113</f>
        <v/>
      </c>
      <c r="AS114" s="62">
        <f>AS$103+AS$104+AS$105+AS$113</f>
        <v/>
      </c>
      <c r="AT114" s="62">
        <f>AT$103+AT$104+AT$105+AT$113</f>
        <v/>
      </c>
      <c r="AU114" s="62">
        <f>AU$103+AU$104+AU$105+AU$113</f>
        <v/>
      </c>
      <c r="AV114" s="62">
        <f>AV$103+AV$104+AV$105+AV$113</f>
        <v/>
      </c>
      <c r="AW114" s="62">
        <f>AW$103+AW$104+AW$105+AW$113</f>
        <v/>
      </c>
      <c r="AX114" s="62">
        <f>AX$103+AX$104+AX$105+AX$113</f>
        <v/>
      </c>
      <c r="AY114" s="62">
        <f>AY$103+AY$104+AY$105+AY$113</f>
        <v/>
      </c>
      <c r="AZ114" s="62">
        <f>AZ$103+AZ$104+AZ$105+AZ$113</f>
        <v/>
      </c>
      <c r="BA114" s="62">
        <f>BA$103+BA$104+BA$105+BA$113</f>
        <v/>
      </c>
      <c r="BB114" s="62">
        <f>BB$103+BB$104+BB$105+BB$113</f>
        <v/>
      </c>
      <c r="BC114" s="62">
        <f>BC$103+BC$104+BC$105+BC$113</f>
        <v/>
      </c>
      <c r="BD114" s="62">
        <f>BD$103+BD$104+BD$105+BD$113</f>
        <v/>
      </c>
      <c r="BE114" s="62">
        <f>BE$103+BE$104+BE$105+BE$113</f>
        <v/>
      </c>
      <c r="BF114" s="62">
        <f>BF$103+BF$104+BF$105+BF$113</f>
        <v/>
      </c>
      <c r="BG114" s="62">
        <f>BG$103+BG$104+BG$105+BG$113</f>
        <v/>
      </c>
      <c r="BH114" s="62">
        <f>BH$103+BH$104+BH$105+BH$113</f>
        <v/>
      </c>
      <c r="BI114" s="62">
        <f>BI$103+BI$104+BI$105+BI$113</f>
        <v/>
      </c>
      <c r="BJ114" s="62">
        <f>BJ$103+BJ$104+BJ$105+BJ$113</f>
        <v/>
      </c>
      <c r="BK114" s="62">
        <f>BK$103+BK$104+BK$105+BK$113</f>
        <v/>
      </c>
      <c r="BL114" s="62">
        <f>BL$103+BL$104+BL$105+BL$113</f>
        <v/>
      </c>
      <c r="BM114" s="62">
        <f>BM$103+BM$104+BM$105+BM$113</f>
        <v/>
      </c>
      <c r="BN114" s="62">
        <f>BN$103+BN$104+BN$105+BN$113</f>
        <v/>
      </c>
      <c r="BO114" s="62">
        <f>BO$103+BO$104+BO$105+BO$113</f>
        <v/>
      </c>
      <c r="BP114" s="62">
        <f>BP$103+BP$104+BP$105+BP$113</f>
        <v/>
      </c>
      <c r="BQ114" s="62">
        <f>BQ$103+BQ$104+BQ$105+BQ$113</f>
        <v/>
      </c>
      <c r="BR114" s="62">
        <f>BR$103+BR$104+BR$105+BR$113</f>
        <v/>
      </c>
      <c r="BS114" s="62">
        <f>BS$103+BS$104+BS$105+BS$113</f>
        <v/>
      </c>
      <c r="BT114" s="62">
        <f>BT$103+BT$104+BT$105+BT$113</f>
        <v/>
      </c>
      <c r="BU114" s="62">
        <f>BU$103+BU$104+BU$105+BU$113</f>
        <v/>
      </c>
      <c r="BV114" s="62">
        <f>BV$103+BV$104+BV$105+BV$113</f>
        <v/>
      </c>
      <c r="BW114" s="62">
        <f>BW$103+BW$104+BW$105+BW$113</f>
        <v/>
      </c>
      <c r="BX114" s="62">
        <f>BX$103+BX$104+BX$105+BX$113</f>
        <v/>
      </c>
      <c r="BY114" s="62">
        <f>BY$103+BY$104+BY$105+BY$113</f>
        <v/>
      </c>
      <c r="BZ114" s="62">
        <f>BZ$103+BZ$104+BZ$105+BZ$113</f>
        <v/>
      </c>
      <c r="CA114" s="62">
        <f>CA$103+CA$104+CA$105+CA$113</f>
        <v/>
      </c>
      <c r="CB114" s="62">
        <f>CB$103+CB$104+CB$105+CB$113</f>
        <v/>
      </c>
      <c r="CC114" s="62">
        <f>CC$103+CC$104+CC$105+CC$113</f>
        <v/>
      </c>
      <c r="CD114" s="62">
        <f>CD$103+CD$104+CD$105+CD$113</f>
        <v/>
      </c>
      <c r="CE114" s="62">
        <f>CE$103+CE$104+CE$105+CE$113</f>
        <v/>
      </c>
      <c r="CF114" s="62">
        <f>CF$103+CF$104+CF$105+CF$113</f>
        <v/>
      </c>
      <c r="CG114" s="62">
        <f>CG$103+CG$104+CG$105+CG$113</f>
        <v/>
      </c>
      <c r="CH114" s="62">
        <f>CH$103+CH$104+CH$105+CH$113</f>
        <v/>
      </c>
      <c r="CI114" s="62">
        <f>CI$103+CI$104+CI$105+CI$113</f>
        <v/>
      </c>
      <c r="CJ114" s="62">
        <f>CJ$103+CJ$104+CJ$105+CJ$113</f>
        <v/>
      </c>
      <c r="CK114" s="62">
        <f>CK$103+CK$104+CK$105+CK$113</f>
        <v/>
      </c>
      <c r="CL114" s="62">
        <f>CL$103+CL$104+CL$105+CL$113</f>
        <v/>
      </c>
      <c r="CM114" s="62">
        <f>CM$103+CM$104+CM$105+CM$113</f>
        <v/>
      </c>
      <c r="CN114" s="62">
        <f>CN$103+CN$104+CN$105+CN$113</f>
        <v/>
      </c>
      <c r="CO114" s="62">
        <f>CO$103+CO$104+CO$105+CO$113</f>
        <v/>
      </c>
      <c r="CP114" s="62">
        <f>CP$103+CP$104+CP$105+CP$113</f>
        <v/>
      </c>
      <c r="CQ114" s="62">
        <f>CQ$103+CQ$104+CQ$105+CQ$113</f>
        <v/>
      </c>
      <c r="CR114" s="62">
        <f>CR$103+CR$104+CR$105+CR$113</f>
        <v/>
      </c>
      <c r="CS114" s="62">
        <f>CS$103+CS$104+CS$105+CS$113</f>
        <v/>
      </c>
      <c r="CT114" s="62">
        <f>CT$103+CT$104+CT$105+CT$113</f>
        <v/>
      </c>
      <c r="CU114" s="62">
        <f>CU$103+CU$104+CU$105+CU$113</f>
        <v/>
      </c>
      <c r="CV114" s="62">
        <f>CV$103+CV$104+CV$105+CV$113</f>
        <v/>
      </c>
      <c r="CW114" s="62">
        <f>CW$103+CW$104+CW$105+CW$113</f>
        <v/>
      </c>
      <c r="CX114" s="62">
        <f>CX$103+CX$104+CX$105+CX$113</f>
        <v/>
      </c>
      <c r="CY114" s="62">
        <f>CY$103+CY$104+CY$105+CY$113</f>
        <v/>
      </c>
      <c r="CZ114" s="62">
        <f>CZ$103+CZ$104+CZ$105+CZ$113</f>
        <v/>
      </c>
      <c r="DA114" s="62">
        <f>DA$103+DA$104+DA$105+DA$113</f>
        <v/>
      </c>
      <c r="DB114" s="62">
        <f>DB$103+DB$104+DB$105+DB$113</f>
        <v/>
      </c>
      <c r="DC114" s="62">
        <f>DC$103+DC$104+DC$105+DC$113</f>
        <v/>
      </c>
      <c r="DD114" s="62">
        <f>DD$103+DD$104+DD$105+DD$113</f>
        <v/>
      </c>
      <c r="DE114" s="62">
        <f>DE$103+DE$104+DE$105+DE$113</f>
        <v/>
      </c>
      <c r="DF114" s="62">
        <f>DF$103+DF$104+DF$105+DF$113</f>
        <v/>
      </c>
      <c r="DG114" s="62">
        <f>DG$103+DG$104+DG$105+DG$113</f>
        <v/>
      </c>
      <c r="DH114" s="62">
        <f>DH$103+DH$104+DH$105+DH$113</f>
        <v/>
      </c>
      <c r="DI114" s="62">
        <f>DI$103+DI$104+DI$105+DI$113</f>
        <v/>
      </c>
      <c r="DJ114" s="62">
        <f>DJ$103+DJ$104+DJ$105+DJ$113</f>
        <v/>
      </c>
      <c r="DK114" s="62">
        <f>DK$103+DK$104+DK$105+DK$113</f>
        <v/>
      </c>
      <c r="DL114" s="62">
        <f>DL$103+DL$104+DL$105+DL$113</f>
        <v/>
      </c>
      <c r="DM114" s="62">
        <f>DM$103+DM$104+DM$105+DM$113</f>
        <v/>
      </c>
      <c r="DN114" s="62">
        <f>DN$103+DN$104+DN$105+DN$113</f>
        <v/>
      </c>
      <c r="DO114" s="62">
        <f>DO$103+DO$104+DO$105+DO$113</f>
        <v/>
      </c>
      <c r="DP114" s="62">
        <f>DP$103+DP$104+DP$105+DP$113</f>
        <v/>
      </c>
      <c r="DQ114" s="62">
        <f>DQ$103+DQ$104+DQ$105+DQ$113</f>
        <v/>
      </c>
      <c r="DR114" s="62">
        <f>DR$103+DR$104+DR$105+DR$113</f>
        <v/>
      </c>
      <c r="DS114" s="62">
        <f>DS$103+DS$104+DS$105+DS$113</f>
        <v/>
      </c>
      <c r="DT114" s="62">
        <f>DT$103+DT$104+DT$105+DT$113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T41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RETAIL REVENUE — Tenant-by-Tenant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Recovery matrix (editable: 1=tenant reimburses, 0=landlord absorbs)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37" t="inlineStr">
        <is>
          <t>Structure</t>
        </is>
      </c>
      <c r="B6" s="37" t="inlineStr">
        <is>
          <t>CAM</t>
        </is>
      </c>
      <c r="C6" s="37" t="inlineStr">
        <is>
          <t>Tax</t>
        </is>
      </c>
      <c r="D6" s="37" t="inlineStr">
        <is>
          <t>Insurance</t>
        </is>
      </c>
      <c r="E6" s="37" t="inlineStr">
        <is>
          <t>Base-year stop?</t>
        </is>
      </c>
    </row>
    <row r="7">
      <c r="A7" s="11" t="inlineStr">
        <is>
          <t>NNN</t>
        </is>
      </c>
      <c r="B7" s="38" t="n">
        <v>1</v>
      </c>
      <c r="C7" s="38" t="n">
        <v>1</v>
      </c>
      <c r="D7" s="38" t="n">
        <v>1</v>
      </c>
      <c r="E7" s="38" t="n">
        <v>0</v>
      </c>
    </row>
    <row r="8">
      <c r="A8" s="11" t="inlineStr">
        <is>
          <t>Gross</t>
        </is>
      </c>
      <c r="B8" s="38" t="n">
        <v>0</v>
      </c>
      <c r="C8" s="38" t="n">
        <v>0</v>
      </c>
      <c r="D8" s="38" t="n">
        <v>0</v>
      </c>
      <c r="E8" s="38" t="n">
        <v>0</v>
      </c>
    </row>
    <row r="9">
      <c r="A9" s="11" t="inlineStr">
        <is>
          <t>Modified Gross</t>
        </is>
      </c>
      <c r="B9" s="38" t="n">
        <v>1</v>
      </c>
      <c r="C9" s="38" t="n">
        <v>1</v>
      </c>
      <c r="D9" s="38" t="n">
        <v>1</v>
      </c>
      <c r="E9" s="38" t="n">
        <v>1</v>
      </c>
    </row>
    <row r="11">
      <c r="A11" s="10" t="inlineStr">
        <is>
          <t>Recoverable CAM ($/SF/yr)</t>
        </is>
      </c>
      <c r="B11" s="58" t="n">
        <v>6.5</v>
      </c>
    </row>
    <row r="12">
      <c r="A12" s="10" t="inlineStr">
        <is>
          <t>Recoverable Tax ($/SF/yr)</t>
        </is>
      </c>
      <c r="B12" s="58" t="n">
        <v>4</v>
      </c>
    </row>
    <row r="13">
      <c r="A13" s="10" t="inlineStr">
        <is>
          <t>Recoverable Insurance ($/SF/yr)</t>
        </is>
      </c>
      <c r="B13" s="58" t="n">
        <v>1.25</v>
      </c>
    </row>
    <row r="16">
      <c r="A16" s="37" t="inlineStr">
        <is>
          <t>Tenant</t>
        </is>
      </c>
      <c r="B16" s="37" t="inlineStr">
        <is>
          <t>Suite SF</t>
        </is>
      </c>
      <c r="C16" s="37" t="inlineStr">
        <is>
          <t>Lease start (mo)</t>
        </is>
      </c>
      <c r="D16" s="37" t="inlineStr">
        <is>
          <t>Lease expiry (mo)</t>
        </is>
      </c>
      <c r="E16" s="37" t="inlineStr">
        <is>
          <t>Base rent ($/SF/yr)</t>
        </is>
      </c>
      <c r="F16" s="37" t="inlineStr">
        <is>
          <t>Annual step (%)</t>
        </is>
      </c>
      <c r="G16" s="37" t="inlineStr">
        <is>
          <t>Structure (override)</t>
        </is>
      </c>
      <c r="H16" s="37" t="inlineStr">
        <is>
          <t>%rent: sales ($/SF/yr)</t>
        </is>
      </c>
      <c r="I16" s="37" t="inlineStr">
        <is>
          <t>%rent: overage %</t>
        </is>
      </c>
    </row>
    <row r="17">
      <c r="A17" s="11" t="inlineStr">
        <is>
          <t>Grocer Anchor</t>
        </is>
      </c>
      <c r="B17" s="29" t="n">
        <v>16000</v>
      </c>
      <c r="C17" s="29" t="n">
        <v>0</v>
      </c>
      <c r="D17" s="29" t="n">
        <v>60</v>
      </c>
      <c r="E17" s="58" t="n">
        <v>30</v>
      </c>
      <c r="F17" s="56" t="n">
        <v>0.02</v>
      </c>
      <c r="G17" s="11" t="inlineStr">
        <is>
          <t>NNN</t>
        </is>
      </c>
      <c r="H17" s="58" t="n">
        <v>0</v>
      </c>
      <c r="I17" s="56" t="n">
        <v>0.06</v>
      </c>
    </row>
    <row r="18">
      <c r="A18" s="11" t="inlineStr">
        <is>
          <t>Pharmacy</t>
        </is>
      </c>
      <c r="B18" s="29" t="n">
        <v>9000</v>
      </c>
      <c r="C18" s="29" t="n">
        <v>0</v>
      </c>
      <c r="D18" s="29" t="n">
        <v>84</v>
      </c>
      <c r="E18" s="58" t="n">
        <v>33</v>
      </c>
      <c r="F18" s="56" t="n">
        <v>0.015</v>
      </c>
      <c r="G18" s="11" t="inlineStr">
        <is>
          <t>NNN</t>
        </is>
      </c>
      <c r="H18" s="58" t="n">
        <v>0</v>
      </c>
      <c r="I18" s="56" t="n">
        <v>0.05</v>
      </c>
    </row>
    <row r="19">
      <c r="A19" s="11" t="inlineStr">
        <is>
          <t>Cafe</t>
        </is>
      </c>
      <c r="B19" s="29" t="n">
        <v>2400</v>
      </c>
      <c r="C19" s="29" t="n">
        <v>0</v>
      </c>
      <c r="D19" s="29" t="n">
        <v>36</v>
      </c>
      <c r="E19" s="58" t="n">
        <v>46</v>
      </c>
      <c r="F19" s="56" t="n">
        <v>0.03</v>
      </c>
      <c r="G19" s="11" t="inlineStr">
        <is>
          <t>NNN</t>
        </is>
      </c>
      <c r="H19" s="58" t="n">
        <v>0</v>
      </c>
      <c r="I19" s="56" t="n">
        <v>0.07000000000000001</v>
      </c>
    </row>
    <row r="20">
      <c r="A20" s="11" t="inlineStr">
        <is>
          <t>Fitness</t>
        </is>
      </c>
      <c r="B20" s="29" t="n">
        <v>6000</v>
      </c>
      <c r="C20" s="29" t="n">
        <v>0</v>
      </c>
      <c r="D20" s="29" t="n">
        <v>48</v>
      </c>
      <c r="E20" s="58" t="n">
        <v>31</v>
      </c>
      <c r="F20" s="56" t="n">
        <v>0.025</v>
      </c>
      <c r="G20" s="11" t="inlineStr">
        <is>
          <t>Modified Gross</t>
        </is>
      </c>
      <c r="H20" s="58" t="n">
        <v>0</v>
      </c>
      <c r="I20" s="56" t="n">
        <v>0.06</v>
      </c>
    </row>
    <row r="21">
      <c r="A21" s="11" t="inlineStr">
        <is>
          <t>Bank</t>
        </is>
      </c>
      <c r="B21" s="29" t="n">
        <v>3200</v>
      </c>
      <c r="C21" s="29" t="n">
        <v>0</v>
      </c>
      <c r="D21" s="29" t="n">
        <v>72</v>
      </c>
      <c r="E21" s="58" t="n">
        <v>40</v>
      </c>
      <c r="F21" s="56" t="n">
        <v>0.02</v>
      </c>
      <c r="G21" s="11" t="inlineStr">
        <is>
          <t>NNN</t>
        </is>
      </c>
      <c r="H21" s="58" t="n">
        <v>0</v>
      </c>
      <c r="I21" s="56" t="n">
        <v>0.05</v>
      </c>
    </row>
    <row r="22">
      <c r="A22" s="11" t="inlineStr">
        <is>
          <t>Restaurant</t>
        </is>
      </c>
      <c r="B22" s="29" t="n">
        <v>3600</v>
      </c>
      <c r="C22" s="29" t="n">
        <v>0</v>
      </c>
      <c r="D22" s="29" t="n">
        <v>54</v>
      </c>
      <c r="E22" s="58" t="n">
        <v>42</v>
      </c>
      <c r="F22" s="56" t="n">
        <v>0.025</v>
      </c>
      <c r="G22" s="11" t="inlineStr">
        <is>
          <t>NNN</t>
        </is>
      </c>
      <c r="H22" s="58" t="n">
        <v>0</v>
      </c>
      <c r="I22" s="56" t="n">
        <v>0.07000000000000001</v>
      </c>
    </row>
    <row r="23">
      <c r="A23" s="3" t="inlineStr">
        <is>
          <t>TOTAL GLA</t>
        </is>
      </c>
      <c r="B23" s="13">
        <f>SUM(B17:B22)</f>
        <v/>
      </c>
      <c r="C23" s="13">
        <f>COUNTA(A17:A22)</f>
        <v/>
      </c>
      <c r="I23" s="16" t="inlineStr">
        <is>
          <t>Set GLA rows to 0 for pure-MF.</t>
        </is>
      </c>
    </row>
    <row r="26">
      <c r="A26" s="8" t="inlineStr">
        <is>
          <t>MONTHLY RETAIL BUILD (-&gt; Retail EGI). Per-tenant base rent + steps, then pool lines.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3" t="inlineStr">
        <is>
          <t>Month index</t>
        </is>
      </c>
      <c r="E27" s="6">
        <f>Assumptions!E$72</f>
        <v/>
      </c>
      <c r="F27" s="6">
        <f>Assumptions!F$72</f>
        <v/>
      </c>
      <c r="G27" s="6">
        <f>Assumptions!G$72</f>
        <v/>
      </c>
      <c r="H27" s="6">
        <f>Assumptions!H$72</f>
        <v/>
      </c>
      <c r="I27" s="6">
        <f>Assumptions!I$72</f>
        <v/>
      </c>
      <c r="J27" s="6">
        <f>Assumptions!J$72</f>
        <v/>
      </c>
      <c r="K27" s="6">
        <f>Assumptions!K$72</f>
        <v/>
      </c>
      <c r="L27" s="6">
        <f>Assumptions!L$72</f>
        <v/>
      </c>
      <c r="M27" s="6">
        <f>Assumptions!M$72</f>
        <v/>
      </c>
      <c r="N27" s="6">
        <f>Assumptions!N$72</f>
        <v/>
      </c>
      <c r="O27" s="6">
        <f>Assumptions!O$72</f>
        <v/>
      </c>
      <c r="P27" s="6">
        <f>Assumptions!P$72</f>
        <v/>
      </c>
      <c r="Q27" s="6">
        <f>Assumptions!Q$72</f>
        <v/>
      </c>
      <c r="R27" s="6">
        <f>Assumptions!R$72</f>
        <v/>
      </c>
      <c r="S27" s="6">
        <f>Assumptions!S$72</f>
        <v/>
      </c>
      <c r="T27" s="6">
        <f>Assumptions!T$72</f>
        <v/>
      </c>
      <c r="U27" s="6">
        <f>Assumptions!U$72</f>
        <v/>
      </c>
      <c r="V27" s="6">
        <f>Assumptions!V$72</f>
        <v/>
      </c>
      <c r="W27" s="6">
        <f>Assumptions!W$72</f>
        <v/>
      </c>
      <c r="X27" s="6">
        <f>Assumptions!X$72</f>
        <v/>
      </c>
      <c r="Y27" s="6">
        <f>Assumptions!Y$72</f>
        <v/>
      </c>
      <c r="Z27" s="6">
        <f>Assumptions!Z$72</f>
        <v/>
      </c>
      <c r="AA27" s="6">
        <f>Assumptions!AA$72</f>
        <v/>
      </c>
      <c r="AB27" s="6">
        <f>Assumptions!AB$72</f>
        <v/>
      </c>
      <c r="AC27" s="6">
        <f>Assumptions!AC$72</f>
        <v/>
      </c>
      <c r="AD27" s="6">
        <f>Assumptions!AD$72</f>
        <v/>
      </c>
      <c r="AE27" s="6">
        <f>Assumptions!AE$72</f>
        <v/>
      </c>
      <c r="AF27" s="6">
        <f>Assumptions!AF$72</f>
        <v/>
      </c>
      <c r="AG27" s="6">
        <f>Assumptions!AG$72</f>
        <v/>
      </c>
      <c r="AH27" s="6">
        <f>Assumptions!AH$72</f>
        <v/>
      </c>
      <c r="AI27" s="6">
        <f>Assumptions!AI$72</f>
        <v/>
      </c>
      <c r="AJ27" s="6">
        <f>Assumptions!AJ$72</f>
        <v/>
      </c>
      <c r="AK27" s="6">
        <f>Assumptions!AK$72</f>
        <v/>
      </c>
      <c r="AL27" s="6">
        <f>Assumptions!AL$72</f>
        <v/>
      </c>
      <c r="AM27" s="6">
        <f>Assumptions!AM$72</f>
        <v/>
      </c>
      <c r="AN27" s="6">
        <f>Assumptions!AN$72</f>
        <v/>
      </c>
      <c r="AO27" s="6">
        <f>Assumptions!AO$72</f>
        <v/>
      </c>
      <c r="AP27" s="6">
        <f>Assumptions!AP$72</f>
        <v/>
      </c>
      <c r="AQ27" s="6">
        <f>Assumptions!AQ$72</f>
        <v/>
      </c>
      <c r="AR27" s="6">
        <f>Assumptions!AR$72</f>
        <v/>
      </c>
      <c r="AS27" s="6">
        <f>Assumptions!AS$72</f>
        <v/>
      </c>
      <c r="AT27" s="6">
        <f>Assumptions!AT$72</f>
        <v/>
      </c>
      <c r="AU27" s="6">
        <f>Assumptions!AU$72</f>
        <v/>
      </c>
      <c r="AV27" s="6">
        <f>Assumptions!AV$72</f>
        <v/>
      </c>
      <c r="AW27" s="6">
        <f>Assumptions!AW$72</f>
        <v/>
      </c>
      <c r="AX27" s="6">
        <f>Assumptions!AX$72</f>
        <v/>
      </c>
      <c r="AY27" s="6">
        <f>Assumptions!AY$72</f>
        <v/>
      </c>
      <c r="AZ27" s="6">
        <f>Assumptions!AZ$72</f>
        <v/>
      </c>
      <c r="BA27" s="6">
        <f>Assumptions!BA$72</f>
        <v/>
      </c>
      <c r="BB27" s="6">
        <f>Assumptions!BB$72</f>
        <v/>
      </c>
      <c r="BC27" s="6">
        <f>Assumptions!BC$72</f>
        <v/>
      </c>
      <c r="BD27" s="6">
        <f>Assumptions!BD$72</f>
        <v/>
      </c>
      <c r="BE27" s="6">
        <f>Assumptions!BE$72</f>
        <v/>
      </c>
      <c r="BF27" s="6">
        <f>Assumptions!BF$72</f>
        <v/>
      </c>
      <c r="BG27" s="6">
        <f>Assumptions!BG$72</f>
        <v/>
      </c>
      <c r="BH27" s="6">
        <f>Assumptions!BH$72</f>
        <v/>
      </c>
      <c r="BI27" s="6">
        <f>Assumptions!BI$72</f>
        <v/>
      </c>
      <c r="BJ27" s="6">
        <f>Assumptions!BJ$72</f>
        <v/>
      </c>
      <c r="BK27" s="6">
        <f>Assumptions!BK$72</f>
        <v/>
      </c>
      <c r="BL27" s="6">
        <f>Assumptions!BL$72</f>
        <v/>
      </c>
      <c r="BM27" s="6">
        <f>Assumptions!BM$72</f>
        <v/>
      </c>
      <c r="BN27" s="6">
        <f>Assumptions!BN$72</f>
        <v/>
      </c>
      <c r="BO27" s="6">
        <f>Assumptions!BO$72</f>
        <v/>
      </c>
      <c r="BP27" s="6">
        <f>Assumptions!BP$72</f>
        <v/>
      </c>
      <c r="BQ27" s="6">
        <f>Assumptions!BQ$72</f>
        <v/>
      </c>
      <c r="BR27" s="6">
        <f>Assumptions!BR$72</f>
        <v/>
      </c>
      <c r="BS27" s="6">
        <f>Assumptions!BS$72</f>
        <v/>
      </c>
      <c r="BT27" s="6">
        <f>Assumptions!BT$72</f>
        <v/>
      </c>
      <c r="BU27" s="6">
        <f>Assumptions!BU$72</f>
        <v/>
      </c>
      <c r="BV27" s="6">
        <f>Assumptions!BV$72</f>
        <v/>
      </c>
      <c r="BW27" s="6">
        <f>Assumptions!BW$72</f>
        <v/>
      </c>
      <c r="BX27" s="6">
        <f>Assumptions!BX$72</f>
        <v/>
      </c>
      <c r="BY27" s="6">
        <f>Assumptions!BY$72</f>
        <v/>
      </c>
      <c r="BZ27" s="6">
        <f>Assumptions!BZ$72</f>
        <v/>
      </c>
      <c r="CA27" s="6">
        <f>Assumptions!CA$72</f>
        <v/>
      </c>
      <c r="CB27" s="6">
        <f>Assumptions!CB$72</f>
        <v/>
      </c>
      <c r="CC27" s="6">
        <f>Assumptions!CC$72</f>
        <v/>
      </c>
      <c r="CD27" s="6">
        <f>Assumptions!CD$72</f>
        <v/>
      </c>
      <c r="CE27" s="6">
        <f>Assumptions!CE$72</f>
        <v/>
      </c>
      <c r="CF27" s="6">
        <f>Assumptions!CF$72</f>
        <v/>
      </c>
      <c r="CG27" s="6">
        <f>Assumptions!CG$72</f>
        <v/>
      </c>
      <c r="CH27" s="6">
        <f>Assumptions!CH$72</f>
        <v/>
      </c>
      <c r="CI27" s="6">
        <f>Assumptions!CI$72</f>
        <v/>
      </c>
      <c r="CJ27" s="6">
        <f>Assumptions!CJ$72</f>
        <v/>
      </c>
      <c r="CK27" s="6">
        <f>Assumptions!CK$72</f>
        <v/>
      </c>
      <c r="CL27" s="6">
        <f>Assumptions!CL$72</f>
        <v/>
      </c>
      <c r="CM27" s="6">
        <f>Assumptions!CM$72</f>
        <v/>
      </c>
      <c r="CN27" s="6">
        <f>Assumptions!CN$72</f>
        <v/>
      </c>
      <c r="CO27" s="6">
        <f>Assumptions!CO$72</f>
        <v/>
      </c>
      <c r="CP27" s="6">
        <f>Assumptions!CP$72</f>
        <v/>
      </c>
      <c r="CQ27" s="6">
        <f>Assumptions!CQ$72</f>
        <v/>
      </c>
      <c r="CR27" s="6">
        <f>Assumptions!CR$72</f>
        <v/>
      </c>
      <c r="CS27" s="6">
        <f>Assumptions!CS$72</f>
        <v/>
      </c>
      <c r="CT27" s="6">
        <f>Assumptions!CT$72</f>
        <v/>
      </c>
      <c r="CU27" s="6">
        <f>Assumptions!CU$72</f>
        <v/>
      </c>
      <c r="CV27" s="6">
        <f>Assumptions!CV$72</f>
        <v/>
      </c>
      <c r="CW27" s="6">
        <f>Assumptions!CW$72</f>
        <v/>
      </c>
      <c r="CX27" s="6">
        <f>Assumptions!CX$72</f>
        <v/>
      </c>
      <c r="CY27" s="6">
        <f>Assumptions!CY$72</f>
        <v/>
      </c>
      <c r="CZ27" s="6">
        <f>Assumptions!CZ$72</f>
        <v/>
      </c>
      <c r="DA27" s="6">
        <f>Assumptions!DA$72</f>
        <v/>
      </c>
      <c r="DB27" s="6">
        <f>Assumptions!DB$72</f>
        <v/>
      </c>
      <c r="DC27" s="6">
        <f>Assumptions!DC$72</f>
        <v/>
      </c>
      <c r="DD27" s="6">
        <f>Assumptions!DD$72</f>
        <v/>
      </c>
      <c r="DE27" s="6">
        <f>Assumptions!DE$72</f>
        <v/>
      </c>
      <c r="DF27" s="6">
        <f>Assumptions!DF$72</f>
        <v/>
      </c>
      <c r="DG27" s="6">
        <f>Assumptions!DG$72</f>
        <v/>
      </c>
      <c r="DH27" s="6">
        <f>Assumptions!DH$72</f>
        <v/>
      </c>
      <c r="DI27" s="6">
        <f>Assumptions!DI$72</f>
        <v/>
      </c>
      <c r="DJ27" s="6">
        <f>Assumptions!DJ$72</f>
        <v/>
      </c>
      <c r="DK27" s="6">
        <f>Assumptions!DK$72</f>
        <v/>
      </c>
      <c r="DL27" s="6">
        <f>Assumptions!DL$72</f>
        <v/>
      </c>
      <c r="DM27" s="6">
        <f>Assumptions!DM$72</f>
        <v/>
      </c>
      <c r="DN27" s="6">
        <f>Assumptions!DN$72</f>
        <v/>
      </c>
      <c r="DO27" s="6">
        <f>Assumptions!DO$72</f>
        <v/>
      </c>
      <c r="DP27" s="6">
        <f>Assumptions!DP$72</f>
        <v/>
      </c>
      <c r="DQ27" s="6">
        <f>Assumptions!DQ$72</f>
        <v/>
      </c>
      <c r="DR27" s="6">
        <f>Assumptions!DR$72</f>
        <v/>
      </c>
      <c r="DS27" s="6">
        <f>Assumptions!DS$72</f>
        <v/>
      </c>
      <c r="DT27" s="6">
        <f>Assumptions!DT$72</f>
        <v/>
      </c>
    </row>
    <row r="28">
      <c r="A28" s="3" t="inlineStr">
        <is>
          <t>Per-tenant in-place + rollover base rent ($/mo)</t>
        </is>
      </c>
    </row>
    <row r="29">
      <c r="A29" s="10" t="inlineStr">
        <is>
          <t xml:space="preserve">  Grocer Anchor</t>
        </is>
      </c>
      <c r="E29" s="52">
        <f>IF(Assumptions!E$74=0,0,IF(Assumptions!E$72&lt;$C$17,0,IF(Assumptions!E$72&lt;=$D$17,$E$17*$B$17/12*(1+$F$17)^INT((Assumptions!E$72-$C$17)/12),IF(Assumptions!E$72&lt;=$D$17+RetailDowntime,0,1)*$E$17*$B$17/12*INDEX(Cum_RetailRent,1,Assumptions!E$77)*RenewalRentFactor)))</f>
        <v/>
      </c>
      <c r="F29" s="52">
        <f>IF(Assumptions!F$74=0,0,IF(Assumptions!F$72&lt;$C$17,0,IF(Assumptions!F$72&lt;=$D$17,$E$17*$B$17/12*(1+$F$17)^INT((Assumptions!F$72-$C$17)/12),IF(Assumptions!F$72&lt;=$D$17+RetailDowntime,0,1)*$E$17*$B$17/12*INDEX(Cum_RetailRent,1,Assumptions!F$77)*RenewalRentFactor)))</f>
        <v/>
      </c>
      <c r="G29" s="52">
        <f>IF(Assumptions!G$74=0,0,IF(Assumptions!G$72&lt;$C$17,0,IF(Assumptions!G$72&lt;=$D$17,$E$17*$B$17/12*(1+$F$17)^INT((Assumptions!G$72-$C$17)/12),IF(Assumptions!G$72&lt;=$D$17+RetailDowntime,0,1)*$E$17*$B$17/12*INDEX(Cum_RetailRent,1,Assumptions!G$77)*RenewalRentFactor)))</f>
        <v/>
      </c>
      <c r="H29" s="52">
        <f>IF(Assumptions!H$74=0,0,IF(Assumptions!H$72&lt;$C$17,0,IF(Assumptions!H$72&lt;=$D$17,$E$17*$B$17/12*(1+$F$17)^INT((Assumptions!H$72-$C$17)/12),IF(Assumptions!H$72&lt;=$D$17+RetailDowntime,0,1)*$E$17*$B$17/12*INDEX(Cum_RetailRent,1,Assumptions!H$77)*RenewalRentFactor)))</f>
        <v/>
      </c>
      <c r="I29" s="52">
        <f>IF(Assumptions!I$74=0,0,IF(Assumptions!I$72&lt;$C$17,0,IF(Assumptions!I$72&lt;=$D$17,$E$17*$B$17/12*(1+$F$17)^INT((Assumptions!I$72-$C$17)/12),IF(Assumptions!I$72&lt;=$D$17+RetailDowntime,0,1)*$E$17*$B$17/12*INDEX(Cum_RetailRent,1,Assumptions!I$77)*RenewalRentFactor)))</f>
        <v/>
      </c>
      <c r="J29" s="52">
        <f>IF(Assumptions!J$74=0,0,IF(Assumptions!J$72&lt;$C$17,0,IF(Assumptions!J$72&lt;=$D$17,$E$17*$B$17/12*(1+$F$17)^INT((Assumptions!J$72-$C$17)/12),IF(Assumptions!J$72&lt;=$D$17+RetailDowntime,0,1)*$E$17*$B$17/12*INDEX(Cum_RetailRent,1,Assumptions!J$77)*RenewalRentFactor)))</f>
        <v/>
      </c>
      <c r="K29" s="52">
        <f>IF(Assumptions!K$74=0,0,IF(Assumptions!K$72&lt;$C$17,0,IF(Assumptions!K$72&lt;=$D$17,$E$17*$B$17/12*(1+$F$17)^INT((Assumptions!K$72-$C$17)/12),IF(Assumptions!K$72&lt;=$D$17+RetailDowntime,0,1)*$E$17*$B$17/12*INDEX(Cum_RetailRent,1,Assumptions!K$77)*RenewalRentFactor)))</f>
        <v/>
      </c>
      <c r="L29" s="52">
        <f>IF(Assumptions!L$74=0,0,IF(Assumptions!L$72&lt;$C$17,0,IF(Assumptions!L$72&lt;=$D$17,$E$17*$B$17/12*(1+$F$17)^INT((Assumptions!L$72-$C$17)/12),IF(Assumptions!L$72&lt;=$D$17+RetailDowntime,0,1)*$E$17*$B$17/12*INDEX(Cum_RetailRent,1,Assumptions!L$77)*RenewalRentFactor)))</f>
        <v/>
      </c>
      <c r="M29" s="52">
        <f>IF(Assumptions!M$74=0,0,IF(Assumptions!M$72&lt;$C$17,0,IF(Assumptions!M$72&lt;=$D$17,$E$17*$B$17/12*(1+$F$17)^INT((Assumptions!M$72-$C$17)/12),IF(Assumptions!M$72&lt;=$D$17+RetailDowntime,0,1)*$E$17*$B$17/12*INDEX(Cum_RetailRent,1,Assumptions!M$77)*RenewalRentFactor)))</f>
        <v/>
      </c>
      <c r="N29" s="52">
        <f>IF(Assumptions!N$74=0,0,IF(Assumptions!N$72&lt;$C$17,0,IF(Assumptions!N$72&lt;=$D$17,$E$17*$B$17/12*(1+$F$17)^INT((Assumptions!N$72-$C$17)/12),IF(Assumptions!N$72&lt;=$D$17+RetailDowntime,0,1)*$E$17*$B$17/12*INDEX(Cum_RetailRent,1,Assumptions!N$77)*RenewalRentFactor)))</f>
        <v/>
      </c>
      <c r="O29" s="52">
        <f>IF(Assumptions!O$74=0,0,IF(Assumptions!O$72&lt;$C$17,0,IF(Assumptions!O$72&lt;=$D$17,$E$17*$B$17/12*(1+$F$17)^INT((Assumptions!O$72-$C$17)/12),IF(Assumptions!O$72&lt;=$D$17+RetailDowntime,0,1)*$E$17*$B$17/12*INDEX(Cum_RetailRent,1,Assumptions!O$77)*RenewalRentFactor)))</f>
        <v/>
      </c>
      <c r="P29" s="52">
        <f>IF(Assumptions!P$74=0,0,IF(Assumptions!P$72&lt;$C$17,0,IF(Assumptions!P$72&lt;=$D$17,$E$17*$B$17/12*(1+$F$17)^INT((Assumptions!P$72-$C$17)/12),IF(Assumptions!P$72&lt;=$D$17+RetailDowntime,0,1)*$E$17*$B$17/12*INDEX(Cum_RetailRent,1,Assumptions!P$77)*RenewalRentFactor)))</f>
        <v/>
      </c>
      <c r="Q29" s="52">
        <f>IF(Assumptions!Q$74=0,0,IF(Assumptions!Q$72&lt;$C$17,0,IF(Assumptions!Q$72&lt;=$D$17,$E$17*$B$17/12*(1+$F$17)^INT((Assumptions!Q$72-$C$17)/12),IF(Assumptions!Q$72&lt;=$D$17+RetailDowntime,0,1)*$E$17*$B$17/12*INDEX(Cum_RetailRent,1,Assumptions!Q$77)*RenewalRentFactor)))</f>
        <v/>
      </c>
      <c r="R29" s="52">
        <f>IF(Assumptions!R$74=0,0,IF(Assumptions!R$72&lt;$C$17,0,IF(Assumptions!R$72&lt;=$D$17,$E$17*$B$17/12*(1+$F$17)^INT((Assumptions!R$72-$C$17)/12),IF(Assumptions!R$72&lt;=$D$17+RetailDowntime,0,1)*$E$17*$B$17/12*INDEX(Cum_RetailRent,1,Assumptions!R$77)*RenewalRentFactor)))</f>
        <v/>
      </c>
      <c r="S29" s="52">
        <f>IF(Assumptions!S$74=0,0,IF(Assumptions!S$72&lt;$C$17,0,IF(Assumptions!S$72&lt;=$D$17,$E$17*$B$17/12*(1+$F$17)^INT((Assumptions!S$72-$C$17)/12),IF(Assumptions!S$72&lt;=$D$17+RetailDowntime,0,1)*$E$17*$B$17/12*INDEX(Cum_RetailRent,1,Assumptions!S$77)*RenewalRentFactor)))</f>
        <v/>
      </c>
      <c r="T29" s="52">
        <f>IF(Assumptions!T$74=0,0,IF(Assumptions!T$72&lt;$C$17,0,IF(Assumptions!T$72&lt;=$D$17,$E$17*$B$17/12*(1+$F$17)^INT((Assumptions!T$72-$C$17)/12),IF(Assumptions!T$72&lt;=$D$17+RetailDowntime,0,1)*$E$17*$B$17/12*INDEX(Cum_RetailRent,1,Assumptions!T$77)*RenewalRentFactor)))</f>
        <v/>
      </c>
      <c r="U29" s="52">
        <f>IF(Assumptions!U$74=0,0,IF(Assumptions!U$72&lt;$C$17,0,IF(Assumptions!U$72&lt;=$D$17,$E$17*$B$17/12*(1+$F$17)^INT((Assumptions!U$72-$C$17)/12),IF(Assumptions!U$72&lt;=$D$17+RetailDowntime,0,1)*$E$17*$B$17/12*INDEX(Cum_RetailRent,1,Assumptions!U$77)*RenewalRentFactor)))</f>
        <v/>
      </c>
      <c r="V29" s="52">
        <f>IF(Assumptions!V$74=0,0,IF(Assumptions!V$72&lt;$C$17,0,IF(Assumptions!V$72&lt;=$D$17,$E$17*$B$17/12*(1+$F$17)^INT((Assumptions!V$72-$C$17)/12),IF(Assumptions!V$72&lt;=$D$17+RetailDowntime,0,1)*$E$17*$B$17/12*INDEX(Cum_RetailRent,1,Assumptions!V$77)*RenewalRentFactor)))</f>
        <v/>
      </c>
      <c r="W29" s="52">
        <f>IF(Assumptions!W$74=0,0,IF(Assumptions!W$72&lt;$C$17,0,IF(Assumptions!W$72&lt;=$D$17,$E$17*$B$17/12*(1+$F$17)^INT((Assumptions!W$72-$C$17)/12),IF(Assumptions!W$72&lt;=$D$17+RetailDowntime,0,1)*$E$17*$B$17/12*INDEX(Cum_RetailRent,1,Assumptions!W$77)*RenewalRentFactor)))</f>
        <v/>
      </c>
      <c r="X29" s="52">
        <f>IF(Assumptions!X$74=0,0,IF(Assumptions!X$72&lt;$C$17,0,IF(Assumptions!X$72&lt;=$D$17,$E$17*$B$17/12*(1+$F$17)^INT((Assumptions!X$72-$C$17)/12),IF(Assumptions!X$72&lt;=$D$17+RetailDowntime,0,1)*$E$17*$B$17/12*INDEX(Cum_RetailRent,1,Assumptions!X$77)*RenewalRentFactor)))</f>
        <v/>
      </c>
      <c r="Y29" s="52">
        <f>IF(Assumptions!Y$74=0,0,IF(Assumptions!Y$72&lt;$C$17,0,IF(Assumptions!Y$72&lt;=$D$17,$E$17*$B$17/12*(1+$F$17)^INT((Assumptions!Y$72-$C$17)/12),IF(Assumptions!Y$72&lt;=$D$17+RetailDowntime,0,1)*$E$17*$B$17/12*INDEX(Cum_RetailRent,1,Assumptions!Y$77)*RenewalRentFactor)))</f>
        <v/>
      </c>
      <c r="Z29" s="52">
        <f>IF(Assumptions!Z$74=0,0,IF(Assumptions!Z$72&lt;$C$17,0,IF(Assumptions!Z$72&lt;=$D$17,$E$17*$B$17/12*(1+$F$17)^INT((Assumptions!Z$72-$C$17)/12),IF(Assumptions!Z$72&lt;=$D$17+RetailDowntime,0,1)*$E$17*$B$17/12*INDEX(Cum_RetailRent,1,Assumptions!Z$77)*RenewalRentFactor)))</f>
        <v/>
      </c>
      <c r="AA29" s="52">
        <f>IF(Assumptions!AA$74=0,0,IF(Assumptions!AA$72&lt;$C$17,0,IF(Assumptions!AA$72&lt;=$D$17,$E$17*$B$17/12*(1+$F$17)^INT((Assumptions!AA$72-$C$17)/12),IF(Assumptions!AA$72&lt;=$D$17+RetailDowntime,0,1)*$E$17*$B$17/12*INDEX(Cum_RetailRent,1,Assumptions!AA$77)*RenewalRentFactor)))</f>
        <v/>
      </c>
      <c r="AB29" s="52">
        <f>IF(Assumptions!AB$74=0,0,IF(Assumptions!AB$72&lt;$C$17,0,IF(Assumptions!AB$72&lt;=$D$17,$E$17*$B$17/12*(1+$F$17)^INT((Assumptions!AB$72-$C$17)/12),IF(Assumptions!AB$72&lt;=$D$17+RetailDowntime,0,1)*$E$17*$B$17/12*INDEX(Cum_RetailRent,1,Assumptions!AB$77)*RenewalRentFactor)))</f>
        <v/>
      </c>
      <c r="AC29" s="52">
        <f>IF(Assumptions!AC$74=0,0,IF(Assumptions!AC$72&lt;$C$17,0,IF(Assumptions!AC$72&lt;=$D$17,$E$17*$B$17/12*(1+$F$17)^INT((Assumptions!AC$72-$C$17)/12),IF(Assumptions!AC$72&lt;=$D$17+RetailDowntime,0,1)*$E$17*$B$17/12*INDEX(Cum_RetailRent,1,Assumptions!AC$77)*RenewalRentFactor)))</f>
        <v/>
      </c>
      <c r="AD29" s="52">
        <f>IF(Assumptions!AD$74=0,0,IF(Assumptions!AD$72&lt;$C$17,0,IF(Assumptions!AD$72&lt;=$D$17,$E$17*$B$17/12*(1+$F$17)^INT((Assumptions!AD$72-$C$17)/12),IF(Assumptions!AD$72&lt;=$D$17+RetailDowntime,0,1)*$E$17*$B$17/12*INDEX(Cum_RetailRent,1,Assumptions!AD$77)*RenewalRentFactor)))</f>
        <v/>
      </c>
      <c r="AE29" s="52">
        <f>IF(Assumptions!AE$74=0,0,IF(Assumptions!AE$72&lt;$C$17,0,IF(Assumptions!AE$72&lt;=$D$17,$E$17*$B$17/12*(1+$F$17)^INT((Assumptions!AE$72-$C$17)/12),IF(Assumptions!AE$72&lt;=$D$17+RetailDowntime,0,1)*$E$17*$B$17/12*INDEX(Cum_RetailRent,1,Assumptions!AE$77)*RenewalRentFactor)))</f>
        <v/>
      </c>
      <c r="AF29" s="52">
        <f>IF(Assumptions!AF$74=0,0,IF(Assumptions!AF$72&lt;$C$17,0,IF(Assumptions!AF$72&lt;=$D$17,$E$17*$B$17/12*(1+$F$17)^INT((Assumptions!AF$72-$C$17)/12),IF(Assumptions!AF$72&lt;=$D$17+RetailDowntime,0,1)*$E$17*$B$17/12*INDEX(Cum_RetailRent,1,Assumptions!AF$77)*RenewalRentFactor)))</f>
        <v/>
      </c>
      <c r="AG29" s="52">
        <f>IF(Assumptions!AG$74=0,0,IF(Assumptions!AG$72&lt;$C$17,0,IF(Assumptions!AG$72&lt;=$D$17,$E$17*$B$17/12*(1+$F$17)^INT((Assumptions!AG$72-$C$17)/12),IF(Assumptions!AG$72&lt;=$D$17+RetailDowntime,0,1)*$E$17*$B$17/12*INDEX(Cum_RetailRent,1,Assumptions!AG$77)*RenewalRentFactor)))</f>
        <v/>
      </c>
      <c r="AH29" s="52">
        <f>IF(Assumptions!AH$74=0,0,IF(Assumptions!AH$72&lt;$C$17,0,IF(Assumptions!AH$72&lt;=$D$17,$E$17*$B$17/12*(1+$F$17)^INT((Assumptions!AH$72-$C$17)/12),IF(Assumptions!AH$72&lt;=$D$17+RetailDowntime,0,1)*$E$17*$B$17/12*INDEX(Cum_RetailRent,1,Assumptions!AH$77)*RenewalRentFactor)))</f>
        <v/>
      </c>
      <c r="AI29" s="52">
        <f>IF(Assumptions!AI$74=0,0,IF(Assumptions!AI$72&lt;$C$17,0,IF(Assumptions!AI$72&lt;=$D$17,$E$17*$B$17/12*(1+$F$17)^INT((Assumptions!AI$72-$C$17)/12),IF(Assumptions!AI$72&lt;=$D$17+RetailDowntime,0,1)*$E$17*$B$17/12*INDEX(Cum_RetailRent,1,Assumptions!AI$77)*RenewalRentFactor)))</f>
        <v/>
      </c>
      <c r="AJ29" s="52">
        <f>IF(Assumptions!AJ$74=0,0,IF(Assumptions!AJ$72&lt;$C$17,0,IF(Assumptions!AJ$72&lt;=$D$17,$E$17*$B$17/12*(1+$F$17)^INT((Assumptions!AJ$72-$C$17)/12),IF(Assumptions!AJ$72&lt;=$D$17+RetailDowntime,0,1)*$E$17*$B$17/12*INDEX(Cum_RetailRent,1,Assumptions!AJ$77)*RenewalRentFactor)))</f>
        <v/>
      </c>
      <c r="AK29" s="52">
        <f>IF(Assumptions!AK$74=0,0,IF(Assumptions!AK$72&lt;$C$17,0,IF(Assumptions!AK$72&lt;=$D$17,$E$17*$B$17/12*(1+$F$17)^INT((Assumptions!AK$72-$C$17)/12),IF(Assumptions!AK$72&lt;=$D$17+RetailDowntime,0,1)*$E$17*$B$17/12*INDEX(Cum_RetailRent,1,Assumptions!AK$77)*RenewalRentFactor)))</f>
        <v/>
      </c>
      <c r="AL29" s="52">
        <f>IF(Assumptions!AL$74=0,0,IF(Assumptions!AL$72&lt;$C$17,0,IF(Assumptions!AL$72&lt;=$D$17,$E$17*$B$17/12*(1+$F$17)^INT((Assumptions!AL$72-$C$17)/12),IF(Assumptions!AL$72&lt;=$D$17+RetailDowntime,0,1)*$E$17*$B$17/12*INDEX(Cum_RetailRent,1,Assumptions!AL$77)*RenewalRentFactor)))</f>
        <v/>
      </c>
      <c r="AM29" s="52">
        <f>IF(Assumptions!AM$74=0,0,IF(Assumptions!AM$72&lt;$C$17,0,IF(Assumptions!AM$72&lt;=$D$17,$E$17*$B$17/12*(1+$F$17)^INT((Assumptions!AM$72-$C$17)/12),IF(Assumptions!AM$72&lt;=$D$17+RetailDowntime,0,1)*$E$17*$B$17/12*INDEX(Cum_RetailRent,1,Assumptions!AM$77)*RenewalRentFactor)))</f>
        <v/>
      </c>
      <c r="AN29" s="52">
        <f>IF(Assumptions!AN$74=0,0,IF(Assumptions!AN$72&lt;$C$17,0,IF(Assumptions!AN$72&lt;=$D$17,$E$17*$B$17/12*(1+$F$17)^INT((Assumptions!AN$72-$C$17)/12),IF(Assumptions!AN$72&lt;=$D$17+RetailDowntime,0,1)*$E$17*$B$17/12*INDEX(Cum_RetailRent,1,Assumptions!AN$77)*RenewalRentFactor)))</f>
        <v/>
      </c>
      <c r="AO29" s="52">
        <f>IF(Assumptions!AO$74=0,0,IF(Assumptions!AO$72&lt;$C$17,0,IF(Assumptions!AO$72&lt;=$D$17,$E$17*$B$17/12*(1+$F$17)^INT((Assumptions!AO$72-$C$17)/12),IF(Assumptions!AO$72&lt;=$D$17+RetailDowntime,0,1)*$E$17*$B$17/12*INDEX(Cum_RetailRent,1,Assumptions!AO$77)*RenewalRentFactor)))</f>
        <v/>
      </c>
      <c r="AP29" s="52">
        <f>IF(Assumptions!AP$74=0,0,IF(Assumptions!AP$72&lt;$C$17,0,IF(Assumptions!AP$72&lt;=$D$17,$E$17*$B$17/12*(1+$F$17)^INT((Assumptions!AP$72-$C$17)/12),IF(Assumptions!AP$72&lt;=$D$17+RetailDowntime,0,1)*$E$17*$B$17/12*INDEX(Cum_RetailRent,1,Assumptions!AP$77)*RenewalRentFactor)))</f>
        <v/>
      </c>
      <c r="AQ29" s="52">
        <f>IF(Assumptions!AQ$74=0,0,IF(Assumptions!AQ$72&lt;$C$17,0,IF(Assumptions!AQ$72&lt;=$D$17,$E$17*$B$17/12*(1+$F$17)^INT((Assumptions!AQ$72-$C$17)/12),IF(Assumptions!AQ$72&lt;=$D$17+RetailDowntime,0,1)*$E$17*$B$17/12*INDEX(Cum_RetailRent,1,Assumptions!AQ$77)*RenewalRentFactor)))</f>
        <v/>
      </c>
      <c r="AR29" s="52">
        <f>IF(Assumptions!AR$74=0,0,IF(Assumptions!AR$72&lt;$C$17,0,IF(Assumptions!AR$72&lt;=$D$17,$E$17*$B$17/12*(1+$F$17)^INT((Assumptions!AR$72-$C$17)/12),IF(Assumptions!AR$72&lt;=$D$17+RetailDowntime,0,1)*$E$17*$B$17/12*INDEX(Cum_RetailRent,1,Assumptions!AR$77)*RenewalRentFactor)))</f>
        <v/>
      </c>
      <c r="AS29" s="52">
        <f>IF(Assumptions!AS$74=0,0,IF(Assumptions!AS$72&lt;$C$17,0,IF(Assumptions!AS$72&lt;=$D$17,$E$17*$B$17/12*(1+$F$17)^INT((Assumptions!AS$72-$C$17)/12),IF(Assumptions!AS$72&lt;=$D$17+RetailDowntime,0,1)*$E$17*$B$17/12*INDEX(Cum_RetailRent,1,Assumptions!AS$77)*RenewalRentFactor)))</f>
        <v/>
      </c>
      <c r="AT29" s="52">
        <f>IF(Assumptions!AT$74=0,0,IF(Assumptions!AT$72&lt;$C$17,0,IF(Assumptions!AT$72&lt;=$D$17,$E$17*$B$17/12*(1+$F$17)^INT((Assumptions!AT$72-$C$17)/12),IF(Assumptions!AT$72&lt;=$D$17+RetailDowntime,0,1)*$E$17*$B$17/12*INDEX(Cum_RetailRent,1,Assumptions!AT$77)*RenewalRentFactor)))</f>
        <v/>
      </c>
      <c r="AU29" s="52">
        <f>IF(Assumptions!AU$74=0,0,IF(Assumptions!AU$72&lt;$C$17,0,IF(Assumptions!AU$72&lt;=$D$17,$E$17*$B$17/12*(1+$F$17)^INT((Assumptions!AU$72-$C$17)/12),IF(Assumptions!AU$72&lt;=$D$17+RetailDowntime,0,1)*$E$17*$B$17/12*INDEX(Cum_RetailRent,1,Assumptions!AU$77)*RenewalRentFactor)))</f>
        <v/>
      </c>
      <c r="AV29" s="52">
        <f>IF(Assumptions!AV$74=0,0,IF(Assumptions!AV$72&lt;$C$17,0,IF(Assumptions!AV$72&lt;=$D$17,$E$17*$B$17/12*(1+$F$17)^INT((Assumptions!AV$72-$C$17)/12),IF(Assumptions!AV$72&lt;=$D$17+RetailDowntime,0,1)*$E$17*$B$17/12*INDEX(Cum_RetailRent,1,Assumptions!AV$77)*RenewalRentFactor)))</f>
        <v/>
      </c>
      <c r="AW29" s="52">
        <f>IF(Assumptions!AW$74=0,0,IF(Assumptions!AW$72&lt;$C$17,0,IF(Assumptions!AW$72&lt;=$D$17,$E$17*$B$17/12*(1+$F$17)^INT((Assumptions!AW$72-$C$17)/12),IF(Assumptions!AW$72&lt;=$D$17+RetailDowntime,0,1)*$E$17*$B$17/12*INDEX(Cum_RetailRent,1,Assumptions!AW$77)*RenewalRentFactor)))</f>
        <v/>
      </c>
      <c r="AX29" s="52">
        <f>IF(Assumptions!AX$74=0,0,IF(Assumptions!AX$72&lt;$C$17,0,IF(Assumptions!AX$72&lt;=$D$17,$E$17*$B$17/12*(1+$F$17)^INT((Assumptions!AX$72-$C$17)/12),IF(Assumptions!AX$72&lt;=$D$17+RetailDowntime,0,1)*$E$17*$B$17/12*INDEX(Cum_RetailRent,1,Assumptions!AX$77)*RenewalRentFactor)))</f>
        <v/>
      </c>
      <c r="AY29" s="52">
        <f>IF(Assumptions!AY$74=0,0,IF(Assumptions!AY$72&lt;$C$17,0,IF(Assumptions!AY$72&lt;=$D$17,$E$17*$B$17/12*(1+$F$17)^INT((Assumptions!AY$72-$C$17)/12),IF(Assumptions!AY$72&lt;=$D$17+RetailDowntime,0,1)*$E$17*$B$17/12*INDEX(Cum_RetailRent,1,Assumptions!AY$77)*RenewalRentFactor)))</f>
        <v/>
      </c>
      <c r="AZ29" s="52">
        <f>IF(Assumptions!AZ$74=0,0,IF(Assumptions!AZ$72&lt;$C$17,0,IF(Assumptions!AZ$72&lt;=$D$17,$E$17*$B$17/12*(1+$F$17)^INT((Assumptions!AZ$72-$C$17)/12),IF(Assumptions!AZ$72&lt;=$D$17+RetailDowntime,0,1)*$E$17*$B$17/12*INDEX(Cum_RetailRent,1,Assumptions!AZ$77)*RenewalRentFactor)))</f>
        <v/>
      </c>
      <c r="BA29" s="52">
        <f>IF(Assumptions!BA$74=0,0,IF(Assumptions!BA$72&lt;$C$17,0,IF(Assumptions!BA$72&lt;=$D$17,$E$17*$B$17/12*(1+$F$17)^INT((Assumptions!BA$72-$C$17)/12),IF(Assumptions!BA$72&lt;=$D$17+RetailDowntime,0,1)*$E$17*$B$17/12*INDEX(Cum_RetailRent,1,Assumptions!BA$77)*RenewalRentFactor)))</f>
        <v/>
      </c>
      <c r="BB29" s="52">
        <f>IF(Assumptions!BB$74=0,0,IF(Assumptions!BB$72&lt;$C$17,0,IF(Assumptions!BB$72&lt;=$D$17,$E$17*$B$17/12*(1+$F$17)^INT((Assumptions!BB$72-$C$17)/12),IF(Assumptions!BB$72&lt;=$D$17+RetailDowntime,0,1)*$E$17*$B$17/12*INDEX(Cum_RetailRent,1,Assumptions!BB$77)*RenewalRentFactor)))</f>
        <v/>
      </c>
      <c r="BC29" s="52">
        <f>IF(Assumptions!BC$74=0,0,IF(Assumptions!BC$72&lt;$C$17,0,IF(Assumptions!BC$72&lt;=$D$17,$E$17*$B$17/12*(1+$F$17)^INT((Assumptions!BC$72-$C$17)/12),IF(Assumptions!BC$72&lt;=$D$17+RetailDowntime,0,1)*$E$17*$B$17/12*INDEX(Cum_RetailRent,1,Assumptions!BC$77)*RenewalRentFactor)))</f>
        <v/>
      </c>
      <c r="BD29" s="52">
        <f>IF(Assumptions!BD$74=0,0,IF(Assumptions!BD$72&lt;$C$17,0,IF(Assumptions!BD$72&lt;=$D$17,$E$17*$B$17/12*(1+$F$17)^INT((Assumptions!BD$72-$C$17)/12),IF(Assumptions!BD$72&lt;=$D$17+RetailDowntime,0,1)*$E$17*$B$17/12*INDEX(Cum_RetailRent,1,Assumptions!BD$77)*RenewalRentFactor)))</f>
        <v/>
      </c>
      <c r="BE29" s="52">
        <f>IF(Assumptions!BE$74=0,0,IF(Assumptions!BE$72&lt;$C$17,0,IF(Assumptions!BE$72&lt;=$D$17,$E$17*$B$17/12*(1+$F$17)^INT((Assumptions!BE$72-$C$17)/12),IF(Assumptions!BE$72&lt;=$D$17+RetailDowntime,0,1)*$E$17*$B$17/12*INDEX(Cum_RetailRent,1,Assumptions!BE$77)*RenewalRentFactor)))</f>
        <v/>
      </c>
      <c r="BF29" s="52">
        <f>IF(Assumptions!BF$74=0,0,IF(Assumptions!BF$72&lt;$C$17,0,IF(Assumptions!BF$72&lt;=$D$17,$E$17*$B$17/12*(1+$F$17)^INT((Assumptions!BF$72-$C$17)/12),IF(Assumptions!BF$72&lt;=$D$17+RetailDowntime,0,1)*$E$17*$B$17/12*INDEX(Cum_RetailRent,1,Assumptions!BF$77)*RenewalRentFactor)))</f>
        <v/>
      </c>
      <c r="BG29" s="52">
        <f>IF(Assumptions!BG$74=0,0,IF(Assumptions!BG$72&lt;$C$17,0,IF(Assumptions!BG$72&lt;=$D$17,$E$17*$B$17/12*(1+$F$17)^INT((Assumptions!BG$72-$C$17)/12),IF(Assumptions!BG$72&lt;=$D$17+RetailDowntime,0,1)*$E$17*$B$17/12*INDEX(Cum_RetailRent,1,Assumptions!BG$77)*RenewalRentFactor)))</f>
        <v/>
      </c>
      <c r="BH29" s="52">
        <f>IF(Assumptions!BH$74=0,0,IF(Assumptions!BH$72&lt;$C$17,0,IF(Assumptions!BH$72&lt;=$D$17,$E$17*$B$17/12*(1+$F$17)^INT((Assumptions!BH$72-$C$17)/12),IF(Assumptions!BH$72&lt;=$D$17+RetailDowntime,0,1)*$E$17*$B$17/12*INDEX(Cum_RetailRent,1,Assumptions!BH$77)*RenewalRentFactor)))</f>
        <v/>
      </c>
      <c r="BI29" s="52">
        <f>IF(Assumptions!BI$74=0,0,IF(Assumptions!BI$72&lt;$C$17,0,IF(Assumptions!BI$72&lt;=$D$17,$E$17*$B$17/12*(1+$F$17)^INT((Assumptions!BI$72-$C$17)/12),IF(Assumptions!BI$72&lt;=$D$17+RetailDowntime,0,1)*$E$17*$B$17/12*INDEX(Cum_RetailRent,1,Assumptions!BI$77)*RenewalRentFactor)))</f>
        <v/>
      </c>
      <c r="BJ29" s="52">
        <f>IF(Assumptions!BJ$74=0,0,IF(Assumptions!BJ$72&lt;$C$17,0,IF(Assumptions!BJ$72&lt;=$D$17,$E$17*$B$17/12*(1+$F$17)^INT((Assumptions!BJ$72-$C$17)/12),IF(Assumptions!BJ$72&lt;=$D$17+RetailDowntime,0,1)*$E$17*$B$17/12*INDEX(Cum_RetailRent,1,Assumptions!BJ$77)*RenewalRentFactor)))</f>
        <v/>
      </c>
      <c r="BK29" s="52">
        <f>IF(Assumptions!BK$74=0,0,IF(Assumptions!BK$72&lt;$C$17,0,IF(Assumptions!BK$72&lt;=$D$17,$E$17*$B$17/12*(1+$F$17)^INT((Assumptions!BK$72-$C$17)/12),IF(Assumptions!BK$72&lt;=$D$17+RetailDowntime,0,1)*$E$17*$B$17/12*INDEX(Cum_RetailRent,1,Assumptions!BK$77)*RenewalRentFactor)))</f>
        <v/>
      </c>
      <c r="BL29" s="52">
        <f>IF(Assumptions!BL$74=0,0,IF(Assumptions!BL$72&lt;$C$17,0,IF(Assumptions!BL$72&lt;=$D$17,$E$17*$B$17/12*(1+$F$17)^INT((Assumptions!BL$72-$C$17)/12),IF(Assumptions!BL$72&lt;=$D$17+RetailDowntime,0,1)*$E$17*$B$17/12*INDEX(Cum_RetailRent,1,Assumptions!BL$77)*RenewalRentFactor)))</f>
        <v/>
      </c>
      <c r="BM29" s="52">
        <f>IF(Assumptions!BM$74=0,0,IF(Assumptions!BM$72&lt;$C$17,0,IF(Assumptions!BM$72&lt;=$D$17,$E$17*$B$17/12*(1+$F$17)^INT((Assumptions!BM$72-$C$17)/12),IF(Assumptions!BM$72&lt;=$D$17+RetailDowntime,0,1)*$E$17*$B$17/12*INDEX(Cum_RetailRent,1,Assumptions!BM$77)*RenewalRentFactor)))</f>
        <v/>
      </c>
      <c r="BN29" s="52">
        <f>IF(Assumptions!BN$74=0,0,IF(Assumptions!BN$72&lt;$C$17,0,IF(Assumptions!BN$72&lt;=$D$17,$E$17*$B$17/12*(1+$F$17)^INT((Assumptions!BN$72-$C$17)/12),IF(Assumptions!BN$72&lt;=$D$17+RetailDowntime,0,1)*$E$17*$B$17/12*INDEX(Cum_RetailRent,1,Assumptions!BN$77)*RenewalRentFactor)))</f>
        <v/>
      </c>
      <c r="BO29" s="52">
        <f>IF(Assumptions!BO$74=0,0,IF(Assumptions!BO$72&lt;$C$17,0,IF(Assumptions!BO$72&lt;=$D$17,$E$17*$B$17/12*(1+$F$17)^INT((Assumptions!BO$72-$C$17)/12),IF(Assumptions!BO$72&lt;=$D$17+RetailDowntime,0,1)*$E$17*$B$17/12*INDEX(Cum_RetailRent,1,Assumptions!BO$77)*RenewalRentFactor)))</f>
        <v/>
      </c>
      <c r="BP29" s="52">
        <f>IF(Assumptions!BP$74=0,0,IF(Assumptions!BP$72&lt;$C$17,0,IF(Assumptions!BP$72&lt;=$D$17,$E$17*$B$17/12*(1+$F$17)^INT((Assumptions!BP$72-$C$17)/12),IF(Assumptions!BP$72&lt;=$D$17+RetailDowntime,0,1)*$E$17*$B$17/12*INDEX(Cum_RetailRent,1,Assumptions!BP$77)*RenewalRentFactor)))</f>
        <v/>
      </c>
      <c r="BQ29" s="52">
        <f>IF(Assumptions!BQ$74=0,0,IF(Assumptions!BQ$72&lt;$C$17,0,IF(Assumptions!BQ$72&lt;=$D$17,$E$17*$B$17/12*(1+$F$17)^INT((Assumptions!BQ$72-$C$17)/12),IF(Assumptions!BQ$72&lt;=$D$17+RetailDowntime,0,1)*$E$17*$B$17/12*INDEX(Cum_RetailRent,1,Assumptions!BQ$77)*RenewalRentFactor)))</f>
        <v/>
      </c>
      <c r="BR29" s="52">
        <f>IF(Assumptions!BR$74=0,0,IF(Assumptions!BR$72&lt;$C$17,0,IF(Assumptions!BR$72&lt;=$D$17,$E$17*$B$17/12*(1+$F$17)^INT((Assumptions!BR$72-$C$17)/12),IF(Assumptions!BR$72&lt;=$D$17+RetailDowntime,0,1)*$E$17*$B$17/12*INDEX(Cum_RetailRent,1,Assumptions!BR$77)*RenewalRentFactor)))</f>
        <v/>
      </c>
      <c r="BS29" s="52">
        <f>IF(Assumptions!BS$74=0,0,IF(Assumptions!BS$72&lt;$C$17,0,IF(Assumptions!BS$72&lt;=$D$17,$E$17*$B$17/12*(1+$F$17)^INT((Assumptions!BS$72-$C$17)/12),IF(Assumptions!BS$72&lt;=$D$17+RetailDowntime,0,1)*$E$17*$B$17/12*INDEX(Cum_RetailRent,1,Assumptions!BS$77)*RenewalRentFactor)))</f>
        <v/>
      </c>
      <c r="BT29" s="52">
        <f>IF(Assumptions!BT$74=0,0,IF(Assumptions!BT$72&lt;$C$17,0,IF(Assumptions!BT$72&lt;=$D$17,$E$17*$B$17/12*(1+$F$17)^INT((Assumptions!BT$72-$C$17)/12),IF(Assumptions!BT$72&lt;=$D$17+RetailDowntime,0,1)*$E$17*$B$17/12*INDEX(Cum_RetailRent,1,Assumptions!BT$77)*RenewalRentFactor)))</f>
        <v/>
      </c>
      <c r="BU29" s="52">
        <f>IF(Assumptions!BU$74=0,0,IF(Assumptions!BU$72&lt;$C$17,0,IF(Assumptions!BU$72&lt;=$D$17,$E$17*$B$17/12*(1+$F$17)^INT((Assumptions!BU$72-$C$17)/12),IF(Assumptions!BU$72&lt;=$D$17+RetailDowntime,0,1)*$E$17*$B$17/12*INDEX(Cum_RetailRent,1,Assumptions!BU$77)*RenewalRentFactor)))</f>
        <v/>
      </c>
      <c r="BV29" s="52">
        <f>IF(Assumptions!BV$74=0,0,IF(Assumptions!BV$72&lt;$C$17,0,IF(Assumptions!BV$72&lt;=$D$17,$E$17*$B$17/12*(1+$F$17)^INT((Assumptions!BV$72-$C$17)/12),IF(Assumptions!BV$72&lt;=$D$17+RetailDowntime,0,1)*$E$17*$B$17/12*INDEX(Cum_RetailRent,1,Assumptions!BV$77)*RenewalRentFactor)))</f>
        <v/>
      </c>
      <c r="BW29" s="52">
        <f>IF(Assumptions!BW$74=0,0,IF(Assumptions!BW$72&lt;$C$17,0,IF(Assumptions!BW$72&lt;=$D$17,$E$17*$B$17/12*(1+$F$17)^INT((Assumptions!BW$72-$C$17)/12),IF(Assumptions!BW$72&lt;=$D$17+RetailDowntime,0,1)*$E$17*$B$17/12*INDEX(Cum_RetailRent,1,Assumptions!BW$77)*RenewalRentFactor)))</f>
        <v/>
      </c>
      <c r="BX29" s="52">
        <f>IF(Assumptions!BX$74=0,0,IF(Assumptions!BX$72&lt;$C$17,0,IF(Assumptions!BX$72&lt;=$D$17,$E$17*$B$17/12*(1+$F$17)^INT((Assumptions!BX$72-$C$17)/12),IF(Assumptions!BX$72&lt;=$D$17+RetailDowntime,0,1)*$E$17*$B$17/12*INDEX(Cum_RetailRent,1,Assumptions!BX$77)*RenewalRentFactor)))</f>
        <v/>
      </c>
      <c r="BY29" s="52">
        <f>IF(Assumptions!BY$74=0,0,IF(Assumptions!BY$72&lt;$C$17,0,IF(Assumptions!BY$72&lt;=$D$17,$E$17*$B$17/12*(1+$F$17)^INT((Assumptions!BY$72-$C$17)/12),IF(Assumptions!BY$72&lt;=$D$17+RetailDowntime,0,1)*$E$17*$B$17/12*INDEX(Cum_RetailRent,1,Assumptions!BY$77)*RenewalRentFactor)))</f>
        <v/>
      </c>
      <c r="BZ29" s="52">
        <f>IF(Assumptions!BZ$74=0,0,IF(Assumptions!BZ$72&lt;$C$17,0,IF(Assumptions!BZ$72&lt;=$D$17,$E$17*$B$17/12*(1+$F$17)^INT((Assumptions!BZ$72-$C$17)/12),IF(Assumptions!BZ$72&lt;=$D$17+RetailDowntime,0,1)*$E$17*$B$17/12*INDEX(Cum_RetailRent,1,Assumptions!BZ$77)*RenewalRentFactor)))</f>
        <v/>
      </c>
      <c r="CA29" s="52">
        <f>IF(Assumptions!CA$74=0,0,IF(Assumptions!CA$72&lt;$C$17,0,IF(Assumptions!CA$72&lt;=$D$17,$E$17*$B$17/12*(1+$F$17)^INT((Assumptions!CA$72-$C$17)/12),IF(Assumptions!CA$72&lt;=$D$17+RetailDowntime,0,1)*$E$17*$B$17/12*INDEX(Cum_RetailRent,1,Assumptions!CA$77)*RenewalRentFactor)))</f>
        <v/>
      </c>
      <c r="CB29" s="52">
        <f>IF(Assumptions!CB$74=0,0,IF(Assumptions!CB$72&lt;$C$17,0,IF(Assumptions!CB$72&lt;=$D$17,$E$17*$B$17/12*(1+$F$17)^INT((Assumptions!CB$72-$C$17)/12),IF(Assumptions!CB$72&lt;=$D$17+RetailDowntime,0,1)*$E$17*$B$17/12*INDEX(Cum_RetailRent,1,Assumptions!CB$77)*RenewalRentFactor)))</f>
        <v/>
      </c>
      <c r="CC29" s="52">
        <f>IF(Assumptions!CC$74=0,0,IF(Assumptions!CC$72&lt;$C$17,0,IF(Assumptions!CC$72&lt;=$D$17,$E$17*$B$17/12*(1+$F$17)^INT((Assumptions!CC$72-$C$17)/12),IF(Assumptions!CC$72&lt;=$D$17+RetailDowntime,0,1)*$E$17*$B$17/12*INDEX(Cum_RetailRent,1,Assumptions!CC$77)*RenewalRentFactor)))</f>
        <v/>
      </c>
      <c r="CD29" s="52">
        <f>IF(Assumptions!CD$74=0,0,IF(Assumptions!CD$72&lt;$C$17,0,IF(Assumptions!CD$72&lt;=$D$17,$E$17*$B$17/12*(1+$F$17)^INT((Assumptions!CD$72-$C$17)/12),IF(Assumptions!CD$72&lt;=$D$17+RetailDowntime,0,1)*$E$17*$B$17/12*INDEX(Cum_RetailRent,1,Assumptions!CD$77)*RenewalRentFactor)))</f>
        <v/>
      </c>
      <c r="CE29" s="52">
        <f>IF(Assumptions!CE$74=0,0,IF(Assumptions!CE$72&lt;$C$17,0,IF(Assumptions!CE$72&lt;=$D$17,$E$17*$B$17/12*(1+$F$17)^INT((Assumptions!CE$72-$C$17)/12),IF(Assumptions!CE$72&lt;=$D$17+RetailDowntime,0,1)*$E$17*$B$17/12*INDEX(Cum_RetailRent,1,Assumptions!CE$77)*RenewalRentFactor)))</f>
        <v/>
      </c>
      <c r="CF29" s="52">
        <f>IF(Assumptions!CF$74=0,0,IF(Assumptions!CF$72&lt;$C$17,0,IF(Assumptions!CF$72&lt;=$D$17,$E$17*$B$17/12*(1+$F$17)^INT((Assumptions!CF$72-$C$17)/12),IF(Assumptions!CF$72&lt;=$D$17+RetailDowntime,0,1)*$E$17*$B$17/12*INDEX(Cum_RetailRent,1,Assumptions!CF$77)*RenewalRentFactor)))</f>
        <v/>
      </c>
      <c r="CG29" s="52">
        <f>IF(Assumptions!CG$74=0,0,IF(Assumptions!CG$72&lt;$C$17,0,IF(Assumptions!CG$72&lt;=$D$17,$E$17*$B$17/12*(1+$F$17)^INT((Assumptions!CG$72-$C$17)/12),IF(Assumptions!CG$72&lt;=$D$17+RetailDowntime,0,1)*$E$17*$B$17/12*INDEX(Cum_RetailRent,1,Assumptions!CG$77)*RenewalRentFactor)))</f>
        <v/>
      </c>
      <c r="CH29" s="52">
        <f>IF(Assumptions!CH$74=0,0,IF(Assumptions!CH$72&lt;$C$17,0,IF(Assumptions!CH$72&lt;=$D$17,$E$17*$B$17/12*(1+$F$17)^INT((Assumptions!CH$72-$C$17)/12),IF(Assumptions!CH$72&lt;=$D$17+RetailDowntime,0,1)*$E$17*$B$17/12*INDEX(Cum_RetailRent,1,Assumptions!CH$77)*RenewalRentFactor)))</f>
        <v/>
      </c>
      <c r="CI29" s="52">
        <f>IF(Assumptions!CI$74=0,0,IF(Assumptions!CI$72&lt;$C$17,0,IF(Assumptions!CI$72&lt;=$D$17,$E$17*$B$17/12*(1+$F$17)^INT((Assumptions!CI$72-$C$17)/12),IF(Assumptions!CI$72&lt;=$D$17+RetailDowntime,0,1)*$E$17*$B$17/12*INDEX(Cum_RetailRent,1,Assumptions!CI$77)*RenewalRentFactor)))</f>
        <v/>
      </c>
      <c r="CJ29" s="52">
        <f>IF(Assumptions!CJ$74=0,0,IF(Assumptions!CJ$72&lt;$C$17,0,IF(Assumptions!CJ$72&lt;=$D$17,$E$17*$B$17/12*(1+$F$17)^INT((Assumptions!CJ$72-$C$17)/12),IF(Assumptions!CJ$72&lt;=$D$17+RetailDowntime,0,1)*$E$17*$B$17/12*INDEX(Cum_RetailRent,1,Assumptions!CJ$77)*RenewalRentFactor)))</f>
        <v/>
      </c>
      <c r="CK29" s="52">
        <f>IF(Assumptions!CK$74=0,0,IF(Assumptions!CK$72&lt;$C$17,0,IF(Assumptions!CK$72&lt;=$D$17,$E$17*$B$17/12*(1+$F$17)^INT((Assumptions!CK$72-$C$17)/12),IF(Assumptions!CK$72&lt;=$D$17+RetailDowntime,0,1)*$E$17*$B$17/12*INDEX(Cum_RetailRent,1,Assumptions!CK$77)*RenewalRentFactor)))</f>
        <v/>
      </c>
      <c r="CL29" s="52">
        <f>IF(Assumptions!CL$74=0,0,IF(Assumptions!CL$72&lt;$C$17,0,IF(Assumptions!CL$72&lt;=$D$17,$E$17*$B$17/12*(1+$F$17)^INT((Assumptions!CL$72-$C$17)/12),IF(Assumptions!CL$72&lt;=$D$17+RetailDowntime,0,1)*$E$17*$B$17/12*INDEX(Cum_RetailRent,1,Assumptions!CL$77)*RenewalRentFactor)))</f>
        <v/>
      </c>
      <c r="CM29" s="52">
        <f>IF(Assumptions!CM$74=0,0,IF(Assumptions!CM$72&lt;$C$17,0,IF(Assumptions!CM$72&lt;=$D$17,$E$17*$B$17/12*(1+$F$17)^INT((Assumptions!CM$72-$C$17)/12),IF(Assumptions!CM$72&lt;=$D$17+RetailDowntime,0,1)*$E$17*$B$17/12*INDEX(Cum_RetailRent,1,Assumptions!CM$77)*RenewalRentFactor)))</f>
        <v/>
      </c>
      <c r="CN29" s="52">
        <f>IF(Assumptions!CN$74=0,0,IF(Assumptions!CN$72&lt;$C$17,0,IF(Assumptions!CN$72&lt;=$D$17,$E$17*$B$17/12*(1+$F$17)^INT((Assumptions!CN$72-$C$17)/12),IF(Assumptions!CN$72&lt;=$D$17+RetailDowntime,0,1)*$E$17*$B$17/12*INDEX(Cum_RetailRent,1,Assumptions!CN$77)*RenewalRentFactor)))</f>
        <v/>
      </c>
      <c r="CO29" s="52">
        <f>IF(Assumptions!CO$74=0,0,IF(Assumptions!CO$72&lt;$C$17,0,IF(Assumptions!CO$72&lt;=$D$17,$E$17*$B$17/12*(1+$F$17)^INT((Assumptions!CO$72-$C$17)/12),IF(Assumptions!CO$72&lt;=$D$17+RetailDowntime,0,1)*$E$17*$B$17/12*INDEX(Cum_RetailRent,1,Assumptions!CO$77)*RenewalRentFactor)))</f>
        <v/>
      </c>
      <c r="CP29" s="52">
        <f>IF(Assumptions!CP$74=0,0,IF(Assumptions!CP$72&lt;$C$17,0,IF(Assumptions!CP$72&lt;=$D$17,$E$17*$B$17/12*(1+$F$17)^INT((Assumptions!CP$72-$C$17)/12),IF(Assumptions!CP$72&lt;=$D$17+RetailDowntime,0,1)*$E$17*$B$17/12*INDEX(Cum_RetailRent,1,Assumptions!CP$77)*RenewalRentFactor)))</f>
        <v/>
      </c>
      <c r="CQ29" s="52">
        <f>IF(Assumptions!CQ$74=0,0,IF(Assumptions!CQ$72&lt;$C$17,0,IF(Assumptions!CQ$72&lt;=$D$17,$E$17*$B$17/12*(1+$F$17)^INT((Assumptions!CQ$72-$C$17)/12),IF(Assumptions!CQ$72&lt;=$D$17+RetailDowntime,0,1)*$E$17*$B$17/12*INDEX(Cum_RetailRent,1,Assumptions!CQ$77)*RenewalRentFactor)))</f>
        <v/>
      </c>
      <c r="CR29" s="52">
        <f>IF(Assumptions!CR$74=0,0,IF(Assumptions!CR$72&lt;$C$17,0,IF(Assumptions!CR$72&lt;=$D$17,$E$17*$B$17/12*(1+$F$17)^INT((Assumptions!CR$72-$C$17)/12),IF(Assumptions!CR$72&lt;=$D$17+RetailDowntime,0,1)*$E$17*$B$17/12*INDEX(Cum_RetailRent,1,Assumptions!CR$77)*RenewalRentFactor)))</f>
        <v/>
      </c>
      <c r="CS29" s="52">
        <f>IF(Assumptions!CS$74=0,0,IF(Assumptions!CS$72&lt;$C$17,0,IF(Assumptions!CS$72&lt;=$D$17,$E$17*$B$17/12*(1+$F$17)^INT((Assumptions!CS$72-$C$17)/12),IF(Assumptions!CS$72&lt;=$D$17+RetailDowntime,0,1)*$E$17*$B$17/12*INDEX(Cum_RetailRent,1,Assumptions!CS$77)*RenewalRentFactor)))</f>
        <v/>
      </c>
      <c r="CT29" s="52">
        <f>IF(Assumptions!CT$74=0,0,IF(Assumptions!CT$72&lt;$C$17,0,IF(Assumptions!CT$72&lt;=$D$17,$E$17*$B$17/12*(1+$F$17)^INT((Assumptions!CT$72-$C$17)/12),IF(Assumptions!CT$72&lt;=$D$17+RetailDowntime,0,1)*$E$17*$B$17/12*INDEX(Cum_RetailRent,1,Assumptions!CT$77)*RenewalRentFactor)))</f>
        <v/>
      </c>
      <c r="CU29" s="52">
        <f>IF(Assumptions!CU$74=0,0,IF(Assumptions!CU$72&lt;$C$17,0,IF(Assumptions!CU$72&lt;=$D$17,$E$17*$B$17/12*(1+$F$17)^INT((Assumptions!CU$72-$C$17)/12),IF(Assumptions!CU$72&lt;=$D$17+RetailDowntime,0,1)*$E$17*$B$17/12*INDEX(Cum_RetailRent,1,Assumptions!CU$77)*RenewalRentFactor)))</f>
        <v/>
      </c>
      <c r="CV29" s="52">
        <f>IF(Assumptions!CV$74=0,0,IF(Assumptions!CV$72&lt;$C$17,0,IF(Assumptions!CV$72&lt;=$D$17,$E$17*$B$17/12*(1+$F$17)^INT((Assumptions!CV$72-$C$17)/12),IF(Assumptions!CV$72&lt;=$D$17+RetailDowntime,0,1)*$E$17*$B$17/12*INDEX(Cum_RetailRent,1,Assumptions!CV$77)*RenewalRentFactor)))</f>
        <v/>
      </c>
      <c r="CW29" s="52">
        <f>IF(Assumptions!CW$74=0,0,IF(Assumptions!CW$72&lt;$C$17,0,IF(Assumptions!CW$72&lt;=$D$17,$E$17*$B$17/12*(1+$F$17)^INT((Assumptions!CW$72-$C$17)/12),IF(Assumptions!CW$72&lt;=$D$17+RetailDowntime,0,1)*$E$17*$B$17/12*INDEX(Cum_RetailRent,1,Assumptions!CW$77)*RenewalRentFactor)))</f>
        <v/>
      </c>
      <c r="CX29" s="52">
        <f>IF(Assumptions!CX$74=0,0,IF(Assumptions!CX$72&lt;$C$17,0,IF(Assumptions!CX$72&lt;=$D$17,$E$17*$B$17/12*(1+$F$17)^INT((Assumptions!CX$72-$C$17)/12),IF(Assumptions!CX$72&lt;=$D$17+RetailDowntime,0,1)*$E$17*$B$17/12*INDEX(Cum_RetailRent,1,Assumptions!CX$77)*RenewalRentFactor)))</f>
        <v/>
      </c>
      <c r="CY29" s="52">
        <f>IF(Assumptions!CY$74=0,0,IF(Assumptions!CY$72&lt;$C$17,0,IF(Assumptions!CY$72&lt;=$D$17,$E$17*$B$17/12*(1+$F$17)^INT((Assumptions!CY$72-$C$17)/12),IF(Assumptions!CY$72&lt;=$D$17+RetailDowntime,0,1)*$E$17*$B$17/12*INDEX(Cum_RetailRent,1,Assumptions!CY$77)*RenewalRentFactor)))</f>
        <v/>
      </c>
      <c r="CZ29" s="52">
        <f>IF(Assumptions!CZ$74=0,0,IF(Assumptions!CZ$72&lt;$C$17,0,IF(Assumptions!CZ$72&lt;=$D$17,$E$17*$B$17/12*(1+$F$17)^INT((Assumptions!CZ$72-$C$17)/12),IF(Assumptions!CZ$72&lt;=$D$17+RetailDowntime,0,1)*$E$17*$B$17/12*INDEX(Cum_RetailRent,1,Assumptions!CZ$77)*RenewalRentFactor)))</f>
        <v/>
      </c>
      <c r="DA29" s="52">
        <f>IF(Assumptions!DA$74=0,0,IF(Assumptions!DA$72&lt;$C$17,0,IF(Assumptions!DA$72&lt;=$D$17,$E$17*$B$17/12*(1+$F$17)^INT((Assumptions!DA$72-$C$17)/12),IF(Assumptions!DA$72&lt;=$D$17+RetailDowntime,0,1)*$E$17*$B$17/12*INDEX(Cum_RetailRent,1,Assumptions!DA$77)*RenewalRentFactor)))</f>
        <v/>
      </c>
      <c r="DB29" s="52">
        <f>IF(Assumptions!DB$74=0,0,IF(Assumptions!DB$72&lt;$C$17,0,IF(Assumptions!DB$72&lt;=$D$17,$E$17*$B$17/12*(1+$F$17)^INT((Assumptions!DB$72-$C$17)/12),IF(Assumptions!DB$72&lt;=$D$17+RetailDowntime,0,1)*$E$17*$B$17/12*INDEX(Cum_RetailRent,1,Assumptions!DB$77)*RenewalRentFactor)))</f>
        <v/>
      </c>
      <c r="DC29" s="52">
        <f>IF(Assumptions!DC$74=0,0,IF(Assumptions!DC$72&lt;$C$17,0,IF(Assumptions!DC$72&lt;=$D$17,$E$17*$B$17/12*(1+$F$17)^INT((Assumptions!DC$72-$C$17)/12),IF(Assumptions!DC$72&lt;=$D$17+RetailDowntime,0,1)*$E$17*$B$17/12*INDEX(Cum_RetailRent,1,Assumptions!DC$77)*RenewalRentFactor)))</f>
        <v/>
      </c>
      <c r="DD29" s="52">
        <f>IF(Assumptions!DD$74=0,0,IF(Assumptions!DD$72&lt;$C$17,0,IF(Assumptions!DD$72&lt;=$D$17,$E$17*$B$17/12*(1+$F$17)^INT((Assumptions!DD$72-$C$17)/12),IF(Assumptions!DD$72&lt;=$D$17+RetailDowntime,0,1)*$E$17*$B$17/12*INDEX(Cum_RetailRent,1,Assumptions!DD$77)*RenewalRentFactor)))</f>
        <v/>
      </c>
      <c r="DE29" s="52">
        <f>IF(Assumptions!DE$74=0,0,IF(Assumptions!DE$72&lt;$C$17,0,IF(Assumptions!DE$72&lt;=$D$17,$E$17*$B$17/12*(1+$F$17)^INT((Assumptions!DE$72-$C$17)/12),IF(Assumptions!DE$72&lt;=$D$17+RetailDowntime,0,1)*$E$17*$B$17/12*INDEX(Cum_RetailRent,1,Assumptions!DE$77)*RenewalRentFactor)))</f>
        <v/>
      </c>
      <c r="DF29" s="52">
        <f>IF(Assumptions!DF$74=0,0,IF(Assumptions!DF$72&lt;$C$17,0,IF(Assumptions!DF$72&lt;=$D$17,$E$17*$B$17/12*(1+$F$17)^INT((Assumptions!DF$72-$C$17)/12),IF(Assumptions!DF$72&lt;=$D$17+RetailDowntime,0,1)*$E$17*$B$17/12*INDEX(Cum_RetailRent,1,Assumptions!DF$77)*RenewalRentFactor)))</f>
        <v/>
      </c>
      <c r="DG29" s="52">
        <f>IF(Assumptions!DG$74=0,0,IF(Assumptions!DG$72&lt;$C$17,0,IF(Assumptions!DG$72&lt;=$D$17,$E$17*$B$17/12*(1+$F$17)^INT((Assumptions!DG$72-$C$17)/12),IF(Assumptions!DG$72&lt;=$D$17+RetailDowntime,0,1)*$E$17*$B$17/12*INDEX(Cum_RetailRent,1,Assumptions!DG$77)*RenewalRentFactor)))</f>
        <v/>
      </c>
      <c r="DH29" s="52">
        <f>IF(Assumptions!DH$74=0,0,IF(Assumptions!DH$72&lt;$C$17,0,IF(Assumptions!DH$72&lt;=$D$17,$E$17*$B$17/12*(1+$F$17)^INT((Assumptions!DH$72-$C$17)/12),IF(Assumptions!DH$72&lt;=$D$17+RetailDowntime,0,1)*$E$17*$B$17/12*INDEX(Cum_RetailRent,1,Assumptions!DH$77)*RenewalRentFactor)))</f>
        <v/>
      </c>
      <c r="DI29" s="52">
        <f>IF(Assumptions!DI$74=0,0,IF(Assumptions!DI$72&lt;$C$17,0,IF(Assumptions!DI$72&lt;=$D$17,$E$17*$B$17/12*(1+$F$17)^INT((Assumptions!DI$72-$C$17)/12),IF(Assumptions!DI$72&lt;=$D$17+RetailDowntime,0,1)*$E$17*$B$17/12*INDEX(Cum_RetailRent,1,Assumptions!DI$77)*RenewalRentFactor)))</f>
        <v/>
      </c>
      <c r="DJ29" s="52">
        <f>IF(Assumptions!DJ$74=0,0,IF(Assumptions!DJ$72&lt;$C$17,0,IF(Assumptions!DJ$72&lt;=$D$17,$E$17*$B$17/12*(1+$F$17)^INT((Assumptions!DJ$72-$C$17)/12),IF(Assumptions!DJ$72&lt;=$D$17+RetailDowntime,0,1)*$E$17*$B$17/12*INDEX(Cum_RetailRent,1,Assumptions!DJ$77)*RenewalRentFactor)))</f>
        <v/>
      </c>
      <c r="DK29" s="52">
        <f>IF(Assumptions!DK$74=0,0,IF(Assumptions!DK$72&lt;$C$17,0,IF(Assumptions!DK$72&lt;=$D$17,$E$17*$B$17/12*(1+$F$17)^INT((Assumptions!DK$72-$C$17)/12),IF(Assumptions!DK$72&lt;=$D$17+RetailDowntime,0,1)*$E$17*$B$17/12*INDEX(Cum_RetailRent,1,Assumptions!DK$77)*RenewalRentFactor)))</f>
        <v/>
      </c>
      <c r="DL29" s="52">
        <f>IF(Assumptions!DL$74=0,0,IF(Assumptions!DL$72&lt;$C$17,0,IF(Assumptions!DL$72&lt;=$D$17,$E$17*$B$17/12*(1+$F$17)^INT((Assumptions!DL$72-$C$17)/12),IF(Assumptions!DL$72&lt;=$D$17+RetailDowntime,0,1)*$E$17*$B$17/12*INDEX(Cum_RetailRent,1,Assumptions!DL$77)*RenewalRentFactor)))</f>
        <v/>
      </c>
      <c r="DM29" s="52">
        <f>IF(Assumptions!DM$74=0,0,IF(Assumptions!DM$72&lt;$C$17,0,IF(Assumptions!DM$72&lt;=$D$17,$E$17*$B$17/12*(1+$F$17)^INT((Assumptions!DM$72-$C$17)/12),IF(Assumptions!DM$72&lt;=$D$17+RetailDowntime,0,1)*$E$17*$B$17/12*INDEX(Cum_RetailRent,1,Assumptions!DM$77)*RenewalRentFactor)))</f>
        <v/>
      </c>
      <c r="DN29" s="52">
        <f>IF(Assumptions!DN$74=0,0,IF(Assumptions!DN$72&lt;$C$17,0,IF(Assumptions!DN$72&lt;=$D$17,$E$17*$B$17/12*(1+$F$17)^INT((Assumptions!DN$72-$C$17)/12),IF(Assumptions!DN$72&lt;=$D$17+RetailDowntime,0,1)*$E$17*$B$17/12*INDEX(Cum_RetailRent,1,Assumptions!DN$77)*RenewalRentFactor)))</f>
        <v/>
      </c>
      <c r="DO29" s="52">
        <f>IF(Assumptions!DO$74=0,0,IF(Assumptions!DO$72&lt;$C$17,0,IF(Assumptions!DO$72&lt;=$D$17,$E$17*$B$17/12*(1+$F$17)^INT((Assumptions!DO$72-$C$17)/12),IF(Assumptions!DO$72&lt;=$D$17+RetailDowntime,0,1)*$E$17*$B$17/12*INDEX(Cum_RetailRent,1,Assumptions!DO$77)*RenewalRentFactor)))</f>
        <v/>
      </c>
      <c r="DP29" s="52">
        <f>IF(Assumptions!DP$74=0,0,IF(Assumptions!DP$72&lt;$C$17,0,IF(Assumptions!DP$72&lt;=$D$17,$E$17*$B$17/12*(1+$F$17)^INT((Assumptions!DP$72-$C$17)/12),IF(Assumptions!DP$72&lt;=$D$17+RetailDowntime,0,1)*$E$17*$B$17/12*INDEX(Cum_RetailRent,1,Assumptions!DP$77)*RenewalRentFactor)))</f>
        <v/>
      </c>
      <c r="DQ29" s="52">
        <f>IF(Assumptions!DQ$74=0,0,IF(Assumptions!DQ$72&lt;$C$17,0,IF(Assumptions!DQ$72&lt;=$D$17,$E$17*$B$17/12*(1+$F$17)^INT((Assumptions!DQ$72-$C$17)/12),IF(Assumptions!DQ$72&lt;=$D$17+RetailDowntime,0,1)*$E$17*$B$17/12*INDEX(Cum_RetailRent,1,Assumptions!DQ$77)*RenewalRentFactor)))</f>
        <v/>
      </c>
      <c r="DR29" s="52">
        <f>IF(Assumptions!DR$74=0,0,IF(Assumptions!DR$72&lt;$C$17,0,IF(Assumptions!DR$72&lt;=$D$17,$E$17*$B$17/12*(1+$F$17)^INT((Assumptions!DR$72-$C$17)/12),IF(Assumptions!DR$72&lt;=$D$17+RetailDowntime,0,1)*$E$17*$B$17/12*INDEX(Cum_RetailRent,1,Assumptions!DR$77)*RenewalRentFactor)))</f>
        <v/>
      </c>
      <c r="DS29" s="52">
        <f>IF(Assumptions!DS$74=0,0,IF(Assumptions!DS$72&lt;$C$17,0,IF(Assumptions!DS$72&lt;=$D$17,$E$17*$B$17/12*(1+$F$17)^INT((Assumptions!DS$72-$C$17)/12),IF(Assumptions!DS$72&lt;=$D$17+RetailDowntime,0,1)*$E$17*$B$17/12*INDEX(Cum_RetailRent,1,Assumptions!DS$77)*RenewalRentFactor)))</f>
        <v/>
      </c>
      <c r="DT29" s="52">
        <f>IF(Assumptions!DT$74=0,0,IF(Assumptions!DT$72&lt;$C$17,0,IF(Assumptions!DT$72&lt;=$D$17,$E$17*$B$17/12*(1+$F$17)^INT((Assumptions!DT$72-$C$17)/12),IF(Assumptions!DT$72&lt;=$D$17+RetailDowntime,0,1)*$E$17*$B$17/12*INDEX(Cum_RetailRent,1,Assumptions!DT$77)*RenewalRentFactor)))</f>
        <v/>
      </c>
    </row>
    <row r="30">
      <c r="A30" s="10" t="inlineStr">
        <is>
          <t xml:space="preserve">  Pharmacy</t>
        </is>
      </c>
      <c r="E30" s="52">
        <f>IF(Assumptions!E$74=0,0,IF(Assumptions!E$72&lt;$C$18,0,IF(Assumptions!E$72&lt;=$D$18,$E$18*$B$18/12*(1+$F$18)^INT((Assumptions!E$72-$C$18)/12),IF(Assumptions!E$72&lt;=$D$18+RetailDowntime,0,1)*$E$18*$B$18/12*INDEX(Cum_RetailRent,1,Assumptions!E$77)*RenewalRentFactor)))</f>
        <v/>
      </c>
      <c r="F30" s="52">
        <f>IF(Assumptions!F$74=0,0,IF(Assumptions!F$72&lt;$C$18,0,IF(Assumptions!F$72&lt;=$D$18,$E$18*$B$18/12*(1+$F$18)^INT((Assumptions!F$72-$C$18)/12),IF(Assumptions!F$72&lt;=$D$18+RetailDowntime,0,1)*$E$18*$B$18/12*INDEX(Cum_RetailRent,1,Assumptions!F$77)*RenewalRentFactor)))</f>
        <v/>
      </c>
      <c r="G30" s="52">
        <f>IF(Assumptions!G$74=0,0,IF(Assumptions!G$72&lt;$C$18,0,IF(Assumptions!G$72&lt;=$D$18,$E$18*$B$18/12*(1+$F$18)^INT((Assumptions!G$72-$C$18)/12),IF(Assumptions!G$72&lt;=$D$18+RetailDowntime,0,1)*$E$18*$B$18/12*INDEX(Cum_RetailRent,1,Assumptions!G$77)*RenewalRentFactor)))</f>
        <v/>
      </c>
      <c r="H30" s="52">
        <f>IF(Assumptions!H$74=0,0,IF(Assumptions!H$72&lt;$C$18,0,IF(Assumptions!H$72&lt;=$D$18,$E$18*$B$18/12*(1+$F$18)^INT((Assumptions!H$72-$C$18)/12),IF(Assumptions!H$72&lt;=$D$18+RetailDowntime,0,1)*$E$18*$B$18/12*INDEX(Cum_RetailRent,1,Assumptions!H$77)*RenewalRentFactor)))</f>
        <v/>
      </c>
      <c r="I30" s="52">
        <f>IF(Assumptions!I$74=0,0,IF(Assumptions!I$72&lt;$C$18,0,IF(Assumptions!I$72&lt;=$D$18,$E$18*$B$18/12*(1+$F$18)^INT((Assumptions!I$72-$C$18)/12),IF(Assumptions!I$72&lt;=$D$18+RetailDowntime,0,1)*$E$18*$B$18/12*INDEX(Cum_RetailRent,1,Assumptions!I$77)*RenewalRentFactor)))</f>
        <v/>
      </c>
      <c r="J30" s="52">
        <f>IF(Assumptions!J$74=0,0,IF(Assumptions!J$72&lt;$C$18,0,IF(Assumptions!J$72&lt;=$D$18,$E$18*$B$18/12*(1+$F$18)^INT((Assumptions!J$72-$C$18)/12),IF(Assumptions!J$72&lt;=$D$18+RetailDowntime,0,1)*$E$18*$B$18/12*INDEX(Cum_RetailRent,1,Assumptions!J$77)*RenewalRentFactor)))</f>
        <v/>
      </c>
      <c r="K30" s="52">
        <f>IF(Assumptions!K$74=0,0,IF(Assumptions!K$72&lt;$C$18,0,IF(Assumptions!K$72&lt;=$D$18,$E$18*$B$18/12*(1+$F$18)^INT((Assumptions!K$72-$C$18)/12),IF(Assumptions!K$72&lt;=$D$18+RetailDowntime,0,1)*$E$18*$B$18/12*INDEX(Cum_RetailRent,1,Assumptions!K$77)*RenewalRentFactor)))</f>
        <v/>
      </c>
      <c r="L30" s="52">
        <f>IF(Assumptions!L$74=0,0,IF(Assumptions!L$72&lt;$C$18,0,IF(Assumptions!L$72&lt;=$D$18,$E$18*$B$18/12*(1+$F$18)^INT((Assumptions!L$72-$C$18)/12),IF(Assumptions!L$72&lt;=$D$18+RetailDowntime,0,1)*$E$18*$B$18/12*INDEX(Cum_RetailRent,1,Assumptions!L$77)*RenewalRentFactor)))</f>
        <v/>
      </c>
      <c r="M30" s="52">
        <f>IF(Assumptions!M$74=0,0,IF(Assumptions!M$72&lt;$C$18,0,IF(Assumptions!M$72&lt;=$D$18,$E$18*$B$18/12*(1+$F$18)^INT((Assumptions!M$72-$C$18)/12),IF(Assumptions!M$72&lt;=$D$18+RetailDowntime,0,1)*$E$18*$B$18/12*INDEX(Cum_RetailRent,1,Assumptions!M$77)*RenewalRentFactor)))</f>
        <v/>
      </c>
      <c r="N30" s="52">
        <f>IF(Assumptions!N$74=0,0,IF(Assumptions!N$72&lt;$C$18,0,IF(Assumptions!N$72&lt;=$D$18,$E$18*$B$18/12*(1+$F$18)^INT((Assumptions!N$72-$C$18)/12),IF(Assumptions!N$72&lt;=$D$18+RetailDowntime,0,1)*$E$18*$B$18/12*INDEX(Cum_RetailRent,1,Assumptions!N$77)*RenewalRentFactor)))</f>
        <v/>
      </c>
      <c r="O30" s="52">
        <f>IF(Assumptions!O$74=0,0,IF(Assumptions!O$72&lt;$C$18,0,IF(Assumptions!O$72&lt;=$D$18,$E$18*$B$18/12*(1+$F$18)^INT((Assumptions!O$72-$C$18)/12),IF(Assumptions!O$72&lt;=$D$18+RetailDowntime,0,1)*$E$18*$B$18/12*INDEX(Cum_RetailRent,1,Assumptions!O$77)*RenewalRentFactor)))</f>
        <v/>
      </c>
      <c r="P30" s="52">
        <f>IF(Assumptions!P$74=0,0,IF(Assumptions!P$72&lt;$C$18,0,IF(Assumptions!P$72&lt;=$D$18,$E$18*$B$18/12*(1+$F$18)^INT((Assumptions!P$72-$C$18)/12),IF(Assumptions!P$72&lt;=$D$18+RetailDowntime,0,1)*$E$18*$B$18/12*INDEX(Cum_RetailRent,1,Assumptions!P$77)*RenewalRentFactor)))</f>
        <v/>
      </c>
      <c r="Q30" s="52">
        <f>IF(Assumptions!Q$74=0,0,IF(Assumptions!Q$72&lt;$C$18,0,IF(Assumptions!Q$72&lt;=$D$18,$E$18*$B$18/12*(1+$F$18)^INT((Assumptions!Q$72-$C$18)/12),IF(Assumptions!Q$72&lt;=$D$18+RetailDowntime,0,1)*$E$18*$B$18/12*INDEX(Cum_RetailRent,1,Assumptions!Q$77)*RenewalRentFactor)))</f>
        <v/>
      </c>
      <c r="R30" s="52">
        <f>IF(Assumptions!R$74=0,0,IF(Assumptions!R$72&lt;$C$18,0,IF(Assumptions!R$72&lt;=$D$18,$E$18*$B$18/12*(1+$F$18)^INT((Assumptions!R$72-$C$18)/12),IF(Assumptions!R$72&lt;=$D$18+RetailDowntime,0,1)*$E$18*$B$18/12*INDEX(Cum_RetailRent,1,Assumptions!R$77)*RenewalRentFactor)))</f>
        <v/>
      </c>
      <c r="S30" s="52">
        <f>IF(Assumptions!S$74=0,0,IF(Assumptions!S$72&lt;$C$18,0,IF(Assumptions!S$72&lt;=$D$18,$E$18*$B$18/12*(1+$F$18)^INT((Assumptions!S$72-$C$18)/12),IF(Assumptions!S$72&lt;=$D$18+RetailDowntime,0,1)*$E$18*$B$18/12*INDEX(Cum_RetailRent,1,Assumptions!S$77)*RenewalRentFactor)))</f>
        <v/>
      </c>
      <c r="T30" s="52">
        <f>IF(Assumptions!T$74=0,0,IF(Assumptions!T$72&lt;$C$18,0,IF(Assumptions!T$72&lt;=$D$18,$E$18*$B$18/12*(1+$F$18)^INT((Assumptions!T$72-$C$18)/12),IF(Assumptions!T$72&lt;=$D$18+RetailDowntime,0,1)*$E$18*$B$18/12*INDEX(Cum_RetailRent,1,Assumptions!T$77)*RenewalRentFactor)))</f>
        <v/>
      </c>
      <c r="U30" s="52">
        <f>IF(Assumptions!U$74=0,0,IF(Assumptions!U$72&lt;$C$18,0,IF(Assumptions!U$72&lt;=$D$18,$E$18*$B$18/12*(1+$F$18)^INT((Assumptions!U$72-$C$18)/12),IF(Assumptions!U$72&lt;=$D$18+RetailDowntime,0,1)*$E$18*$B$18/12*INDEX(Cum_RetailRent,1,Assumptions!U$77)*RenewalRentFactor)))</f>
        <v/>
      </c>
      <c r="V30" s="52">
        <f>IF(Assumptions!V$74=0,0,IF(Assumptions!V$72&lt;$C$18,0,IF(Assumptions!V$72&lt;=$D$18,$E$18*$B$18/12*(1+$F$18)^INT((Assumptions!V$72-$C$18)/12),IF(Assumptions!V$72&lt;=$D$18+RetailDowntime,0,1)*$E$18*$B$18/12*INDEX(Cum_RetailRent,1,Assumptions!V$77)*RenewalRentFactor)))</f>
        <v/>
      </c>
      <c r="W30" s="52">
        <f>IF(Assumptions!W$74=0,0,IF(Assumptions!W$72&lt;$C$18,0,IF(Assumptions!W$72&lt;=$D$18,$E$18*$B$18/12*(1+$F$18)^INT((Assumptions!W$72-$C$18)/12),IF(Assumptions!W$72&lt;=$D$18+RetailDowntime,0,1)*$E$18*$B$18/12*INDEX(Cum_RetailRent,1,Assumptions!W$77)*RenewalRentFactor)))</f>
        <v/>
      </c>
      <c r="X30" s="52">
        <f>IF(Assumptions!X$74=0,0,IF(Assumptions!X$72&lt;$C$18,0,IF(Assumptions!X$72&lt;=$D$18,$E$18*$B$18/12*(1+$F$18)^INT((Assumptions!X$72-$C$18)/12),IF(Assumptions!X$72&lt;=$D$18+RetailDowntime,0,1)*$E$18*$B$18/12*INDEX(Cum_RetailRent,1,Assumptions!X$77)*RenewalRentFactor)))</f>
        <v/>
      </c>
      <c r="Y30" s="52">
        <f>IF(Assumptions!Y$74=0,0,IF(Assumptions!Y$72&lt;$C$18,0,IF(Assumptions!Y$72&lt;=$D$18,$E$18*$B$18/12*(1+$F$18)^INT((Assumptions!Y$72-$C$18)/12),IF(Assumptions!Y$72&lt;=$D$18+RetailDowntime,0,1)*$E$18*$B$18/12*INDEX(Cum_RetailRent,1,Assumptions!Y$77)*RenewalRentFactor)))</f>
        <v/>
      </c>
      <c r="Z30" s="52">
        <f>IF(Assumptions!Z$74=0,0,IF(Assumptions!Z$72&lt;$C$18,0,IF(Assumptions!Z$72&lt;=$D$18,$E$18*$B$18/12*(1+$F$18)^INT((Assumptions!Z$72-$C$18)/12),IF(Assumptions!Z$72&lt;=$D$18+RetailDowntime,0,1)*$E$18*$B$18/12*INDEX(Cum_RetailRent,1,Assumptions!Z$77)*RenewalRentFactor)))</f>
        <v/>
      </c>
      <c r="AA30" s="52">
        <f>IF(Assumptions!AA$74=0,0,IF(Assumptions!AA$72&lt;$C$18,0,IF(Assumptions!AA$72&lt;=$D$18,$E$18*$B$18/12*(1+$F$18)^INT((Assumptions!AA$72-$C$18)/12),IF(Assumptions!AA$72&lt;=$D$18+RetailDowntime,0,1)*$E$18*$B$18/12*INDEX(Cum_RetailRent,1,Assumptions!AA$77)*RenewalRentFactor)))</f>
        <v/>
      </c>
      <c r="AB30" s="52">
        <f>IF(Assumptions!AB$74=0,0,IF(Assumptions!AB$72&lt;$C$18,0,IF(Assumptions!AB$72&lt;=$D$18,$E$18*$B$18/12*(1+$F$18)^INT((Assumptions!AB$72-$C$18)/12),IF(Assumptions!AB$72&lt;=$D$18+RetailDowntime,0,1)*$E$18*$B$18/12*INDEX(Cum_RetailRent,1,Assumptions!AB$77)*RenewalRentFactor)))</f>
        <v/>
      </c>
      <c r="AC30" s="52">
        <f>IF(Assumptions!AC$74=0,0,IF(Assumptions!AC$72&lt;$C$18,0,IF(Assumptions!AC$72&lt;=$D$18,$E$18*$B$18/12*(1+$F$18)^INT((Assumptions!AC$72-$C$18)/12),IF(Assumptions!AC$72&lt;=$D$18+RetailDowntime,0,1)*$E$18*$B$18/12*INDEX(Cum_RetailRent,1,Assumptions!AC$77)*RenewalRentFactor)))</f>
        <v/>
      </c>
      <c r="AD30" s="52">
        <f>IF(Assumptions!AD$74=0,0,IF(Assumptions!AD$72&lt;$C$18,0,IF(Assumptions!AD$72&lt;=$D$18,$E$18*$B$18/12*(1+$F$18)^INT((Assumptions!AD$72-$C$18)/12),IF(Assumptions!AD$72&lt;=$D$18+RetailDowntime,0,1)*$E$18*$B$18/12*INDEX(Cum_RetailRent,1,Assumptions!AD$77)*RenewalRentFactor)))</f>
        <v/>
      </c>
      <c r="AE30" s="52">
        <f>IF(Assumptions!AE$74=0,0,IF(Assumptions!AE$72&lt;$C$18,0,IF(Assumptions!AE$72&lt;=$D$18,$E$18*$B$18/12*(1+$F$18)^INT((Assumptions!AE$72-$C$18)/12),IF(Assumptions!AE$72&lt;=$D$18+RetailDowntime,0,1)*$E$18*$B$18/12*INDEX(Cum_RetailRent,1,Assumptions!AE$77)*RenewalRentFactor)))</f>
        <v/>
      </c>
      <c r="AF30" s="52">
        <f>IF(Assumptions!AF$74=0,0,IF(Assumptions!AF$72&lt;$C$18,0,IF(Assumptions!AF$72&lt;=$D$18,$E$18*$B$18/12*(1+$F$18)^INT((Assumptions!AF$72-$C$18)/12),IF(Assumptions!AF$72&lt;=$D$18+RetailDowntime,0,1)*$E$18*$B$18/12*INDEX(Cum_RetailRent,1,Assumptions!AF$77)*RenewalRentFactor)))</f>
        <v/>
      </c>
      <c r="AG30" s="52">
        <f>IF(Assumptions!AG$74=0,0,IF(Assumptions!AG$72&lt;$C$18,0,IF(Assumptions!AG$72&lt;=$D$18,$E$18*$B$18/12*(1+$F$18)^INT((Assumptions!AG$72-$C$18)/12),IF(Assumptions!AG$72&lt;=$D$18+RetailDowntime,0,1)*$E$18*$B$18/12*INDEX(Cum_RetailRent,1,Assumptions!AG$77)*RenewalRentFactor)))</f>
        <v/>
      </c>
      <c r="AH30" s="52">
        <f>IF(Assumptions!AH$74=0,0,IF(Assumptions!AH$72&lt;$C$18,0,IF(Assumptions!AH$72&lt;=$D$18,$E$18*$B$18/12*(1+$F$18)^INT((Assumptions!AH$72-$C$18)/12),IF(Assumptions!AH$72&lt;=$D$18+RetailDowntime,0,1)*$E$18*$B$18/12*INDEX(Cum_RetailRent,1,Assumptions!AH$77)*RenewalRentFactor)))</f>
        <v/>
      </c>
      <c r="AI30" s="52">
        <f>IF(Assumptions!AI$74=0,0,IF(Assumptions!AI$72&lt;$C$18,0,IF(Assumptions!AI$72&lt;=$D$18,$E$18*$B$18/12*(1+$F$18)^INT((Assumptions!AI$72-$C$18)/12),IF(Assumptions!AI$72&lt;=$D$18+RetailDowntime,0,1)*$E$18*$B$18/12*INDEX(Cum_RetailRent,1,Assumptions!AI$77)*RenewalRentFactor)))</f>
        <v/>
      </c>
      <c r="AJ30" s="52">
        <f>IF(Assumptions!AJ$74=0,0,IF(Assumptions!AJ$72&lt;$C$18,0,IF(Assumptions!AJ$72&lt;=$D$18,$E$18*$B$18/12*(1+$F$18)^INT((Assumptions!AJ$72-$C$18)/12),IF(Assumptions!AJ$72&lt;=$D$18+RetailDowntime,0,1)*$E$18*$B$18/12*INDEX(Cum_RetailRent,1,Assumptions!AJ$77)*RenewalRentFactor)))</f>
        <v/>
      </c>
      <c r="AK30" s="52">
        <f>IF(Assumptions!AK$74=0,0,IF(Assumptions!AK$72&lt;$C$18,0,IF(Assumptions!AK$72&lt;=$D$18,$E$18*$B$18/12*(1+$F$18)^INT((Assumptions!AK$72-$C$18)/12),IF(Assumptions!AK$72&lt;=$D$18+RetailDowntime,0,1)*$E$18*$B$18/12*INDEX(Cum_RetailRent,1,Assumptions!AK$77)*RenewalRentFactor)))</f>
        <v/>
      </c>
      <c r="AL30" s="52">
        <f>IF(Assumptions!AL$74=0,0,IF(Assumptions!AL$72&lt;$C$18,0,IF(Assumptions!AL$72&lt;=$D$18,$E$18*$B$18/12*(1+$F$18)^INT((Assumptions!AL$72-$C$18)/12),IF(Assumptions!AL$72&lt;=$D$18+RetailDowntime,0,1)*$E$18*$B$18/12*INDEX(Cum_RetailRent,1,Assumptions!AL$77)*RenewalRentFactor)))</f>
        <v/>
      </c>
      <c r="AM30" s="52">
        <f>IF(Assumptions!AM$74=0,0,IF(Assumptions!AM$72&lt;$C$18,0,IF(Assumptions!AM$72&lt;=$D$18,$E$18*$B$18/12*(1+$F$18)^INT((Assumptions!AM$72-$C$18)/12),IF(Assumptions!AM$72&lt;=$D$18+RetailDowntime,0,1)*$E$18*$B$18/12*INDEX(Cum_RetailRent,1,Assumptions!AM$77)*RenewalRentFactor)))</f>
        <v/>
      </c>
      <c r="AN30" s="52">
        <f>IF(Assumptions!AN$74=0,0,IF(Assumptions!AN$72&lt;$C$18,0,IF(Assumptions!AN$72&lt;=$D$18,$E$18*$B$18/12*(1+$F$18)^INT((Assumptions!AN$72-$C$18)/12),IF(Assumptions!AN$72&lt;=$D$18+RetailDowntime,0,1)*$E$18*$B$18/12*INDEX(Cum_RetailRent,1,Assumptions!AN$77)*RenewalRentFactor)))</f>
        <v/>
      </c>
      <c r="AO30" s="52">
        <f>IF(Assumptions!AO$74=0,0,IF(Assumptions!AO$72&lt;$C$18,0,IF(Assumptions!AO$72&lt;=$D$18,$E$18*$B$18/12*(1+$F$18)^INT((Assumptions!AO$72-$C$18)/12),IF(Assumptions!AO$72&lt;=$D$18+RetailDowntime,0,1)*$E$18*$B$18/12*INDEX(Cum_RetailRent,1,Assumptions!AO$77)*RenewalRentFactor)))</f>
        <v/>
      </c>
      <c r="AP30" s="52">
        <f>IF(Assumptions!AP$74=0,0,IF(Assumptions!AP$72&lt;$C$18,0,IF(Assumptions!AP$72&lt;=$D$18,$E$18*$B$18/12*(1+$F$18)^INT((Assumptions!AP$72-$C$18)/12),IF(Assumptions!AP$72&lt;=$D$18+RetailDowntime,0,1)*$E$18*$B$18/12*INDEX(Cum_RetailRent,1,Assumptions!AP$77)*RenewalRentFactor)))</f>
        <v/>
      </c>
      <c r="AQ30" s="52">
        <f>IF(Assumptions!AQ$74=0,0,IF(Assumptions!AQ$72&lt;$C$18,0,IF(Assumptions!AQ$72&lt;=$D$18,$E$18*$B$18/12*(1+$F$18)^INT((Assumptions!AQ$72-$C$18)/12),IF(Assumptions!AQ$72&lt;=$D$18+RetailDowntime,0,1)*$E$18*$B$18/12*INDEX(Cum_RetailRent,1,Assumptions!AQ$77)*RenewalRentFactor)))</f>
        <v/>
      </c>
      <c r="AR30" s="52">
        <f>IF(Assumptions!AR$74=0,0,IF(Assumptions!AR$72&lt;$C$18,0,IF(Assumptions!AR$72&lt;=$D$18,$E$18*$B$18/12*(1+$F$18)^INT((Assumptions!AR$72-$C$18)/12),IF(Assumptions!AR$72&lt;=$D$18+RetailDowntime,0,1)*$E$18*$B$18/12*INDEX(Cum_RetailRent,1,Assumptions!AR$77)*RenewalRentFactor)))</f>
        <v/>
      </c>
      <c r="AS30" s="52">
        <f>IF(Assumptions!AS$74=0,0,IF(Assumptions!AS$72&lt;$C$18,0,IF(Assumptions!AS$72&lt;=$D$18,$E$18*$B$18/12*(1+$F$18)^INT((Assumptions!AS$72-$C$18)/12),IF(Assumptions!AS$72&lt;=$D$18+RetailDowntime,0,1)*$E$18*$B$18/12*INDEX(Cum_RetailRent,1,Assumptions!AS$77)*RenewalRentFactor)))</f>
        <v/>
      </c>
      <c r="AT30" s="52">
        <f>IF(Assumptions!AT$74=0,0,IF(Assumptions!AT$72&lt;$C$18,0,IF(Assumptions!AT$72&lt;=$D$18,$E$18*$B$18/12*(1+$F$18)^INT((Assumptions!AT$72-$C$18)/12),IF(Assumptions!AT$72&lt;=$D$18+RetailDowntime,0,1)*$E$18*$B$18/12*INDEX(Cum_RetailRent,1,Assumptions!AT$77)*RenewalRentFactor)))</f>
        <v/>
      </c>
      <c r="AU30" s="52">
        <f>IF(Assumptions!AU$74=0,0,IF(Assumptions!AU$72&lt;$C$18,0,IF(Assumptions!AU$72&lt;=$D$18,$E$18*$B$18/12*(1+$F$18)^INT((Assumptions!AU$72-$C$18)/12),IF(Assumptions!AU$72&lt;=$D$18+RetailDowntime,0,1)*$E$18*$B$18/12*INDEX(Cum_RetailRent,1,Assumptions!AU$77)*RenewalRentFactor)))</f>
        <v/>
      </c>
      <c r="AV30" s="52">
        <f>IF(Assumptions!AV$74=0,0,IF(Assumptions!AV$72&lt;$C$18,0,IF(Assumptions!AV$72&lt;=$D$18,$E$18*$B$18/12*(1+$F$18)^INT((Assumptions!AV$72-$C$18)/12),IF(Assumptions!AV$72&lt;=$D$18+RetailDowntime,0,1)*$E$18*$B$18/12*INDEX(Cum_RetailRent,1,Assumptions!AV$77)*RenewalRentFactor)))</f>
        <v/>
      </c>
      <c r="AW30" s="52">
        <f>IF(Assumptions!AW$74=0,0,IF(Assumptions!AW$72&lt;$C$18,0,IF(Assumptions!AW$72&lt;=$D$18,$E$18*$B$18/12*(1+$F$18)^INT((Assumptions!AW$72-$C$18)/12),IF(Assumptions!AW$72&lt;=$D$18+RetailDowntime,0,1)*$E$18*$B$18/12*INDEX(Cum_RetailRent,1,Assumptions!AW$77)*RenewalRentFactor)))</f>
        <v/>
      </c>
      <c r="AX30" s="52">
        <f>IF(Assumptions!AX$74=0,0,IF(Assumptions!AX$72&lt;$C$18,0,IF(Assumptions!AX$72&lt;=$D$18,$E$18*$B$18/12*(1+$F$18)^INT((Assumptions!AX$72-$C$18)/12),IF(Assumptions!AX$72&lt;=$D$18+RetailDowntime,0,1)*$E$18*$B$18/12*INDEX(Cum_RetailRent,1,Assumptions!AX$77)*RenewalRentFactor)))</f>
        <v/>
      </c>
      <c r="AY30" s="52">
        <f>IF(Assumptions!AY$74=0,0,IF(Assumptions!AY$72&lt;$C$18,0,IF(Assumptions!AY$72&lt;=$D$18,$E$18*$B$18/12*(1+$F$18)^INT((Assumptions!AY$72-$C$18)/12),IF(Assumptions!AY$72&lt;=$D$18+RetailDowntime,0,1)*$E$18*$B$18/12*INDEX(Cum_RetailRent,1,Assumptions!AY$77)*RenewalRentFactor)))</f>
        <v/>
      </c>
      <c r="AZ30" s="52">
        <f>IF(Assumptions!AZ$74=0,0,IF(Assumptions!AZ$72&lt;$C$18,0,IF(Assumptions!AZ$72&lt;=$D$18,$E$18*$B$18/12*(1+$F$18)^INT((Assumptions!AZ$72-$C$18)/12),IF(Assumptions!AZ$72&lt;=$D$18+RetailDowntime,0,1)*$E$18*$B$18/12*INDEX(Cum_RetailRent,1,Assumptions!AZ$77)*RenewalRentFactor)))</f>
        <v/>
      </c>
      <c r="BA30" s="52">
        <f>IF(Assumptions!BA$74=0,0,IF(Assumptions!BA$72&lt;$C$18,0,IF(Assumptions!BA$72&lt;=$D$18,$E$18*$B$18/12*(1+$F$18)^INT((Assumptions!BA$72-$C$18)/12),IF(Assumptions!BA$72&lt;=$D$18+RetailDowntime,0,1)*$E$18*$B$18/12*INDEX(Cum_RetailRent,1,Assumptions!BA$77)*RenewalRentFactor)))</f>
        <v/>
      </c>
      <c r="BB30" s="52">
        <f>IF(Assumptions!BB$74=0,0,IF(Assumptions!BB$72&lt;$C$18,0,IF(Assumptions!BB$72&lt;=$D$18,$E$18*$B$18/12*(1+$F$18)^INT((Assumptions!BB$72-$C$18)/12),IF(Assumptions!BB$72&lt;=$D$18+RetailDowntime,0,1)*$E$18*$B$18/12*INDEX(Cum_RetailRent,1,Assumptions!BB$77)*RenewalRentFactor)))</f>
        <v/>
      </c>
      <c r="BC30" s="52">
        <f>IF(Assumptions!BC$74=0,0,IF(Assumptions!BC$72&lt;$C$18,0,IF(Assumptions!BC$72&lt;=$D$18,$E$18*$B$18/12*(1+$F$18)^INT((Assumptions!BC$72-$C$18)/12),IF(Assumptions!BC$72&lt;=$D$18+RetailDowntime,0,1)*$E$18*$B$18/12*INDEX(Cum_RetailRent,1,Assumptions!BC$77)*RenewalRentFactor)))</f>
        <v/>
      </c>
      <c r="BD30" s="52">
        <f>IF(Assumptions!BD$74=0,0,IF(Assumptions!BD$72&lt;$C$18,0,IF(Assumptions!BD$72&lt;=$D$18,$E$18*$B$18/12*(1+$F$18)^INT((Assumptions!BD$72-$C$18)/12),IF(Assumptions!BD$72&lt;=$D$18+RetailDowntime,0,1)*$E$18*$B$18/12*INDEX(Cum_RetailRent,1,Assumptions!BD$77)*RenewalRentFactor)))</f>
        <v/>
      </c>
      <c r="BE30" s="52">
        <f>IF(Assumptions!BE$74=0,0,IF(Assumptions!BE$72&lt;$C$18,0,IF(Assumptions!BE$72&lt;=$D$18,$E$18*$B$18/12*(1+$F$18)^INT((Assumptions!BE$72-$C$18)/12),IF(Assumptions!BE$72&lt;=$D$18+RetailDowntime,0,1)*$E$18*$B$18/12*INDEX(Cum_RetailRent,1,Assumptions!BE$77)*RenewalRentFactor)))</f>
        <v/>
      </c>
      <c r="BF30" s="52">
        <f>IF(Assumptions!BF$74=0,0,IF(Assumptions!BF$72&lt;$C$18,0,IF(Assumptions!BF$72&lt;=$D$18,$E$18*$B$18/12*(1+$F$18)^INT((Assumptions!BF$72-$C$18)/12),IF(Assumptions!BF$72&lt;=$D$18+RetailDowntime,0,1)*$E$18*$B$18/12*INDEX(Cum_RetailRent,1,Assumptions!BF$77)*RenewalRentFactor)))</f>
        <v/>
      </c>
      <c r="BG30" s="52">
        <f>IF(Assumptions!BG$74=0,0,IF(Assumptions!BG$72&lt;$C$18,0,IF(Assumptions!BG$72&lt;=$D$18,$E$18*$B$18/12*(1+$F$18)^INT((Assumptions!BG$72-$C$18)/12),IF(Assumptions!BG$72&lt;=$D$18+RetailDowntime,0,1)*$E$18*$B$18/12*INDEX(Cum_RetailRent,1,Assumptions!BG$77)*RenewalRentFactor)))</f>
        <v/>
      </c>
      <c r="BH30" s="52">
        <f>IF(Assumptions!BH$74=0,0,IF(Assumptions!BH$72&lt;$C$18,0,IF(Assumptions!BH$72&lt;=$D$18,$E$18*$B$18/12*(1+$F$18)^INT((Assumptions!BH$72-$C$18)/12),IF(Assumptions!BH$72&lt;=$D$18+RetailDowntime,0,1)*$E$18*$B$18/12*INDEX(Cum_RetailRent,1,Assumptions!BH$77)*RenewalRentFactor)))</f>
        <v/>
      </c>
      <c r="BI30" s="52">
        <f>IF(Assumptions!BI$74=0,0,IF(Assumptions!BI$72&lt;$C$18,0,IF(Assumptions!BI$72&lt;=$D$18,$E$18*$B$18/12*(1+$F$18)^INT((Assumptions!BI$72-$C$18)/12),IF(Assumptions!BI$72&lt;=$D$18+RetailDowntime,0,1)*$E$18*$B$18/12*INDEX(Cum_RetailRent,1,Assumptions!BI$77)*RenewalRentFactor)))</f>
        <v/>
      </c>
      <c r="BJ30" s="52">
        <f>IF(Assumptions!BJ$74=0,0,IF(Assumptions!BJ$72&lt;$C$18,0,IF(Assumptions!BJ$72&lt;=$D$18,$E$18*$B$18/12*(1+$F$18)^INT((Assumptions!BJ$72-$C$18)/12),IF(Assumptions!BJ$72&lt;=$D$18+RetailDowntime,0,1)*$E$18*$B$18/12*INDEX(Cum_RetailRent,1,Assumptions!BJ$77)*RenewalRentFactor)))</f>
        <v/>
      </c>
      <c r="BK30" s="52">
        <f>IF(Assumptions!BK$74=0,0,IF(Assumptions!BK$72&lt;$C$18,0,IF(Assumptions!BK$72&lt;=$D$18,$E$18*$B$18/12*(1+$F$18)^INT((Assumptions!BK$72-$C$18)/12),IF(Assumptions!BK$72&lt;=$D$18+RetailDowntime,0,1)*$E$18*$B$18/12*INDEX(Cum_RetailRent,1,Assumptions!BK$77)*RenewalRentFactor)))</f>
        <v/>
      </c>
      <c r="BL30" s="52">
        <f>IF(Assumptions!BL$74=0,0,IF(Assumptions!BL$72&lt;$C$18,0,IF(Assumptions!BL$72&lt;=$D$18,$E$18*$B$18/12*(1+$F$18)^INT((Assumptions!BL$72-$C$18)/12),IF(Assumptions!BL$72&lt;=$D$18+RetailDowntime,0,1)*$E$18*$B$18/12*INDEX(Cum_RetailRent,1,Assumptions!BL$77)*RenewalRentFactor)))</f>
        <v/>
      </c>
      <c r="BM30" s="52">
        <f>IF(Assumptions!BM$74=0,0,IF(Assumptions!BM$72&lt;$C$18,0,IF(Assumptions!BM$72&lt;=$D$18,$E$18*$B$18/12*(1+$F$18)^INT((Assumptions!BM$72-$C$18)/12),IF(Assumptions!BM$72&lt;=$D$18+RetailDowntime,0,1)*$E$18*$B$18/12*INDEX(Cum_RetailRent,1,Assumptions!BM$77)*RenewalRentFactor)))</f>
        <v/>
      </c>
      <c r="BN30" s="52">
        <f>IF(Assumptions!BN$74=0,0,IF(Assumptions!BN$72&lt;$C$18,0,IF(Assumptions!BN$72&lt;=$D$18,$E$18*$B$18/12*(1+$F$18)^INT((Assumptions!BN$72-$C$18)/12),IF(Assumptions!BN$72&lt;=$D$18+RetailDowntime,0,1)*$E$18*$B$18/12*INDEX(Cum_RetailRent,1,Assumptions!BN$77)*RenewalRentFactor)))</f>
        <v/>
      </c>
      <c r="BO30" s="52">
        <f>IF(Assumptions!BO$74=0,0,IF(Assumptions!BO$72&lt;$C$18,0,IF(Assumptions!BO$72&lt;=$D$18,$E$18*$B$18/12*(1+$F$18)^INT((Assumptions!BO$72-$C$18)/12),IF(Assumptions!BO$72&lt;=$D$18+RetailDowntime,0,1)*$E$18*$B$18/12*INDEX(Cum_RetailRent,1,Assumptions!BO$77)*RenewalRentFactor)))</f>
        <v/>
      </c>
      <c r="BP30" s="52">
        <f>IF(Assumptions!BP$74=0,0,IF(Assumptions!BP$72&lt;$C$18,0,IF(Assumptions!BP$72&lt;=$D$18,$E$18*$B$18/12*(1+$F$18)^INT((Assumptions!BP$72-$C$18)/12),IF(Assumptions!BP$72&lt;=$D$18+RetailDowntime,0,1)*$E$18*$B$18/12*INDEX(Cum_RetailRent,1,Assumptions!BP$77)*RenewalRentFactor)))</f>
        <v/>
      </c>
      <c r="BQ30" s="52">
        <f>IF(Assumptions!BQ$74=0,0,IF(Assumptions!BQ$72&lt;$C$18,0,IF(Assumptions!BQ$72&lt;=$D$18,$E$18*$B$18/12*(1+$F$18)^INT((Assumptions!BQ$72-$C$18)/12),IF(Assumptions!BQ$72&lt;=$D$18+RetailDowntime,0,1)*$E$18*$B$18/12*INDEX(Cum_RetailRent,1,Assumptions!BQ$77)*RenewalRentFactor)))</f>
        <v/>
      </c>
      <c r="BR30" s="52">
        <f>IF(Assumptions!BR$74=0,0,IF(Assumptions!BR$72&lt;$C$18,0,IF(Assumptions!BR$72&lt;=$D$18,$E$18*$B$18/12*(1+$F$18)^INT((Assumptions!BR$72-$C$18)/12),IF(Assumptions!BR$72&lt;=$D$18+RetailDowntime,0,1)*$E$18*$B$18/12*INDEX(Cum_RetailRent,1,Assumptions!BR$77)*RenewalRentFactor)))</f>
        <v/>
      </c>
      <c r="BS30" s="52">
        <f>IF(Assumptions!BS$74=0,0,IF(Assumptions!BS$72&lt;$C$18,0,IF(Assumptions!BS$72&lt;=$D$18,$E$18*$B$18/12*(1+$F$18)^INT((Assumptions!BS$72-$C$18)/12),IF(Assumptions!BS$72&lt;=$D$18+RetailDowntime,0,1)*$E$18*$B$18/12*INDEX(Cum_RetailRent,1,Assumptions!BS$77)*RenewalRentFactor)))</f>
        <v/>
      </c>
      <c r="BT30" s="52">
        <f>IF(Assumptions!BT$74=0,0,IF(Assumptions!BT$72&lt;$C$18,0,IF(Assumptions!BT$72&lt;=$D$18,$E$18*$B$18/12*(1+$F$18)^INT((Assumptions!BT$72-$C$18)/12),IF(Assumptions!BT$72&lt;=$D$18+RetailDowntime,0,1)*$E$18*$B$18/12*INDEX(Cum_RetailRent,1,Assumptions!BT$77)*RenewalRentFactor)))</f>
        <v/>
      </c>
      <c r="BU30" s="52">
        <f>IF(Assumptions!BU$74=0,0,IF(Assumptions!BU$72&lt;$C$18,0,IF(Assumptions!BU$72&lt;=$D$18,$E$18*$B$18/12*(1+$F$18)^INT((Assumptions!BU$72-$C$18)/12),IF(Assumptions!BU$72&lt;=$D$18+RetailDowntime,0,1)*$E$18*$B$18/12*INDEX(Cum_RetailRent,1,Assumptions!BU$77)*RenewalRentFactor)))</f>
        <v/>
      </c>
      <c r="BV30" s="52">
        <f>IF(Assumptions!BV$74=0,0,IF(Assumptions!BV$72&lt;$C$18,0,IF(Assumptions!BV$72&lt;=$D$18,$E$18*$B$18/12*(1+$F$18)^INT((Assumptions!BV$72-$C$18)/12),IF(Assumptions!BV$72&lt;=$D$18+RetailDowntime,0,1)*$E$18*$B$18/12*INDEX(Cum_RetailRent,1,Assumptions!BV$77)*RenewalRentFactor)))</f>
        <v/>
      </c>
      <c r="BW30" s="52">
        <f>IF(Assumptions!BW$74=0,0,IF(Assumptions!BW$72&lt;$C$18,0,IF(Assumptions!BW$72&lt;=$D$18,$E$18*$B$18/12*(1+$F$18)^INT((Assumptions!BW$72-$C$18)/12),IF(Assumptions!BW$72&lt;=$D$18+RetailDowntime,0,1)*$E$18*$B$18/12*INDEX(Cum_RetailRent,1,Assumptions!BW$77)*RenewalRentFactor)))</f>
        <v/>
      </c>
      <c r="BX30" s="52">
        <f>IF(Assumptions!BX$74=0,0,IF(Assumptions!BX$72&lt;$C$18,0,IF(Assumptions!BX$72&lt;=$D$18,$E$18*$B$18/12*(1+$F$18)^INT((Assumptions!BX$72-$C$18)/12),IF(Assumptions!BX$72&lt;=$D$18+RetailDowntime,0,1)*$E$18*$B$18/12*INDEX(Cum_RetailRent,1,Assumptions!BX$77)*RenewalRentFactor)))</f>
        <v/>
      </c>
      <c r="BY30" s="52">
        <f>IF(Assumptions!BY$74=0,0,IF(Assumptions!BY$72&lt;$C$18,0,IF(Assumptions!BY$72&lt;=$D$18,$E$18*$B$18/12*(1+$F$18)^INT((Assumptions!BY$72-$C$18)/12),IF(Assumptions!BY$72&lt;=$D$18+RetailDowntime,0,1)*$E$18*$B$18/12*INDEX(Cum_RetailRent,1,Assumptions!BY$77)*RenewalRentFactor)))</f>
        <v/>
      </c>
      <c r="BZ30" s="52">
        <f>IF(Assumptions!BZ$74=0,0,IF(Assumptions!BZ$72&lt;$C$18,0,IF(Assumptions!BZ$72&lt;=$D$18,$E$18*$B$18/12*(1+$F$18)^INT((Assumptions!BZ$72-$C$18)/12),IF(Assumptions!BZ$72&lt;=$D$18+RetailDowntime,0,1)*$E$18*$B$18/12*INDEX(Cum_RetailRent,1,Assumptions!BZ$77)*RenewalRentFactor)))</f>
        <v/>
      </c>
      <c r="CA30" s="52">
        <f>IF(Assumptions!CA$74=0,0,IF(Assumptions!CA$72&lt;$C$18,0,IF(Assumptions!CA$72&lt;=$D$18,$E$18*$B$18/12*(1+$F$18)^INT((Assumptions!CA$72-$C$18)/12),IF(Assumptions!CA$72&lt;=$D$18+RetailDowntime,0,1)*$E$18*$B$18/12*INDEX(Cum_RetailRent,1,Assumptions!CA$77)*RenewalRentFactor)))</f>
        <v/>
      </c>
      <c r="CB30" s="52">
        <f>IF(Assumptions!CB$74=0,0,IF(Assumptions!CB$72&lt;$C$18,0,IF(Assumptions!CB$72&lt;=$D$18,$E$18*$B$18/12*(1+$F$18)^INT((Assumptions!CB$72-$C$18)/12),IF(Assumptions!CB$72&lt;=$D$18+RetailDowntime,0,1)*$E$18*$B$18/12*INDEX(Cum_RetailRent,1,Assumptions!CB$77)*RenewalRentFactor)))</f>
        <v/>
      </c>
      <c r="CC30" s="52">
        <f>IF(Assumptions!CC$74=0,0,IF(Assumptions!CC$72&lt;$C$18,0,IF(Assumptions!CC$72&lt;=$D$18,$E$18*$B$18/12*(1+$F$18)^INT((Assumptions!CC$72-$C$18)/12),IF(Assumptions!CC$72&lt;=$D$18+RetailDowntime,0,1)*$E$18*$B$18/12*INDEX(Cum_RetailRent,1,Assumptions!CC$77)*RenewalRentFactor)))</f>
        <v/>
      </c>
      <c r="CD30" s="52">
        <f>IF(Assumptions!CD$74=0,0,IF(Assumptions!CD$72&lt;$C$18,0,IF(Assumptions!CD$72&lt;=$D$18,$E$18*$B$18/12*(1+$F$18)^INT((Assumptions!CD$72-$C$18)/12),IF(Assumptions!CD$72&lt;=$D$18+RetailDowntime,0,1)*$E$18*$B$18/12*INDEX(Cum_RetailRent,1,Assumptions!CD$77)*RenewalRentFactor)))</f>
        <v/>
      </c>
      <c r="CE30" s="52">
        <f>IF(Assumptions!CE$74=0,0,IF(Assumptions!CE$72&lt;$C$18,0,IF(Assumptions!CE$72&lt;=$D$18,$E$18*$B$18/12*(1+$F$18)^INT((Assumptions!CE$72-$C$18)/12),IF(Assumptions!CE$72&lt;=$D$18+RetailDowntime,0,1)*$E$18*$B$18/12*INDEX(Cum_RetailRent,1,Assumptions!CE$77)*RenewalRentFactor)))</f>
        <v/>
      </c>
      <c r="CF30" s="52">
        <f>IF(Assumptions!CF$74=0,0,IF(Assumptions!CF$72&lt;$C$18,0,IF(Assumptions!CF$72&lt;=$D$18,$E$18*$B$18/12*(1+$F$18)^INT((Assumptions!CF$72-$C$18)/12),IF(Assumptions!CF$72&lt;=$D$18+RetailDowntime,0,1)*$E$18*$B$18/12*INDEX(Cum_RetailRent,1,Assumptions!CF$77)*RenewalRentFactor)))</f>
        <v/>
      </c>
      <c r="CG30" s="52">
        <f>IF(Assumptions!CG$74=0,0,IF(Assumptions!CG$72&lt;$C$18,0,IF(Assumptions!CG$72&lt;=$D$18,$E$18*$B$18/12*(1+$F$18)^INT((Assumptions!CG$72-$C$18)/12),IF(Assumptions!CG$72&lt;=$D$18+RetailDowntime,0,1)*$E$18*$B$18/12*INDEX(Cum_RetailRent,1,Assumptions!CG$77)*RenewalRentFactor)))</f>
        <v/>
      </c>
      <c r="CH30" s="52">
        <f>IF(Assumptions!CH$74=0,0,IF(Assumptions!CH$72&lt;$C$18,0,IF(Assumptions!CH$72&lt;=$D$18,$E$18*$B$18/12*(1+$F$18)^INT((Assumptions!CH$72-$C$18)/12),IF(Assumptions!CH$72&lt;=$D$18+RetailDowntime,0,1)*$E$18*$B$18/12*INDEX(Cum_RetailRent,1,Assumptions!CH$77)*RenewalRentFactor)))</f>
        <v/>
      </c>
      <c r="CI30" s="52">
        <f>IF(Assumptions!CI$74=0,0,IF(Assumptions!CI$72&lt;$C$18,0,IF(Assumptions!CI$72&lt;=$D$18,$E$18*$B$18/12*(1+$F$18)^INT((Assumptions!CI$72-$C$18)/12),IF(Assumptions!CI$72&lt;=$D$18+RetailDowntime,0,1)*$E$18*$B$18/12*INDEX(Cum_RetailRent,1,Assumptions!CI$77)*RenewalRentFactor)))</f>
        <v/>
      </c>
      <c r="CJ30" s="52">
        <f>IF(Assumptions!CJ$74=0,0,IF(Assumptions!CJ$72&lt;$C$18,0,IF(Assumptions!CJ$72&lt;=$D$18,$E$18*$B$18/12*(1+$F$18)^INT((Assumptions!CJ$72-$C$18)/12),IF(Assumptions!CJ$72&lt;=$D$18+RetailDowntime,0,1)*$E$18*$B$18/12*INDEX(Cum_RetailRent,1,Assumptions!CJ$77)*RenewalRentFactor)))</f>
        <v/>
      </c>
      <c r="CK30" s="52">
        <f>IF(Assumptions!CK$74=0,0,IF(Assumptions!CK$72&lt;$C$18,0,IF(Assumptions!CK$72&lt;=$D$18,$E$18*$B$18/12*(1+$F$18)^INT((Assumptions!CK$72-$C$18)/12),IF(Assumptions!CK$72&lt;=$D$18+RetailDowntime,0,1)*$E$18*$B$18/12*INDEX(Cum_RetailRent,1,Assumptions!CK$77)*RenewalRentFactor)))</f>
        <v/>
      </c>
      <c r="CL30" s="52">
        <f>IF(Assumptions!CL$74=0,0,IF(Assumptions!CL$72&lt;$C$18,0,IF(Assumptions!CL$72&lt;=$D$18,$E$18*$B$18/12*(1+$F$18)^INT((Assumptions!CL$72-$C$18)/12),IF(Assumptions!CL$72&lt;=$D$18+RetailDowntime,0,1)*$E$18*$B$18/12*INDEX(Cum_RetailRent,1,Assumptions!CL$77)*RenewalRentFactor)))</f>
        <v/>
      </c>
      <c r="CM30" s="52">
        <f>IF(Assumptions!CM$74=0,0,IF(Assumptions!CM$72&lt;$C$18,0,IF(Assumptions!CM$72&lt;=$D$18,$E$18*$B$18/12*(1+$F$18)^INT((Assumptions!CM$72-$C$18)/12),IF(Assumptions!CM$72&lt;=$D$18+RetailDowntime,0,1)*$E$18*$B$18/12*INDEX(Cum_RetailRent,1,Assumptions!CM$77)*RenewalRentFactor)))</f>
        <v/>
      </c>
      <c r="CN30" s="52">
        <f>IF(Assumptions!CN$74=0,0,IF(Assumptions!CN$72&lt;$C$18,0,IF(Assumptions!CN$72&lt;=$D$18,$E$18*$B$18/12*(1+$F$18)^INT((Assumptions!CN$72-$C$18)/12),IF(Assumptions!CN$72&lt;=$D$18+RetailDowntime,0,1)*$E$18*$B$18/12*INDEX(Cum_RetailRent,1,Assumptions!CN$77)*RenewalRentFactor)))</f>
        <v/>
      </c>
      <c r="CO30" s="52">
        <f>IF(Assumptions!CO$74=0,0,IF(Assumptions!CO$72&lt;$C$18,0,IF(Assumptions!CO$72&lt;=$D$18,$E$18*$B$18/12*(1+$F$18)^INT((Assumptions!CO$72-$C$18)/12),IF(Assumptions!CO$72&lt;=$D$18+RetailDowntime,0,1)*$E$18*$B$18/12*INDEX(Cum_RetailRent,1,Assumptions!CO$77)*RenewalRentFactor)))</f>
        <v/>
      </c>
      <c r="CP30" s="52">
        <f>IF(Assumptions!CP$74=0,0,IF(Assumptions!CP$72&lt;$C$18,0,IF(Assumptions!CP$72&lt;=$D$18,$E$18*$B$18/12*(1+$F$18)^INT((Assumptions!CP$72-$C$18)/12),IF(Assumptions!CP$72&lt;=$D$18+RetailDowntime,0,1)*$E$18*$B$18/12*INDEX(Cum_RetailRent,1,Assumptions!CP$77)*RenewalRentFactor)))</f>
        <v/>
      </c>
      <c r="CQ30" s="52">
        <f>IF(Assumptions!CQ$74=0,0,IF(Assumptions!CQ$72&lt;$C$18,0,IF(Assumptions!CQ$72&lt;=$D$18,$E$18*$B$18/12*(1+$F$18)^INT((Assumptions!CQ$72-$C$18)/12),IF(Assumptions!CQ$72&lt;=$D$18+RetailDowntime,0,1)*$E$18*$B$18/12*INDEX(Cum_RetailRent,1,Assumptions!CQ$77)*RenewalRentFactor)))</f>
        <v/>
      </c>
      <c r="CR30" s="52">
        <f>IF(Assumptions!CR$74=0,0,IF(Assumptions!CR$72&lt;$C$18,0,IF(Assumptions!CR$72&lt;=$D$18,$E$18*$B$18/12*(1+$F$18)^INT((Assumptions!CR$72-$C$18)/12),IF(Assumptions!CR$72&lt;=$D$18+RetailDowntime,0,1)*$E$18*$B$18/12*INDEX(Cum_RetailRent,1,Assumptions!CR$77)*RenewalRentFactor)))</f>
        <v/>
      </c>
      <c r="CS30" s="52">
        <f>IF(Assumptions!CS$74=0,0,IF(Assumptions!CS$72&lt;$C$18,0,IF(Assumptions!CS$72&lt;=$D$18,$E$18*$B$18/12*(1+$F$18)^INT((Assumptions!CS$72-$C$18)/12),IF(Assumptions!CS$72&lt;=$D$18+RetailDowntime,0,1)*$E$18*$B$18/12*INDEX(Cum_RetailRent,1,Assumptions!CS$77)*RenewalRentFactor)))</f>
        <v/>
      </c>
      <c r="CT30" s="52">
        <f>IF(Assumptions!CT$74=0,0,IF(Assumptions!CT$72&lt;$C$18,0,IF(Assumptions!CT$72&lt;=$D$18,$E$18*$B$18/12*(1+$F$18)^INT((Assumptions!CT$72-$C$18)/12),IF(Assumptions!CT$72&lt;=$D$18+RetailDowntime,0,1)*$E$18*$B$18/12*INDEX(Cum_RetailRent,1,Assumptions!CT$77)*RenewalRentFactor)))</f>
        <v/>
      </c>
      <c r="CU30" s="52">
        <f>IF(Assumptions!CU$74=0,0,IF(Assumptions!CU$72&lt;$C$18,0,IF(Assumptions!CU$72&lt;=$D$18,$E$18*$B$18/12*(1+$F$18)^INT((Assumptions!CU$72-$C$18)/12),IF(Assumptions!CU$72&lt;=$D$18+RetailDowntime,0,1)*$E$18*$B$18/12*INDEX(Cum_RetailRent,1,Assumptions!CU$77)*RenewalRentFactor)))</f>
        <v/>
      </c>
      <c r="CV30" s="52">
        <f>IF(Assumptions!CV$74=0,0,IF(Assumptions!CV$72&lt;$C$18,0,IF(Assumptions!CV$72&lt;=$D$18,$E$18*$B$18/12*(1+$F$18)^INT((Assumptions!CV$72-$C$18)/12),IF(Assumptions!CV$72&lt;=$D$18+RetailDowntime,0,1)*$E$18*$B$18/12*INDEX(Cum_RetailRent,1,Assumptions!CV$77)*RenewalRentFactor)))</f>
        <v/>
      </c>
      <c r="CW30" s="52">
        <f>IF(Assumptions!CW$74=0,0,IF(Assumptions!CW$72&lt;$C$18,0,IF(Assumptions!CW$72&lt;=$D$18,$E$18*$B$18/12*(1+$F$18)^INT((Assumptions!CW$72-$C$18)/12),IF(Assumptions!CW$72&lt;=$D$18+RetailDowntime,0,1)*$E$18*$B$18/12*INDEX(Cum_RetailRent,1,Assumptions!CW$77)*RenewalRentFactor)))</f>
        <v/>
      </c>
      <c r="CX30" s="52">
        <f>IF(Assumptions!CX$74=0,0,IF(Assumptions!CX$72&lt;$C$18,0,IF(Assumptions!CX$72&lt;=$D$18,$E$18*$B$18/12*(1+$F$18)^INT((Assumptions!CX$72-$C$18)/12),IF(Assumptions!CX$72&lt;=$D$18+RetailDowntime,0,1)*$E$18*$B$18/12*INDEX(Cum_RetailRent,1,Assumptions!CX$77)*RenewalRentFactor)))</f>
        <v/>
      </c>
      <c r="CY30" s="52">
        <f>IF(Assumptions!CY$74=0,0,IF(Assumptions!CY$72&lt;$C$18,0,IF(Assumptions!CY$72&lt;=$D$18,$E$18*$B$18/12*(1+$F$18)^INT((Assumptions!CY$72-$C$18)/12),IF(Assumptions!CY$72&lt;=$D$18+RetailDowntime,0,1)*$E$18*$B$18/12*INDEX(Cum_RetailRent,1,Assumptions!CY$77)*RenewalRentFactor)))</f>
        <v/>
      </c>
      <c r="CZ30" s="52">
        <f>IF(Assumptions!CZ$74=0,0,IF(Assumptions!CZ$72&lt;$C$18,0,IF(Assumptions!CZ$72&lt;=$D$18,$E$18*$B$18/12*(1+$F$18)^INT((Assumptions!CZ$72-$C$18)/12),IF(Assumptions!CZ$72&lt;=$D$18+RetailDowntime,0,1)*$E$18*$B$18/12*INDEX(Cum_RetailRent,1,Assumptions!CZ$77)*RenewalRentFactor)))</f>
        <v/>
      </c>
      <c r="DA30" s="52">
        <f>IF(Assumptions!DA$74=0,0,IF(Assumptions!DA$72&lt;$C$18,0,IF(Assumptions!DA$72&lt;=$D$18,$E$18*$B$18/12*(1+$F$18)^INT((Assumptions!DA$72-$C$18)/12),IF(Assumptions!DA$72&lt;=$D$18+RetailDowntime,0,1)*$E$18*$B$18/12*INDEX(Cum_RetailRent,1,Assumptions!DA$77)*RenewalRentFactor)))</f>
        <v/>
      </c>
      <c r="DB30" s="52">
        <f>IF(Assumptions!DB$74=0,0,IF(Assumptions!DB$72&lt;$C$18,0,IF(Assumptions!DB$72&lt;=$D$18,$E$18*$B$18/12*(1+$F$18)^INT((Assumptions!DB$72-$C$18)/12),IF(Assumptions!DB$72&lt;=$D$18+RetailDowntime,0,1)*$E$18*$B$18/12*INDEX(Cum_RetailRent,1,Assumptions!DB$77)*RenewalRentFactor)))</f>
        <v/>
      </c>
      <c r="DC30" s="52">
        <f>IF(Assumptions!DC$74=0,0,IF(Assumptions!DC$72&lt;$C$18,0,IF(Assumptions!DC$72&lt;=$D$18,$E$18*$B$18/12*(1+$F$18)^INT((Assumptions!DC$72-$C$18)/12),IF(Assumptions!DC$72&lt;=$D$18+RetailDowntime,0,1)*$E$18*$B$18/12*INDEX(Cum_RetailRent,1,Assumptions!DC$77)*RenewalRentFactor)))</f>
        <v/>
      </c>
      <c r="DD30" s="52">
        <f>IF(Assumptions!DD$74=0,0,IF(Assumptions!DD$72&lt;$C$18,0,IF(Assumptions!DD$72&lt;=$D$18,$E$18*$B$18/12*(1+$F$18)^INT((Assumptions!DD$72-$C$18)/12),IF(Assumptions!DD$72&lt;=$D$18+RetailDowntime,0,1)*$E$18*$B$18/12*INDEX(Cum_RetailRent,1,Assumptions!DD$77)*RenewalRentFactor)))</f>
        <v/>
      </c>
      <c r="DE30" s="52">
        <f>IF(Assumptions!DE$74=0,0,IF(Assumptions!DE$72&lt;$C$18,0,IF(Assumptions!DE$72&lt;=$D$18,$E$18*$B$18/12*(1+$F$18)^INT((Assumptions!DE$72-$C$18)/12),IF(Assumptions!DE$72&lt;=$D$18+RetailDowntime,0,1)*$E$18*$B$18/12*INDEX(Cum_RetailRent,1,Assumptions!DE$77)*RenewalRentFactor)))</f>
        <v/>
      </c>
      <c r="DF30" s="52">
        <f>IF(Assumptions!DF$74=0,0,IF(Assumptions!DF$72&lt;$C$18,0,IF(Assumptions!DF$72&lt;=$D$18,$E$18*$B$18/12*(1+$F$18)^INT((Assumptions!DF$72-$C$18)/12),IF(Assumptions!DF$72&lt;=$D$18+RetailDowntime,0,1)*$E$18*$B$18/12*INDEX(Cum_RetailRent,1,Assumptions!DF$77)*RenewalRentFactor)))</f>
        <v/>
      </c>
      <c r="DG30" s="52">
        <f>IF(Assumptions!DG$74=0,0,IF(Assumptions!DG$72&lt;$C$18,0,IF(Assumptions!DG$72&lt;=$D$18,$E$18*$B$18/12*(1+$F$18)^INT((Assumptions!DG$72-$C$18)/12),IF(Assumptions!DG$72&lt;=$D$18+RetailDowntime,0,1)*$E$18*$B$18/12*INDEX(Cum_RetailRent,1,Assumptions!DG$77)*RenewalRentFactor)))</f>
        <v/>
      </c>
      <c r="DH30" s="52">
        <f>IF(Assumptions!DH$74=0,0,IF(Assumptions!DH$72&lt;$C$18,0,IF(Assumptions!DH$72&lt;=$D$18,$E$18*$B$18/12*(1+$F$18)^INT((Assumptions!DH$72-$C$18)/12),IF(Assumptions!DH$72&lt;=$D$18+RetailDowntime,0,1)*$E$18*$B$18/12*INDEX(Cum_RetailRent,1,Assumptions!DH$77)*RenewalRentFactor)))</f>
        <v/>
      </c>
      <c r="DI30" s="52">
        <f>IF(Assumptions!DI$74=0,0,IF(Assumptions!DI$72&lt;$C$18,0,IF(Assumptions!DI$72&lt;=$D$18,$E$18*$B$18/12*(1+$F$18)^INT((Assumptions!DI$72-$C$18)/12),IF(Assumptions!DI$72&lt;=$D$18+RetailDowntime,0,1)*$E$18*$B$18/12*INDEX(Cum_RetailRent,1,Assumptions!DI$77)*RenewalRentFactor)))</f>
        <v/>
      </c>
      <c r="DJ30" s="52">
        <f>IF(Assumptions!DJ$74=0,0,IF(Assumptions!DJ$72&lt;$C$18,0,IF(Assumptions!DJ$72&lt;=$D$18,$E$18*$B$18/12*(1+$F$18)^INT((Assumptions!DJ$72-$C$18)/12),IF(Assumptions!DJ$72&lt;=$D$18+RetailDowntime,0,1)*$E$18*$B$18/12*INDEX(Cum_RetailRent,1,Assumptions!DJ$77)*RenewalRentFactor)))</f>
        <v/>
      </c>
      <c r="DK30" s="52">
        <f>IF(Assumptions!DK$74=0,0,IF(Assumptions!DK$72&lt;$C$18,0,IF(Assumptions!DK$72&lt;=$D$18,$E$18*$B$18/12*(1+$F$18)^INT((Assumptions!DK$72-$C$18)/12),IF(Assumptions!DK$72&lt;=$D$18+RetailDowntime,0,1)*$E$18*$B$18/12*INDEX(Cum_RetailRent,1,Assumptions!DK$77)*RenewalRentFactor)))</f>
        <v/>
      </c>
      <c r="DL30" s="52">
        <f>IF(Assumptions!DL$74=0,0,IF(Assumptions!DL$72&lt;$C$18,0,IF(Assumptions!DL$72&lt;=$D$18,$E$18*$B$18/12*(1+$F$18)^INT((Assumptions!DL$72-$C$18)/12),IF(Assumptions!DL$72&lt;=$D$18+RetailDowntime,0,1)*$E$18*$B$18/12*INDEX(Cum_RetailRent,1,Assumptions!DL$77)*RenewalRentFactor)))</f>
        <v/>
      </c>
      <c r="DM30" s="52">
        <f>IF(Assumptions!DM$74=0,0,IF(Assumptions!DM$72&lt;$C$18,0,IF(Assumptions!DM$72&lt;=$D$18,$E$18*$B$18/12*(1+$F$18)^INT((Assumptions!DM$72-$C$18)/12),IF(Assumptions!DM$72&lt;=$D$18+RetailDowntime,0,1)*$E$18*$B$18/12*INDEX(Cum_RetailRent,1,Assumptions!DM$77)*RenewalRentFactor)))</f>
        <v/>
      </c>
      <c r="DN30" s="52">
        <f>IF(Assumptions!DN$74=0,0,IF(Assumptions!DN$72&lt;$C$18,0,IF(Assumptions!DN$72&lt;=$D$18,$E$18*$B$18/12*(1+$F$18)^INT((Assumptions!DN$72-$C$18)/12),IF(Assumptions!DN$72&lt;=$D$18+RetailDowntime,0,1)*$E$18*$B$18/12*INDEX(Cum_RetailRent,1,Assumptions!DN$77)*RenewalRentFactor)))</f>
        <v/>
      </c>
      <c r="DO30" s="52">
        <f>IF(Assumptions!DO$74=0,0,IF(Assumptions!DO$72&lt;$C$18,0,IF(Assumptions!DO$72&lt;=$D$18,$E$18*$B$18/12*(1+$F$18)^INT((Assumptions!DO$72-$C$18)/12),IF(Assumptions!DO$72&lt;=$D$18+RetailDowntime,0,1)*$E$18*$B$18/12*INDEX(Cum_RetailRent,1,Assumptions!DO$77)*RenewalRentFactor)))</f>
        <v/>
      </c>
      <c r="DP30" s="52">
        <f>IF(Assumptions!DP$74=0,0,IF(Assumptions!DP$72&lt;$C$18,0,IF(Assumptions!DP$72&lt;=$D$18,$E$18*$B$18/12*(1+$F$18)^INT((Assumptions!DP$72-$C$18)/12),IF(Assumptions!DP$72&lt;=$D$18+RetailDowntime,0,1)*$E$18*$B$18/12*INDEX(Cum_RetailRent,1,Assumptions!DP$77)*RenewalRentFactor)))</f>
        <v/>
      </c>
      <c r="DQ30" s="52">
        <f>IF(Assumptions!DQ$74=0,0,IF(Assumptions!DQ$72&lt;$C$18,0,IF(Assumptions!DQ$72&lt;=$D$18,$E$18*$B$18/12*(1+$F$18)^INT((Assumptions!DQ$72-$C$18)/12),IF(Assumptions!DQ$72&lt;=$D$18+RetailDowntime,0,1)*$E$18*$B$18/12*INDEX(Cum_RetailRent,1,Assumptions!DQ$77)*RenewalRentFactor)))</f>
        <v/>
      </c>
      <c r="DR30" s="52">
        <f>IF(Assumptions!DR$74=0,0,IF(Assumptions!DR$72&lt;$C$18,0,IF(Assumptions!DR$72&lt;=$D$18,$E$18*$B$18/12*(1+$F$18)^INT((Assumptions!DR$72-$C$18)/12),IF(Assumptions!DR$72&lt;=$D$18+RetailDowntime,0,1)*$E$18*$B$18/12*INDEX(Cum_RetailRent,1,Assumptions!DR$77)*RenewalRentFactor)))</f>
        <v/>
      </c>
      <c r="DS30" s="52">
        <f>IF(Assumptions!DS$74=0,0,IF(Assumptions!DS$72&lt;$C$18,0,IF(Assumptions!DS$72&lt;=$D$18,$E$18*$B$18/12*(1+$F$18)^INT((Assumptions!DS$72-$C$18)/12),IF(Assumptions!DS$72&lt;=$D$18+RetailDowntime,0,1)*$E$18*$B$18/12*INDEX(Cum_RetailRent,1,Assumptions!DS$77)*RenewalRentFactor)))</f>
        <v/>
      </c>
      <c r="DT30" s="52">
        <f>IF(Assumptions!DT$74=0,0,IF(Assumptions!DT$72&lt;$C$18,0,IF(Assumptions!DT$72&lt;=$D$18,$E$18*$B$18/12*(1+$F$18)^INT((Assumptions!DT$72-$C$18)/12),IF(Assumptions!DT$72&lt;=$D$18+RetailDowntime,0,1)*$E$18*$B$18/12*INDEX(Cum_RetailRent,1,Assumptions!DT$77)*RenewalRentFactor)))</f>
        <v/>
      </c>
    </row>
    <row r="31">
      <c r="A31" s="10" t="inlineStr">
        <is>
          <t xml:space="preserve">  Cafe</t>
        </is>
      </c>
      <c r="E31" s="52">
        <f>IF(Assumptions!E$74=0,0,IF(Assumptions!E$72&lt;$C$19,0,IF(Assumptions!E$72&lt;=$D$19,$E$19*$B$19/12*(1+$F$19)^INT((Assumptions!E$72-$C$19)/12),IF(Assumptions!E$72&lt;=$D$19+RetailDowntime,0,1)*$E$19*$B$19/12*INDEX(Cum_RetailRent,1,Assumptions!E$77)*RenewalRentFactor)))</f>
        <v/>
      </c>
      <c r="F31" s="52">
        <f>IF(Assumptions!F$74=0,0,IF(Assumptions!F$72&lt;$C$19,0,IF(Assumptions!F$72&lt;=$D$19,$E$19*$B$19/12*(1+$F$19)^INT((Assumptions!F$72-$C$19)/12),IF(Assumptions!F$72&lt;=$D$19+RetailDowntime,0,1)*$E$19*$B$19/12*INDEX(Cum_RetailRent,1,Assumptions!F$77)*RenewalRentFactor)))</f>
        <v/>
      </c>
      <c r="G31" s="52">
        <f>IF(Assumptions!G$74=0,0,IF(Assumptions!G$72&lt;$C$19,0,IF(Assumptions!G$72&lt;=$D$19,$E$19*$B$19/12*(1+$F$19)^INT((Assumptions!G$72-$C$19)/12),IF(Assumptions!G$72&lt;=$D$19+RetailDowntime,0,1)*$E$19*$B$19/12*INDEX(Cum_RetailRent,1,Assumptions!G$77)*RenewalRentFactor)))</f>
        <v/>
      </c>
      <c r="H31" s="52">
        <f>IF(Assumptions!H$74=0,0,IF(Assumptions!H$72&lt;$C$19,0,IF(Assumptions!H$72&lt;=$D$19,$E$19*$B$19/12*(1+$F$19)^INT((Assumptions!H$72-$C$19)/12),IF(Assumptions!H$72&lt;=$D$19+RetailDowntime,0,1)*$E$19*$B$19/12*INDEX(Cum_RetailRent,1,Assumptions!H$77)*RenewalRentFactor)))</f>
        <v/>
      </c>
      <c r="I31" s="52">
        <f>IF(Assumptions!I$74=0,0,IF(Assumptions!I$72&lt;$C$19,0,IF(Assumptions!I$72&lt;=$D$19,$E$19*$B$19/12*(1+$F$19)^INT((Assumptions!I$72-$C$19)/12),IF(Assumptions!I$72&lt;=$D$19+RetailDowntime,0,1)*$E$19*$B$19/12*INDEX(Cum_RetailRent,1,Assumptions!I$77)*RenewalRentFactor)))</f>
        <v/>
      </c>
      <c r="J31" s="52">
        <f>IF(Assumptions!J$74=0,0,IF(Assumptions!J$72&lt;$C$19,0,IF(Assumptions!J$72&lt;=$D$19,$E$19*$B$19/12*(1+$F$19)^INT((Assumptions!J$72-$C$19)/12),IF(Assumptions!J$72&lt;=$D$19+RetailDowntime,0,1)*$E$19*$B$19/12*INDEX(Cum_RetailRent,1,Assumptions!J$77)*RenewalRentFactor)))</f>
        <v/>
      </c>
      <c r="K31" s="52">
        <f>IF(Assumptions!K$74=0,0,IF(Assumptions!K$72&lt;$C$19,0,IF(Assumptions!K$72&lt;=$D$19,$E$19*$B$19/12*(1+$F$19)^INT((Assumptions!K$72-$C$19)/12),IF(Assumptions!K$72&lt;=$D$19+RetailDowntime,0,1)*$E$19*$B$19/12*INDEX(Cum_RetailRent,1,Assumptions!K$77)*RenewalRentFactor)))</f>
        <v/>
      </c>
      <c r="L31" s="52">
        <f>IF(Assumptions!L$74=0,0,IF(Assumptions!L$72&lt;$C$19,0,IF(Assumptions!L$72&lt;=$D$19,$E$19*$B$19/12*(1+$F$19)^INT((Assumptions!L$72-$C$19)/12),IF(Assumptions!L$72&lt;=$D$19+RetailDowntime,0,1)*$E$19*$B$19/12*INDEX(Cum_RetailRent,1,Assumptions!L$77)*RenewalRentFactor)))</f>
        <v/>
      </c>
      <c r="M31" s="52">
        <f>IF(Assumptions!M$74=0,0,IF(Assumptions!M$72&lt;$C$19,0,IF(Assumptions!M$72&lt;=$D$19,$E$19*$B$19/12*(1+$F$19)^INT((Assumptions!M$72-$C$19)/12),IF(Assumptions!M$72&lt;=$D$19+RetailDowntime,0,1)*$E$19*$B$19/12*INDEX(Cum_RetailRent,1,Assumptions!M$77)*RenewalRentFactor)))</f>
        <v/>
      </c>
      <c r="N31" s="52">
        <f>IF(Assumptions!N$74=0,0,IF(Assumptions!N$72&lt;$C$19,0,IF(Assumptions!N$72&lt;=$D$19,$E$19*$B$19/12*(1+$F$19)^INT((Assumptions!N$72-$C$19)/12),IF(Assumptions!N$72&lt;=$D$19+RetailDowntime,0,1)*$E$19*$B$19/12*INDEX(Cum_RetailRent,1,Assumptions!N$77)*RenewalRentFactor)))</f>
        <v/>
      </c>
      <c r="O31" s="52">
        <f>IF(Assumptions!O$74=0,0,IF(Assumptions!O$72&lt;$C$19,0,IF(Assumptions!O$72&lt;=$D$19,$E$19*$B$19/12*(1+$F$19)^INT((Assumptions!O$72-$C$19)/12),IF(Assumptions!O$72&lt;=$D$19+RetailDowntime,0,1)*$E$19*$B$19/12*INDEX(Cum_RetailRent,1,Assumptions!O$77)*RenewalRentFactor)))</f>
        <v/>
      </c>
      <c r="P31" s="52">
        <f>IF(Assumptions!P$74=0,0,IF(Assumptions!P$72&lt;$C$19,0,IF(Assumptions!P$72&lt;=$D$19,$E$19*$B$19/12*(1+$F$19)^INT((Assumptions!P$72-$C$19)/12),IF(Assumptions!P$72&lt;=$D$19+RetailDowntime,0,1)*$E$19*$B$19/12*INDEX(Cum_RetailRent,1,Assumptions!P$77)*RenewalRentFactor)))</f>
        <v/>
      </c>
      <c r="Q31" s="52">
        <f>IF(Assumptions!Q$74=0,0,IF(Assumptions!Q$72&lt;$C$19,0,IF(Assumptions!Q$72&lt;=$D$19,$E$19*$B$19/12*(1+$F$19)^INT((Assumptions!Q$72-$C$19)/12),IF(Assumptions!Q$72&lt;=$D$19+RetailDowntime,0,1)*$E$19*$B$19/12*INDEX(Cum_RetailRent,1,Assumptions!Q$77)*RenewalRentFactor)))</f>
        <v/>
      </c>
      <c r="R31" s="52">
        <f>IF(Assumptions!R$74=0,0,IF(Assumptions!R$72&lt;$C$19,0,IF(Assumptions!R$72&lt;=$D$19,$E$19*$B$19/12*(1+$F$19)^INT((Assumptions!R$72-$C$19)/12),IF(Assumptions!R$72&lt;=$D$19+RetailDowntime,0,1)*$E$19*$B$19/12*INDEX(Cum_RetailRent,1,Assumptions!R$77)*RenewalRentFactor)))</f>
        <v/>
      </c>
      <c r="S31" s="52">
        <f>IF(Assumptions!S$74=0,0,IF(Assumptions!S$72&lt;$C$19,0,IF(Assumptions!S$72&lt;=$D$19,$E$19*$B$19/12*(1+$F$19)^INT((Assumptions!S$72-$C$19)/12),IF(Assumptions!S$72&lt;=$D$19+RetailDowntime,0,1)*$E$19*$B$19/12*INDEX(Cum_RetailRent,1,Assumptions!S$77)*RenewalRentFactor)))</f>
        <v/>
      </c>
      <c r="T31" s="52">
        <f>IF(Assumptions!T$74=0,0,IF(Assumptions!T$72&lt;$C$19,0,IF(Assumptions!T$72&lt;=$D$19,$E$19*$B$19/12*(1+$F$19)^INT((Assumptions!T$72-$C$19)/12),IF(Assumptions!T$72&lt;=$D$19+RetailDowntime,0,1)*$E$19*$B$19/12*INDEX(Cum_RetailRent,1,Assumptions!T$77)*RenewalRentFactor)))</f>
        <v/>
      </c>
      <c r="U31" s="52">
        <f>IF(Assumptions!U$74=0,0,IF(Assumptions!U$72&lt;$C$19,0,IF(Assumptions!U$72&lt;=$D$19,$E$19*$B$19/12*(1+$F$19)^INT((Assumptions!U$72-$C$19)/12),IF(Assumptions!U$72&lt;=$D$19+RetailDowntime,0,1)*$E$19*$B$19/12*INDEX(Cum_RetailRent,1,Assumptions!U$77)*RenewalRentFactor)))</f>
        <v/>
      </c>
      <c r="V31" s="52">
        <f>IF(Assumptions!V$74=0,0,IF(Assumptions!V$72&lt;$C$19,0,IF(Assumptions!V$72&lt;=$D$19,$E$19*$B$19/12*(1+$F$19)^INT((Assumptions!V$72-$C$19)/12),IF(Assumptions!V$72&lt;=$D$19+RetailDowntime,0,1)*$E$19*$B$19/12*INDEX(Cum_RetailRent,1,Assumptions!V$77)*RenewalRentFactor)))</f>
        <v/>
      </c>
      <c r="W31" s="52">
        <f>IF(Assumptions!W$74=0,0,IF(Assumptions!W$72&lt;$C$19,0,IF(Assumptions!W$72&lt;=$D$19,$E$19*$B$19/12*(1+$F$19)^INT((Assumptions!W$72-$C$19)/12),IF(Assumptions!W$72&lt;=$D$19+RetailDowntime,0,1)*$E$19*$B$19/12*INDEX(Cum_RetailRent,1,Assumptions!W$77)*RenewalRentFactor)))</f>
        <v/>
      </c>
      <c r="X31" s="52">
        <f>IF(Assumptions!X$74=0,0,IF(Assumptions!X$72&lt;$C$19,0,IF(Assumptions!X$72&lt;=$D$19,$E$19*$B$19/12*(1+$F$19)^INT((Assumptions!X$72-$C$19)/12),IF(Assumptions!X$72&lt;=$D$19+RetailDowntime,0,1)*$E$19*$B$19/12*INDEX(Cum_RetailRent,1,Assumptions!X$77)*RenewalRentFactor)))</f>
        <v/>
      </c>
      <c r="Y31" s="52">
        <f>IF(Assumptions!Y$74=0,0,IF(Assumptions!Y$72&lt;$C$19,0,IF(Assumptions!Y$72&lt;=$D$19,$E$19*$B$19/12*(1+$F$19)^INT((Assumptions!Y$72-$C$19)/12),IF(Assumptions!Y$72&lt;=$D$19+RetailDowntime,0,1)*$E$19*$B$19/12*INDEX(Cum_RetailRent,1,Assumptions!Y$77)*RenewalRentFactor)))</f>
        <v/>
      </c>
      <c r="Z31" s="52">
        <f>IF(Assumptions!Z$74=0,0,IF(Assumptions!Z$72&lt;$C$19,0,IF(Assumptions!Z$72&lt;=$D$19,$E$19*$B$19/12*(1+$F$19)^INT((Assumptions!Z$72-$C$19)/12),IF(Assumptions!Z$72&lt;=$D$19+RetailDowntime,0,1)*$E$19*$B$19/12*INDEX(Cum_RetailRent,1,Assumptions!Z$77)*RenewalRentFactor)))</f>
        <v/>
      </c>
      <c r="AA31" s="52">
        <f>IF(Assumptions!AA$74=0,0,IF(Assumptions!AA$72&lt;$C$19,0,IF(Assumptions!AA$72&lt;=$D$19,$E$19*$B$19/12*(1+$F$19)^INT((Assumptions!AA$72-$C$19)/12),IF(Assumptions!AA$72&lt;=$D$19+RetailDowntime,0,1)*$E$19*$B$19/12*INDEX(Cum_RetailRent,1,Assumptions!AA$77)*RenewalRentFactor)))</f>
        <v/>
      </c>
      <c r="AB31" s="52">
        <f>IF(Assumptions!AB$74=0,0,IF(Assumptions!AB$72&lt;$C$19,0,IF(Assumptions!AB$72&lt;=$D$19,$E$19*$B$19/12*(1+$F$19)^INT((Assumptions!AB$72-$C$19)/12),IF(Assumptions!AB$72&lt;=$D$19+RetailDowntime,0,1)*$E$19*$B$19/12*INDEX(Cum_RetailRent,1,Assumptions!AB$77)*RenewalRentFactor)))</f>
        <v/>
      </c>
      <c r="AC31" s="52">
        <f>IF(Assumptions!AC$74=0,0,IF(Assumptions!AC$72&lt;$C$19,0,IF(Assumptions!AC$72&lt;=$D$19,$E$19*$B$19/12*(1+$F$19)^INT((Assumptions!AC$72-$C$19)/12),IF(Assumptions!AC$72&lt;=$D$19+RetailDowntime,0,1)*$E$19*$B$19/12*INDEX(Cum_RetailRent,1,Assumptions!AC$77)*RenewalRentFactor)))</f>
        <v/>
      </c>
      <c r="AD31" s="52">
        <f>IF(Assumptions!AD$74=0,0,IF(Assumptions!AD$72&lt;$C$19,0,IF(Assumptions!AD$72&lt;=$D$19,$E$19*$B$19/12*(1+$F$19)^INT((Assumptions!AD$72-$C$19)/12),IF(Assumptions!AD$72&lt;=$D$19+RetailDowntime,0,1)*$E$19*$B$19/12*INDEX(Cum_RetailRent,1,Assumptions!AD$77)*RenewalRentFactor)))</f>
        <v/>
      </c>
      <c r="AE31" s="52">
        <f>IF(Assumptions!AE$74=0,0,IF(Assumptions!AE$72&lt;$C$19,0,IF(Assumptions!AE$72&lt;=$D$19,$E$19*$B$19/12*(1+$F$19)^INT((Assumptions!AE$72-$C$19)/12),IF(Assumptions!AE$72&lt;=$D$19+RetailDowntime,0,1)*$E$19*$B$19/12*INDEX(Cum_RetailRent,1,Assumptions!AE$77)*RenewalRentFactor)))</f>
        <v/>
      </c>
      <c r="AF31" s="52">
        <f>IF(Assumptions!AF$74=0,0,IF(Assumptions!AF$72&lt;$C$19,0,IF(Assumptions!AF$72&lt;=$D$19,$E$19*$B$19/12*(1+$F$19)^INT((Assumptions!AF$72-$C$19)/12),IF(Assumptions!AF$72&lt;=$D$19+RetailDowntime,0,1)*$E$19*$B$19/12*INDEX(Cum_RetailRent,1,Assumptions!AF$77)*RenewalRentFactor)))</f>
        <v/>
      </c>
      <c r="AG31" s="52">
        <f>IF(Assumptions!AG$74=0,0,IF(Assumptions!AG$72&lt;$C$19,0,IF(Assumptions!AG$72&lt;=$D$19,$E$19*$B$19/12*(1+$F$19)^INT((Assumptions!AG$72-$C$19)/12),IF(Assumptions!AG$72&lt;=$D$19+RetailDowntime,0,1)*$E$19*$B$19/12*INDEX(Cum_RetailRent,1,Assumptions!AG$77)*RenewalRentFactor)))</f>
        <v/>
      </c>
      <c r="AH31" s="52">
        <f>IF(Assumptions!AH$74=0,0,IF(Assumptions!AH$72&lt;$C$19,0,IF(Assumptions!AH$72&lt;=$D$19,$E$19*$B$19/12*(1+$F$19)^INT((Assumptions!AH$72-$C$19)/12),IF(Assumptions!AH$72&lt;=$D$19+RetailDowntime,0,1)*$E$19*$B$19/12*INDEX(Cum_RetailRent,1,Assumptions!AH$77)*RenewalRentFactor)))</f>
        <v/>
      </c>
      <c r="AI31" s="52">
        <f>IF(Assumptions!AI$74=0,0,IF(Assumptions!AI$72&lt;$C$19,0,IF(Assumptions!AI$72&lt;=$D$19,$E$19*$B$19/12*(1+$F$19)^INT((Assumptions!AI$72-$C$19)/12),IF(Assumptions!AI$72&lt;=$D$19+RetailDowntime,0,1)*$E$19*$B$19/12*INDEX(Cum_RetailRent,1,Assumptions!AI$77)*RenewalRentFactor)))</f>
        <v/>
      </c>
      <c r="AJ31" s="52">
        <f>IF(Assumptions!AJ$74=0,0,IF(Assumptions!AJ$72&lt;$C$19,0,IF(Assumptions!AJ$72&lt;=$D$19,$E$19*$B$19/12*(1+$F$19)^INT((Assumptions!AJ$72-$C$19)/12),IF(Assumptions!AJ$72&lt;=$D$19+RetailDowntime,0,1)*$E$19*$B$19/12*INDEX(Cum_RetailRent,1,Assumptions!AJ$77)*RenewalRentFactor)))</f>
        <v/>
      </c>
      <c r="AK31" s="52">
        <f>IF(Assumptions!AK$74=0,0,IF(Assumptions!AK$72&lt;$C$19,0,IF(Assumptions!AK$72&lt;=$D$19,$E$19*$B$19/12*(1+$F$19)^INT((Assumptions!AK$72-$C$19)/12),IF(Assumptions!AK$72&lt;=$D$19+RetailDowntime,0,1)*$E$19*$B$19/12*INDEX(Cum_RetailRent,1,Assumptions!AK$77)*RenewalRentFactor)))</f>
        <v/>
      </c>
      <c r="AL31" s="52">
        <f>IF(Assumptions!AL$74=0,0,IF(Assumptions!AL$72&lt;$C$19,0,IF(Assumptions!AL$72&lt;=$D$19,$E$19*$B$19/12*(1+$F$19)^INT((Assumptions!AL$72-$C$19)/12),IF(Assumptions!AL$72&lt;=$D$19+RetailDowntime,0,1)*$E$19*$B$19/12*INDEX(Cum_RetailRent,1,Assumptions!AL$77)*RenewalRentFactor)))</f>
        <v/>
      </c>
      <c r="AM31" s="52">
        <f>IF(Assumptions!AM$74=0,0,IF(Assumptions!AM$72&lt;$C$19,0,IF(Assumptions!AM$72&lt;=$D$19,$E$19*$B$19/12*(1+$F$19)^INT((Assumptions!AM$72-$C$19)/12),IF(Assumptions!AM$72&lt;=$D$19+RetailDowntime,0,1)*$E$19*$B$19/12*INDEX(Cum_RetailRent,1,Assumptions!AM$77)*RenewalRentFactor)))</f>
        <v/>
      </c>
      <c r="AN31" s="52">
        <f>IF(Assumptions!AN$74=0,0,IF(Assumptions!AN$72&lt;$C$19,0,IF(Assumptions!AN$72&lt;=$D$19,$E$19*$B$19/12*(1+$F$19)^INT((Assumptions!AN$72-$C$19)/12),IF(Assumptions!AN$72&lt;=$D$19+RetailDowntime,0,1)*$E$19*$B$19/12*INDEX(Cum_RetailRent,1,Assumptions!AN$77)*RenewalRentFactor)))</f>
        <v/>
      </c>
      <c r="AO31" s="52">
        <f>IF(Assumptions!AO$74=0,0,IF(Assumptions!AO$72&lt;$C$19,0,IF(Assumptions!AO$72&lt;=$D$19,$E$19*$B$19/12*(1+$F$19)^INT((Assumptions!AO$72-$C$19)/12),IF(Assumptions!AO$72&lt;=$D$19+RetailDowntime,0,1)*$E$19*$B$19/12*INDEX(Cum_RetailRent,1,Assumptions!AO$77)*RenewalRentFactor)))</f>
        <v/>
      </c>
      <c r="AP31" s="52">
        <f>IF(Assumptions!AP$74=0,0,IF(Assumptions!AP$72&lt;$C$19,0,IF(Assumptions!AP$72&lt;=$D$19,$E$19*$B$19/12*(1+$F$19)^INT((Assumptions!AP$72-$C$19)/12),IF(Assumptions!AP$72&lt;=$D$19+RetailDowntime,0,1)*$E$19*$B$19/12*INDEX(Cum_RetailRent,1,Assumptions!AP$77)*RenewalRentFactor)))</f>
        <v/>
      </c>
      <c r="AQ31" s="52">
        <f>IF(Assumptions!AQ$74=0,0,IF(Assumptions!AQ$72&lt;$C$19,0,IF(Assumptions!AQ$72&lt;=$D$19,$E$19*$B$19/12*(1+$F$19)^INT((Assumptions!AQ$72-$C$19)/12),IF(Assumptions!AQ$72&lt;=$D$19+RetailDowntime,0,1)*$E$19*$B$19/12*INDEX(Cum_RetailRent,1,Assumptions!AQ$77)*RenewalRentFactor)))</f>
        <v/>
      </c>
      <c r="AR31" s="52">
        <f>IF(Assumptions!AR$74=0,0,IF(Assumptions!AR$72&lt;$C$19,0,IF(Assumptions!AR$72&lt;=$D$19,$E$19*$B$19/12*(1+$F$19)^INT((Assumptions!AR$72-$C$19)/12),IF(Assumptions!AR$72&lt;=$D$19+RetailDowntime,0,1)*$E$19*$B$19/12*INDEX(Cum_RetailRent,1,Assumptions!AR$77)*RenewalRentFactor)))</f>
        <v/>
      </c>
      <c r="AS31" s="52">
        <f>IF(Assumptions!AS$74=0,0,IF(Assumptions!AS$72&lt;$C$19,0,IF(Assumptions!AS$72&lt;=$D$19,$E$19*$B$19/12*(1+$F$19)^INT((Assumptions!AS$72-$C$19)/12),IF(Assumptions!AS$72&lt;=$D$19+RetailDowntime,0,1)*$E$19*$B$19/12*INDEX(Cum_RetailRent,1,Assumptions!AS$77)*RenewalRentFactor)))</f>
        <v/>
      </c>
      <c r="AT31" s="52">
        <f>IF(Assumptions!AT$74=0,0,IF(Assumptions!AT$72&lt;$C$19,0,IF(Assumptions!AT$72&lt;=$D$19,$E$19*$B$19/12*(1+$F$19)^INT((Assumptions!AT$72-$C$19)/12),IF(Assumptions!AT$72&lt;=$D$19+RetailDowntime,0,1)*$E$19*$B$19/12*INDEX(Cum_RetailRent,1,Assumptions!AT$77)*RenewalRentFactor)))</f>
        <v/>
      </c>
      <c r="AU31" s="52">
        <f>IF(Assumptions!AU$74=0,0,IF(Assumptions!AU$72&lt;$C$19,0,IF(Assumptions!AU$72&lt;=$D$19,$E$19*$B$19/12*(1+$F$19)^INT((Assumptions!AU$72-$C$19)/12),IF(Assumptions!AU$72&lt;=$D$19+RetailDowntime,0,1)*$E$19*$B$19/12*INDEX(Cum_RetailRent,1,Assumptions!AU$77)*RenewalRentFactor)))</f>
        <v/>
      </c>
      <c r="AV31" s="52">
        <f>IF(Assumptions!AV$74=0,0,IF(Assumptions!AV$72&lt;$C$19,0,IF(Assumptions!AV$72&lt;=$D$19,$E$19*$B$19/12*(1+$F$19)^INT((Assumptions!AV$72-$C$19)/12),IF(Assumptions!AV$72&lt;=$D$19+RetailDowntime,0,1)*$E$19*$B$19/12*INDEX(Cum_RetailRent,1,Assumptions!AV$77)*RenewalRentFactor)))</f>
        <v/>
      </c>
      <c r="AW31" s="52">
        <f>IF(Assumptions!AW$74=0,0,IF(Assumptions!AW$72&lt;$C$19,0,IF(Assumptions!AW$72&lt;=$D$19,$E$19*$B$19/12*(1+$F$19)^INT((Assumptions!AW$72-$C$19)/12),IF(Assumptions!AW$72&lt;=$D$19+RetailDowntime,0,1)*$E$19*$B$19/12*INDEX(Cum_RetailRent,1,Assumptions!AW$77)*RenewalRentFactor)))</f>
        <v/>
      </c>
      <c r="AX31" s="52">
        <f>IF(Assumptions!AX$74=0,0,IF(Assumptions!AX$72&lt;$C$19,0,IF(Assumptions!AX$72&lt;=$D$19,$E$19*$B$19/12*(1+$F$19)^INT((Assumptions!AX$72-$C$19)/12),IF(Assumptions!AX$72&lt;=$D$19+RetailDowntime,0,1)*$E$19*$B$19/12*INDEX(Cum_RetailRent,1,Assumptions!AX$77)*RenewalRentFactor)))</f>
        <v/>
      </c>
      <c r="AY31" s="52">
        <f>IF(Assumptions!AY$74=0,0,IF(Assumptions!AY$72&lt;$C$19,0,IF(Assumptions!AY$72&lt;=$D$19,$E$19*$B$19/12*(1+$F$19)^INT((Assumptions!AY$72-$C$19)/12),IF(Assumptions!AY$72&lt;=$D$19+RetailDowntime,0,1)*$E$19*$B$19/12*INDEX(Cum_RetailRent,1,Assumptions!AY$77)*RenewalRentFactor)))</f>
        <v/>
      </c>
      <c r="AZ31" s="52">
        <f>IF(Assumptions!AZ$74=0,0,IF(Assumptions!AZ$72&lt;$C$19,0,IF(Assumptions!AZ$72&lt;=$D$19,$E$19*$B$19/12*(1+$F$19)^INT((Assumptions!AZ$72-$C$19)/12),IF(Assumptions!AZ$72&lt;=$D$19+RetailDowntime,0,1)*$E$19*$B$19/12*INDEX(Cum_RetailRent,1,Assumptions!AZ$77)*RenewalRentFactor)))</f>
        <v/>
      </c>
      <c r="BA31" s="52">
        <f>IF(Assumptions!BA$74=0,0,IF(Assumptions!BA$72&lt;$C$19,0,IF(Assumptions!BA$72&lt;=$D$19,$E$19*$B$19/12*(1+$F$19)^INT((Assumptions!BA$72-$C$19)/12),IF(Assumptions!BA$72&lt;=$D$19+RetailDowntime,0,1)*$E$19*$B$19/12*INDEX(Cum_RetailRent,1,Assumptions!BA$77)*RenewalRentFactor)))</f>
        <v/>
      </c>
      <c r="BB31" s="52">
        <f>IF(Assumptions!BB$74=0,0,IF(Assumptions!BB$72&lt;$C$19,0,IF(Assumptions!BB$72&lt;=$D$19,$E$19*$B$19/12*(1+$F$19)^INT((Assumptions!BB$72-$C$19)/12),IF(Assumptions!BB$72&lt;=$D$19+RetailDowntime,0,1)*$E$19*$B$19/12*INDEX(Cum_RetailRent,1,Assumptions!BB$77)*RenewalRentFactor)))</f>
        <v/>
      </c>
      <c r="BC31" s="52">
        <f>IF(Assumptions!BC$74=0,0,IF(Assumptions!BC$72&lt;$C$19,0,IF(Assumptions!BC$72&lt;=$D$19,$E$19*$B$19/12*(1+$F$19)^INT((Assumptions!BC$72-$C$19)/12),IF(Assumptions!BC$72&lt;=$D$19+RetailDowntime,0,1)*$E$19*$B$19/12*INDEX(Cum_RetailRent,1,Assumptions!BC$77)*RenewalRentFactor)))</f>
        <v/>
      </c>
      <c r="BD31" s="52">
        <f>IF(Assumptions!BD$74=0,0,IF(Assumptions!BD$72&lt;$C$19,0,IF(Assumptions!BD$72&lt;=$D$19,$E$19*$B$19/12*(1+$F$19)^INT((Assumptions!BD$72-$C$19)/12),IF(Assumptions!BD$72&lt;=$D$19+RetailDowntime,0,1)*$E$19*$B$19/12*INDEX(Cum_RetailRent,1,Assumptions!BD$77)*RenewalRentFactor)))</f>
        <v/>
      </c>
      <c r="BE31" s="52">
        <f>IF(Assumptions!BE$74=0,0,IF(Assumptions!BE$72&lt;$C$19,0,IF(Assumptions!BE$72&lt;=$D$19,$E$19*$B$19/12*(1+$F$19)^INT((Assumptions!BE$72-$C$19)/12),IF(Assumptions!BE$72&lt;=$D$19+RetailDowntime,0,1)*$E$19*$B$19/12*INDEX(Cum_RetailRent,1,Assumptions!BE$77)*RenewalRentFactor)))</f>
        <v/>
      </c>
      <c r="BF31" s="52">
        <f>IF(Assumptions!BF$74=0,0,IF(Assumptions!BF$72&lt;$C$19,0,IF(Assumptions!BF$72&lt;=$D$19,$E$19*$B$19/12*(1+$F$19)^INT((Assumptions!BF$72-$C$19)/12),IF(Assumptions!BF$72&lt;=$D$19+RetailDowntime,0,1)*$E$19*$B$19/12*INDEX(Cum_RetailRent,1,Assumptions!BF$77)*RenewalRentFactor)))</f>
        <v/>
      </c>
      <c r="BG31" s="52">
        <f>IF(Assumptions!BG$74=0,0,IF(Assumptions!BG$72&lt;$C$19,0,IF(Assumptions!BG$72&lt;=$D$19,$E$19*$B$19/12*(1+$F$19)^INT((Assumptions!BG$72-$C$19)/12),IF(Assumptions!BG$72&lt;=$D$19+RetailDowntime,0,1)*$E$19*$B$19/12*INDEX(Cum_RetailRent,1,Assumptions!BG$77)*RenewalRentFactor)))</f>
        <v/>
      </c>
      <c r="BH31" s="52">
        <f>IF(Assumptions!BH$74=0,0,IF(Assumptions!BH$72&lt;$C$19,0,IF(Assumptions!BH$72&lt;=$D$19,$E$19*$B$19/12*(1+$F$19)^INT((Assumptions!BH$72-$C$19)/12),IF(Assumptions!BH$72&lt;=$D$19+RetailDowntime,0,1)*$E$19*$B$19/12*INDEX(Cum_RetailRent,1,Assumptions!BH$77)*RenewalRentFactor)))</f>
        <v/>
      </c>
      <c r="BI31" s="52">
        <f>IF(Assumptions!BI$74=0,0,IF(Assumptions!BI$72&lt;$C$19,0,IF(Assumptions!BI$72&lt;=$D$19,$E$19*$B$19/12*(1+$F$19)^INT((Assumptions!BI$72-$C$19)/12),IF(Assumptions!BI$72&lt;=$D$19+RetailDowntime,0,1)*$E$19*$B$19/12*INDEX(Cum_RetailRent,1,Assumptions!BI$77)*RenewalRentFactor)))</f>
        <v/>
      </c>
      <c r="BJ31" s="52">
        <f>IF(Assumptions!BJ$74=0,0,IF(Assumptions!BJ$72&lt;$C$19,0,IF(Assumptions!BJ$72&lt;=$D$19,$E$19*$B$19/12*(1+$F$19)^INT((Assumptions!BJ$72-$C$19)/12),IF(Assumptions!BJ$72&lt;=$D$19+RetailDowntime,0,1)*$E$19*$B$19/12*INDEX(Cum_RetailRent,1,Assumptions!BJ$77)*RenewalRentFactor)))</f>
        <v/>
      </c>
      <c r="BK31" s="52">
        <f>IF(Assumptions!BK$74=0,0,IF(Assumptions!BK$72&lt;$C$19,0,IF(Assumptions!BK$72&lt;=$D$19,$E$19*$B$19/12*(1+$F$19)^INT((Assumptions!BK$72-$C$19)/12),IF(Assumptions!BK$72&lt;=$D$19+RetailDowntime,0,1)*$E$19*$B$19/12*INDEX(Cum_RetailRent,1,Assumptions!BK$77)*RenewalRentFactor)))</f>
        <v/>
      </c>
      <c r="BL31" s="52">
        <f>IF(Assumptions!BL$74=0,0,IF(Assumptions!BL$72&lt;$C$19,0,IF(Assumptions!BL$72&lt;=$D$19,$E$19*$B$19/12*(1+$F$19)^INT((Assumptions!BL$72-$C$19)/12),IF(Assumptions!BL$72&lt;=$D$19+RetailDowntime,0,1)*$E$19*$B$19/12*INDEX(Cum_RetailRent,1,Assumptions!BL$77)*RenewalRentFactor)))</f>
        <v/>
      </c>
      <c r="BM31" s="52">
        <f>IF(Assumptions!BM$74=0,0,IF(Assumptions!BM$72&lt;$C$19,0,IF(Assumptions!BM$72&lt;=$D$19,$E$19*$B$19/12*(1+$F$19)^INT((Assumptions!BM$72-$C$19)/12),IF(Assumptions!BM$72&lt;=$D$19+RetailDowntime,0,1)*$E$19*$B$19/12*INDEX(Cum_RetailRent,1,Assumptions!BM$77)*RenewalRentFactor)))</f>
        <v/>
      </c>
      <c r="BN31" s="52">
        <f>IF(Assumptions!BN$74=0,0,IF(Assumptions!BN$72&lt;$C$19,0,IF(Assumptions!BN$72&lt;=$D$19,$E$19*$B$19/12*(1+$F$19)^INT((Assumptions!BN$72-$C$19)/12),IF(Assumptions!BN$72&lt;=$D$19+RetailDowntime,0,1)*$E$19*$B$19/12*INDEX(Cum_RetailRent,1,Assumptions!BN$77)*RenewalRentFactor)))</f>
        <v/>
      </c>
      <c r="BO31" s="52">
        <f>IF(Assumptions!BO$74=0,0,IF(Assumptions!BO$72&lt;$C$19,0,IF(Assumptions!BO$72&lt;=$D$19,$E$19*$B$19/12*(1+$F$19)^INT((Assumptions!BO$72-$C$19)/12),IF(Assumptions!BO$72&lt;=$D$19+RetailDowntime,0,1)*$E$19*$B$19/12*INDEX(Cum_RetailRent,1,Assumptions!BO$77)*RenewalRentFactor)))</f>
        <v/>
      </c>
      <c r="BP31" s="52">
        <f>IF(Assumptions!BP$74=0,0,IF(Assumptions!BP$72&lt;$C$19,0,IF(Assumptions!BP$72&lt;=$D$19,$E$19*$B$19/12*(1+$F$19)^INT((Assumptions!BP$72-$C$19)/12),IF(Assumptions!BP$72&lt;=$D$19+RetailDowntime,0,1)*$E$19*$B$19/12*INDEX(Cum_RetailRent,1,Assumptions!BP$77)*RenewalRentFactor)))</f>
        <v/>
      </c>
      <c r="BQ31" s="52">
        <f>IF(Assumptions!BQ$74=0,0,IF(Assumptions!BQ$72&lt;$C$19,0,IF(Assumptions!BQ$72&lt;=$D$19,$E$19*$B$19/12*(1+$F$19)^INT((Assumptions!BQ$72-$C$19)/12),IF(Assumptions!BQ$72&lt;=$D$19+RetailDowntime,0,1)*$E$19*$B$19/12*INDEX(Cum_RetailRent,1,Assumptions!BQ$77)*RenewalRentFactor)))</f>
        <v/>
      </c>
      <c r="BR31" s="52">
        <f>IF(Assumptions!BR$74=0,0,IF(Assumptions!BR$72&lt;$C$19,0,IF(Assumptions!BR$72&lt;=$D$19,$E$19*$B$19/12*(1+$F$19)^INT((Assumptions!BR$72-$C$19)/12),IF(Assumptions!BR$72&lt;=$D$19+RetailDowntime,0,1)*$E$19*$B$19/12*INDEX(Cum_RetailRent,1,Assumptions!BR$77)*RenewalRentFactor)))</f>
        <v/>
      </c>
      <c r="BS31" s="52">
        <f>IF(Assumptions!BS$74=0,0,IF(Assumptions!BS$72&lt;$C$19,0,IF(Assumptions!BS$72&lt;=$D$19,$E$19*$B$19/12*(1+$F$19)^INT((Assumptions!BS$72-$C$19)/12),IF(Assumptions!BS$72&lt;=$D$19+RetailDowntime,0,1)*$E$19*$B$19/12*INDEX(Cum_RetailRent,1,Assumptions!BS$77)*RenewalRentFactor)))</f>
        <v/>
      </c>
      <c r="BT31" s="52">
        <f>IF(Assumptions!BT$74=0,0,IF(Assumptions!BT$72&lt;$C$19,0,IF(Assumptions!BT$72&lt;=$D$19,$E$19*$B$19/12*(1+$F$19)^INT((Assumptions!BT$72-$C$19)/12),IF(Assumptions!BT$72&lt;=$D$19+RetailDowntime,0,1)*$E$19*$B$19/12*INDEX(Cum_RetailRent,1,Assumptions!BT$77)*RenewalRentFactor)))</f>
        <v/>
      </c>
      <c r="BU31" s="52">
        <f>IF(Assumptions!BU$74=0,0,IF(Assumptions!BU$72&lt;$C$19,0,IF(Assumptions!BU$72&lt;=$D$19,$E$19*$B$19/12*(1+$F$19)^INT((Assumptions!BU$72-$C$19)/12),IF(Assumptions!BU$72&lt;=$D$19+RetailDowntime,0,1)*$E$19*$B$19/12*INDEX(Cum_RetailRent,1,Assumptions!BU$77)*RenewalRentFactor)))</f>
        <v/>
      </c>
      <c r="BV31" s="52">
        <f>IF(Assumptions!BV$74=0,0,IF(Assumptions!BV$72&lt;$C$19,0,IF(Assumptions!BV$72&lt;=$D$19,$E$19*$B$19/12*(1+$F$19)^INT((Assumptions!BV$72-$C$19)/12),IF(Assumptions!BV$72&lt;=$D$19+RetailDowntime,0,1)*$E$19*$B$19/12*INDEX(Cum_RetailRent,1,Assumptions!BV$77)*RenewalRentFactor)))</f>
        <v/>
      </c>
      <c r="BW31" s="52">
        <f>IF(Assumptions!BW$74=0,0,IF(Assumptions!BW$72&lt;$C$19,0,IF(Assumptions!BW$72&lt;=$D$19,$E$19*$B$19/12*(1+$F$19)^INT((Assumptions!BW$72-$C$19)/12),IF(Assumptions!BW$72&lt;=$D$19+RetailDowntime,0,1)*$E$19*$B$19/12*INDEX(Cum_RetailRent,1,Assumptions!BW$77)*RenewalRentFactor)))</f>
        <v/>
      </c>
      <c r="BX31" s="52">
        <f>IF(Assumptions!BX$74=0,0,IF(Assumptions!BX$72&lt;$C$19,0,IF(Assumptions!BX$72&lt;=$D$19,$E$19*$B$19/12*(1+$F$19)^INT((Assumptions!BX$72-$C$19)/12),IF(Assumptions!BX$72&lt;=$D$19+RetailDowntime,0,1)*$E$19*$B$19/12*INDEX(Cum_RetailRent,1,Assumptions!BX$77)*RenewalRentFactor)))</f>
        <v/>
      </c>
      <c r="BY31" s="52">
        <f>IF(Assumptions!BY$74=0,0,IF(Assumptions!BY$72&lt;$C$19,0,IF(Assumptions!BY$72&lt;=$D$19,$E$19*$B$19/12*(1+$F$19)^INT((Assumptions!BY$72-$C$19)/12),IF(Assumptions!BY$72&lt;=$D$19+RetailDowntime,0,1)*$E$19*$B$19/12*INDEX(Cum_RetailRent,1,Assumptions!BY$77)*RenewalRentFactor)))</f>
        <v/>
      </c>
      <c r="BZ31" s="52">
        <f>IF(Assumptions!BZ$74=0,0,IF(Assumptions!BZ$72&lt;$C$19,0,IF(Assumptions!BZ$72&lt;=$D$19,$E$19*$B$19/12*(1+$F$19)^INT((Assumptions!BZ$72-$C$19)/12),IF(Assumptions!BZ$72&lt;=$D$19+RetailDowntime,0,1)*$E$19*$B$19/12*INDEX(Cum_RetailRent,1,Assumptions!BZ$77)*RenewalRentFactor)))</f>
        <v/>
      </c>
      <c r="CA31" s="52">
        <f>IF(Assumptions!CA$74=0,0,IF(Assumptions!CA$72&lt;$C$19,0,IF(Assumptions!CA$72&lt;=$D$19,$E$19*$B$19/12*(1+$F$19)^INT((Assumptions!CA$72-$C$19)/12),IF(Assumptions!CA$72&lt;=$D$19+RetailDowntime,0,1)*$E$19*$B$19/12*INDEX(Cum_RetailRent,1,Assumptions!CA$77)*RenewalRentFactor)))</f>
        <v/>
      </c>
      <c r="CB31" s="52">
        <f>IF(Assumptions!CB$74=0,0,IF(Assumptions!CB$72&lt;$C$19,0,IF(Assumptions!CB$72&lt;=$D$19,$E$19*$B$19/12*(1+$F$19)^INT((Assumptions!CB$72-$C$19)/12),IF(Assumptions!CB$72&lt;=$D$19+RetailDowntime,0,1)*$E$19*$B$19/12*INDEX(Cum_RetailRent,1,Assumptions!CB$77)*RenewalRentFactor)))</f>
        <v/>
      </c>
      <c r="CC31" s="52">
        <f>IF(Assumptions!CC$74=0,0,IF(Assumptions!CC$72&lt;$C$19,0,IF(Assumptions!CC$72&lt;=$D$19,$E$19*$B$19/12*(1+$F$19)^INT((Assumptions!CC$72-$C$19)/12),IF(Assumptions!CC$72&lt;=$D$19+RetailDowntime,0,1)*$E$19*$B$19/12*INDEX(Cum_RetailRent,1,Assumptions!CC$77)*RenewalRentFactor)))</f>
        <v/>
      </c>
      <c r="CD31" s="52">
        <f>IF(Assumptions!CD$74=0,0,IF(Assumptions!CD$72&lt;$C$19,0,IF(Assumptions!CD$72&lt;=$D$19,$E$19*$B$19/12*(1+$F$19)^INT((Assumptions!CD$72-$C$19)/12),IF(Assumptions!CD$72&lt;=$D$19+RetailDowntime,0,1)*$E$19*$B$19/12*INDEX(Cum_RetailRent,1,Assumptions!CD$77)*RenewalRentFactor)))</f>
        <v/>
      </c>
      <c r="CE31" s="52">
        <f>IF(Assumptions!CE$74=0,0,IF(Assumptions!CE$72&lt;$C$19,0,IF(Assumptions!CE$72&lt;=$D$19,$E$19*$B$19/12*(1+$F$19)^INT((Assumptions!CE$72-$C$19)/12),IF(Assumptions!CE$72&lt;=$D$19+RetailDowntime,0,1)*$E$19*$B$19/12*INDEX(Cum_RetailRent,1,Assumptions!CE$77)*RenewalRentFactor)))</f>
        <v/>
      </c>
      <c r="CF31" s="52">
        <f>IF(Assumptions!CF$74=0,0,IF(Assumptions!CF$72&lt;$C$19,0,IF(Assumptions!CF$72&lt;=$D$19,$E$19*$B$19/12*(1+$F$19)^INT((Assumptions!CF$72-$C$19)/12),IF(Assumptions!CF$72&lt;=$D$19+RetailDowntime,0,1)*$E$19*$B$19/12*INDEX(Cum_RetailRent,1,Assumptions!CF$77)*RenewalRentFactor)))</f>
        <v/>
      </c>
      <c r="CG31" s="52">
        <f>IF(Assumptions!CG$74=0,0,IF(Assumptions!CG$72&lt;$C$19,0,IF(Assumptions!CG$72&lt;=$D$19,$E$19*$B$19/12*(1+$F$19)^INT((Assumptions!CG$72-$C$19)/12),IF(Assumptions!CG$72&lt;=$D$19+RetailDowntime,0,1)*$E$19*$B$19/12*INDEX(Cum_RetailRent,1,Assumptions!CG$77)*RenewalRentFactor)))</f>
        <v/>
      </c>
      <c r="CH31" s="52">
        <f>IF(Assumptions!CH$74=0,0,IF(Assumptions!CH$72&lt;$C$19,0,IF(Assumptions!CH$72&lt;=$D$19,$E$19*$B$19/12*(1+$F$19)^INT((Assumptions!CH$72-$C$19)/12),IF(Assumptions!CH$72&lt;=$D$19+RetailDowntime,0,1)*$E$19*$B$19/12*INDEX(Cum_RetailRent,1,Assumptions!CH$77)*RenewalRentFactor)))</f>
        <v/>
      </c>
      <c r="CI31" s="52">
        <f>IF(Assumptions!CI$74=0,0,IF(Assumptions!CI$72&lt;$C$19,0,IF(Assumptions!CI$72&lt;=$D$19,$E$19*$B$19/12*(1+$F$19)^INT((Assumptions!CI$72-$C$19)/12),IF(Assumptions!CI$72&lt;=$D$19+RetailDowntime,0,1)*$E$19*$B$19/12*INDEX(Cum_RetailRent,1,Assumptions!CI$77)*RenewalRentFactor)))</f>
        <v/>
      </c>
      <c r="CJ31" s="52">
        <f>IF(Assumptions!CJ$74=0,0,IF(Assumptions!CJ$72&lt;$C$19,0,IF(Assumptions!CJ$72&lt;=$D$19,$E$19*$B$19/12*(1+$F$19)^INT((Assumptions!CJ$72-$C$19)/12),IF(Assumptions!CJ$72&lt;=$D$19+RetailDowntime,0,1)*$E$19*$B$19/12*INDEX(Cum_RetailRent,1,Assumptions!CJ$77)*RenewalRentFactor)))</f>
        <v/>
      </c>
      <c r="CK31" s="52">
        <f>IF(Assumptions!CK$74=0,0,IF(Assumptions!CK$72&lt;$C$19,0,IF(Assumptions!CK$72&lt;=$D$19,$E$19*$B$19/12*(1+$F$19)^INT((Assumptions!CK$72-$C$19)/12),IF(Assumptions!CK$72&lt;=$D$19+RetailDowntime,0,1)*$E$19*$B$19/12*INDEX(Cum_RetailRent,1,Assumptions!CK$77)*RenewalRentFactor)))</f>
        <v/>
      </c>
      <c r="CL31" s="52">
        <f>IF(Assumptions!CL$74=0,0,IF(Assumptions!CL$72&lt;$C$19,0,IF(Assumptions!CL$72&lt;=$D$19,$E$19*$B$19/12*(1+$F$19)^INT((Assumptions!CL$72-$C$19)/12),IF(Assumptions!CL$72&lt;=$D$19+RetailDowntime,0,1)*$E$19*$B$19/12*INDEX(Cum_RetailRent,1,Assumptions!CL$77)*RenewalRentFactor)))</f>
        <v/>
      </c>
      <c r="CM31" s="52">
        <f>IF(Assumptions!CM$74=0,0,IF(Assumptions!CM$72&lt;$C$19,0,IF(Assumptions!CM$72&lt;=$D$19,$E$19*$B$19/12*(1+$F$19)^INT((Assumptions!CM$72-$C$19)/12),IF(Assumptions!CM$72&lt;=$D$19+RetailDowntime,0,1)*$E$19*$B$19/12*INDEX(Cum_RetailRent,1,Assumptions!CM$77)*RenewalRentFactor)))</f>
        <v/>
      </c>
      <c r="CN31" s="52">
        <f>IF(Assumptions!CN$74=0,0,IF(Assumptions!CN$72&lt;$C$19,0,IF(Assumptions!CN$72&lt;=$D$19,$E$19*$B$19/12*(1+$F$19)^INT((Assumptions!CN$72-$C$19)/12),IF(Assumptions!CN$72&lt;=$D$19+RetailDowntime,0,1)*$E$19*$B$19/12*INDEX(Cum_RetailRent,1,Assumptions!CN$77)*RenewalRentFactor)))</f>
        <v/>
      </c>
      <c r="CO31" s="52">
        <f>IF(Assumptions!CO$74=0,0,IF(Assumptions!CO$72&lt;$C$19,0,IF(Assumptions!CO$72&lt;=$D$19,$E$19*$B$19/12*(1+$F$19)^INT((Assumptions!CO$72-$C$19)/12),IF(Assumptions!CO$72&lt;=$D$19+RetailDowntime,0,1)*$E$19*$B$19/12*INDEX(Cum_RetailRent,1,Assumptions!CO$77)*RenewalRentFactor)))</f>
        <v/>
      </c>
      <c r="CP31" s="52">
        <f>IF(Assumptions!CP$74=0,0,IF(Assumptions!CP$72&lt;$C$19,0,IF(Assumptions!CP$72&lt;=$D$19,$E$19*$B$19/12*(1+$F$19)^INT((Assumptions!CP$72-$C$19)/12),IF(Assumptions!CP$72&lt;=$D$19+RetailDowntime,0,1)*$E$19*$B$19/12*INDEX(Cum_RetailRent,1,Assumptions!CP$77)*RenewalRentFactor)))</f>
        <v/>
      </c>
      <c r="CQ31" s="52">
        <f>IF(Assumptions!CQ$74=0,0,IF(Assumptions!CQ$72&lt;$C$19,0,IF(Assumptions!CQ$72&lt;=$D$19,$E$19*$B$19/12*(1+$F$19)^INT((Assumptions!CQ$72-$C$19)/12),IF(Assumptions!CQ$72&lt;=$D$19+RetailDowntime,0,1)*$E$19*$B$19/12*INDEX(Cum_RetailRent,1,Assumptions!CQ$77)*RenewalRentFactor)))</f>
        <v/>
      </c>
      <c r="CR31" s="52">
        <f>IF(Assumptions!CR$74=0,0,IF(Assumptions!CR$72&lt;$C$19,0,IF(Assumptions!CR$72&lt;=$D$19,$E$19*$B$19/12*(1+$F$19)^INT((Assumptions!CR$72-$C$19)/12),IF(Assumptions!CR$72&lt;=$D$19+RetailDowntime,0,1)*$E$19*$B$19/12*INDEX(Cum_RetailRent,1,Assumptions!CR$77)*RenewalRentFactor)))</f>
        <v/>
      </c>
      <c r="CS31" s="52">
        <f>IF(Assumptions!CS$74=0,0,IF(Assumptions!CS$72&lt;$C$19,0,IF(Assumptions!CS$72&lt;=$D$19,$E$19*$B$19/12*(1+$F$19)^INT((Assumptions!CS$72-$C$19)/12),IF(Assumptions!CS$72&lt;=$D$19+RetailDowntime,0,1)*$E$19*$B$19/12*INDEX(Cum_RetailRent,1,Assumptions!CS$77)*RenewalRentFactor)))</f>
        <v/>
      </c>
      <c r="CT31" s="52">
        <f>IF(Assumptions!CT$74=0,0,IF(Assumptions!CT$72&lt;$C$19,0,IF(Assumptions!CT$72&lt;=$D$19,$E$19*$B$19/12*(1+$F$19)^INT((Assumptions!CT$72-$C$19)/12),IF(Assumptions!CT$72&lt;=$D$19+RetailDowntime,0,1)*$E$19*$B$19/12*INDEX(Cum_RetailRent,1,Assumptions!CT$77)*RenewalRentFactor)))</f>
        <v/>
      </c>
      <c r="CU31" s="52">
        <f>IF(Assumptions!CU$74=0,0,IF(Assumptions!CU$72&lt;$C$19,0,IF(Assumptions!CU$72&lt;=$D$19,$E$19*$B$19/12*(1+$F$19)^INT((Assumptions!CU$72-$C$19)/12),IF(Assumptions!CU$72&lt;=$D$19+RetailDowntime,0,1)*$E$19*$B$19/12*INDEX(Cum_RetailRent,1,Assumptions!CU$77)*RenewalRentFactor)))</f>
        <v/>
      </c>
      <c r="CV31" s="52">
        <f>IF(Assumptions!CV$74=0,0,IF(Assumptions!CV$72&lt;$C$19,0,IF(Assumptions!CV$72&lt;=$D$19,$E$19*$B$19/12*(1+$F$19)^INT((Assumptions!CV$72-$C$19)/12),IF(Assumptions!CV$72&lt;=$D$19+RetailDowntime,0,1)*$E$19*$B$19/12*INDEX(Cum_RetailRent,1,Assumptions!CV$77)*RenewalRentFactor)))</f>
        <v/>
      </c>
      <c r="CW31" s="52">
        <f>IF(Assumptions!CW$74=0,0,IF(Assumptions!CW$72&lt;$C$19,0,IF(Assumptions!CW$72&lt;=$D$19,$E$19*$B$19/12*(1+$F$19)^INT((Assumptions!CW$72-$C$19)/12),IF(Assumptions!CW$72&lt;=$D$19+RetailDowntime,0,1)*$E$19*$B$19/12*INDEX(Cum_RetailRent,1,Assumptions!CW$77)*RenewalRentFactor)))</f>
        <v/>
      </c>
      <c r="CX31" s="52">
        <f>IF(Assumptions!CX$74=0,0,IF(Assumptions!CX$72&lt;$C$19,0,IF(Assumptions!CX$72&lt;=$D$19,$E$19*$B$19/12*(1+$F$19)^INT((Assumptions!CX$72-$C$19)/12),IF(Assumptions!CX$72&lt;=$D$19+RetailDowntime,0,1)*$E$19*$B$19/12*INDEX(Cum_RetailRent,1,Assumptions!CX$77)*RenewalRentFactor)))</f>
        <v/>
      </c>
      <c r="CY31" s="52">
        <f>IF(Assumptions!CY$74=0,0,IF(Assumptions!CY$72&lt;$C$19,0,IF(Assumptions!CY$72&lt;=$D$19,$E$19*$B$19/12*(1+$F$19)^INT((Assumptions!CY$72-$C$19)/12),IF(Assumptions!CY$72&lt;=$D$19+RetailDowntime,0,1)*$E$19*$B$19/12*INDEX(Cum_RetailRent,1,Assumptions!CY$77)*RenewalRentFactor)))</f>
        <v/>
      </c>
      <c r="CZ31" s="52">
        <f>IF(Assumptions!CZ$74=0,0,IF(Assumptions!CZ$72&lt;$C$19,0,IF(Assumptions!CZ$72&lt;=$D$19,$E$19*$B$19/12*(1+$F$19)^INT((Assumptions!CZ$72-$C$19)/12),IF(Assumptions!CZ$72&lt;=$D$19+RetailDowntime,0,1)*$E$19*$B$19/12*INDEX(Cum_RetailRent,1,Assumptions!CZ$77)*RenewalRentFactor)))</f>
        <v/>
      </c>
      <c r="DA31" s="52">
        <f>IF(Assumptions!DA$74=0,0,IF(Assumptions!DA$72&lt;$C$19,0,IF(Assumptions!DA$72&lt;=$D$19,$E$19*$B$19/12*(1+$F$19)^INT((Assumptions!DA$72-$C$19)/12),IF(Assumptions!DA$72&lt;=$D$19+RetailDowntime,0,1)*$E$19*$B$19/12*INDEX(Cum_RetailRent,1,Assumptions!DA$77)*RenewalRentFactor)))</f>
        <v/>
      </c>
      <c r="DB31" s="52">
        <f>IF(Assumptions!DB$74=0,0,IF(Assumptions!DB$72&lt;$C$19,0,IF(Assumptions!DB$72&lt;=$D$19,$E$19*$B$19/12*(1+$F$19)^INT((Assumptions!DB$72-$C$19)/12),IF(Assumptions!DB$72&lt;=$D$19+RetailDowntime,0,1)*$E$19*$B$19/12*INDEX(Cum_RetailRent,1,Assumptions!DB$77)*RenewalRentFactor)))</f>
        <v/>
      </c>
      <c r="DC31" s="52">
        <f>IF(Assumptions!DC$74=0,0,IF(Assumptions!DC$72&lt;$C$19,0,IF(Assumptions!DC$72&lt;=$D$19,$E$19*$B$19/12*(1+$F$19)^INT((Assumptions!DC$72-$C$19)/12),IF(Assumptions!DC$72&lt;=$D$19+RetailDowntime,0,1)*$E$19*$B$19/12*INDEX(Cum_RetailRent,1,Assumptions!DC$77)*RenewalRentFactor)))</f>
        <v/>
      </c>
      <c r="DD31" s="52">
        <f>IF(Assumptions!DD$74=0,0,IF(Assumptions!DD$72&lt;$C$19,0,IF(Assumptions!DD$72&lt;=$D$19,$E$19*$B$19/12*(1+$F$19)^INT((Assumptions!DD$72-$C$19)/12),IF(Assumptions!DD$72&lt;=$D$19+RetailDowntime,0,1)*$E$19*$B$19/12*INDEX(Cum_RetailRent,1,Assumptions!DD$77)*RenewalRentFactor)))</f>
        <v/>
      </c>
      <c r="DE31" s="52">
        <f>IF(Assumptions!DE$74=0,0,IF(Assumptions!DE$72&lt;$C$19,0,IF(Assumptions!DE$72&lt;=$D$19,$E$19*$B$19/12*(1+$F$19)^INT((Assumptions!DE$72-$C$19)/12),IF(Assumptions!DE$72&lt;=$D$19+RetailDowntime,0,1)*$E$19*$B$19/12*INDEX(Cum_RetailRent,1,Assumptions!DE$77)*RenewalRentFactor)))</f>
        <v/>
      </c>
      <c r="DF31" s="52">
        <f>IF(Assumptions!DF$74=0,0,IF(Assumptions!DF$72&lt;$C$19,0,IF(Assumptions!DF$72&lt;=$D$19,$E$19*$B$19/12*(1+$F$19)^INT((Assumptions!DF$72-$C$19)/12),IF(Assumptions!DF$72&lt;=$D$19+RetailDowntime,0,1)*$E$19*$B$19/12*INDEX(Cum_RetailRent,1,Assumptions!DF$77)*RenewalRentFactor)))</f>
        <v/>
      </c>
      <c r="DG31" s="52">
        <f>IF(Assumptions!DG$74=0,0,IF(Assumptions!DG$72&lt;$C$19,0,IF(Assumptions!DG$72&lt;=$D$19,$E$19*$B$19/12*(1+$F$19)^INT((Assumptions!DG$72-$C$19)/12),IF(Assumptions!DG$72&lt;=$D$19+RetailDowntime,0,1)*$E$19*$B$19/12*INDEX(Cum_RetailRent,1,Assumptions!DG$77)*RenewalRentFactor)))</f>
        <v/>
      </c>
      <c r="DH31" s="52">
        <f>IF(Assumptions!DH$74=0,0,IF(Assumptions!DH$72&lt;$C$19,0,IF(Assumptions!DH$72&lt;=$D$19,$E$19*$B$19/12*(1+$F$19)^INT((Assumptions!DH$72-$C$19)/12),IF(Assumptions!DH$72&lt;=$D$19+RetailDowntime,0,1)*$E$19*$B$19/12*INDEX(Cum_RetailRent,1,Assumptions!DH$77)*RenewalRentFactor)))</f>
        <v/>
      </c>
      <c r="DI31" s="52">
        <f>IF(Assumptions!DI$74=0,0,IF(Assumptions!DI$72&lt;$C$19,0,IF(Assumptions!DI$72&lt;=$D$19,$E$19*$B$19/12*(1+$F$19)^INT((Assumptions!DI$72-$C$19)/12),IF(Assumptions!DI$72&lt;=$D$19+RetailDowntime,0,1)*$E$19*$B$19/12*INDEX(Cum_RetailRent,1,Assumptions!DI$77)*RenewalRentFactor)))</f>
        <v/>
      </c>
      <c r="DJ31" s="52">
        <f>IF(Assumptions!DJ$74=0,0,IF(Assumptions!DJ$72&lt;$C$19,0,IF(Assumptions!DJ$72&lt;=$D$19,$E$19*$B$19/12*(1+$F$19)^INT((Assumptions!DJ$72-$C$19)/12),IF(Assumptions!DJ$72&lt;=$D$19+RetailDowntime,0,1)*$E$19*$B$19/12*INDEX(Cum_RetailRent,1,Assumptions!DJ$77)*RenewalRentFactor)))</f>
        <v/>
      </c>
      <c r="DK31" s="52">
        <f>IF(Assumptions!DK$74=0,0,IF(Assumptions!DK$72&lt;$C$19,0,IF(Assumptions!DK$72&lt;=$D$19,$E$19*$B$19/12*(1+$F$19)^INT((Assumptions!DK$72-$C$19)/12),IF(Assumptions!DK$72&lt;=$D$19+RetailDowntime,0,1)*$E$19*$B$19/12*INDEX(Cum_RetailRent,1,Assumptions!DK$77)*RenewalRentFactor)))</f>
        <v/>
      </c>
      <c r="DL31" s="52">
        <f>IF(Assumptions!DL$74=0,0,IF(Assumptions!DL$72&lt;$C$19,0,IF(Assumptions!DL$72&lt;=$D$19,$E$19*$B$19/12*(1+$F$19)^INT((Assumptions!DL$72-$C$19)/12),IF(Assumptions!DL$72&lt;=$D$19+RetailDowntime,0,1)*$E$19*$B$19/12*INDEX(Cum_RetailRent,1,Assumptions!DL$77)*RenewalRentFactor)))</f>
        <v/>
      </c>
      <c r="DM31" s="52">
        <f>IF(Assumptions!DM$74=0,0,IF(Assumptions!DM$72&lt;$C$19,0,IF(Assumptions!DM$72&lt;=$D$19,$E$19*$B$19/12*(1+$F$19)^INT((Assumptions!DM$72-$C$19)/12),IF(Assumptions!DM$72&lt;=$D$19+RetailDowntime,0,1)*$E$19*$B$19/12*INDEX(Cum_RetailRent,1,Assumptions!DM$77)*RenewalRentFactor)))</f>
        <v/>
      </c>
      <c r="DN31" s="52">
        <f>IF(Assumptions!DN$74=0,0,IF(Assumptions!DN$72&lt;$C$19,0,IF(Assumptions!DN$72&lt;=$D$19,$E$19*$B$19/12*(1+$F$19)^INT((Assumptions!DN$72-$C$19)/12),IF(Assumptions!DN$72&lt;=$D$19+RetailDowntime,0,1)*$E$19*$B$19/12*INDEX(Cum_RetailRent,1,Assumptions!DN$77)*RenewalRentFactor)))</f>
        <v/>
      </c>
      <c r="DO31" s="52">
        <f>IF(Assumptions!DO$74=0,0,IF(Assumptions!DO$72&lt;$C$19,0,IF(Assumptions!DO$72&lt;=$D$19,$E$19*$B$19/12*(1+$F$19)^INT((Assumptions!DO$72-$C$19)/12),IF(Assumptions!DO$72&lt;=$D$19+RetailDowntime,0,1)*$E$19*$B$19/12*INDEX(Cum_RetailRent,1,Assumptions!DO$77)*RenewalRentFactor)))</f>
        <v/>
      </c>
      <c r="DP31" s="52">
        <f>IF(Assumptions!DP$74=0,0,IF(Assumptions!DP$72&lt;$C$19,0,IF(Assumptions!DP$72&lt;=$D$19,$E$19*$B$19/12*(1+$F$19)^INT((Assumptions!DP$72-$C$19)/12),IF(Assumptions!DP$72&lt;=$D$19+RetailDowntime,0,1)*$E$19*$B$19/12*INDEX(Cum_RetailRent,1,Assumptions!DP$77)*RenewalRentFactor)))</f>
        <v/>
      </c>
      <c r="DQ31" s="52">
        <f>IF(Assumptions!DQ$74=0,0,IF(Assumptions!DQ$72&lt;$C$19,0,IF(Assumptions!DQ$72&lt;=$D$19,$E$19*$B$19/12*(1+$F$19)^INT((Assumptions!DQ$72-$C$19)/12),IF(Assumptions!DQ$72&lt;=$D$19+RetailDowntime,0,1)*$E$19*$B$19/12*INDEX(Cum_RetailRent,1,Assumptions!DQ$77)*RenewalRentFactor)))</f>
        <v/>
      </c>
      <c r="DR31" s="52">
        <f>IF(Assumptions!DR$74=0,0,IF(Assumptions!DR$72&lt;$C$19,0,IF(Assumptions!DR$72&lt;=$D$19,$E$19*$B$19/12*(1+$F$19)^INT((Assumptions!DR$72-$C$19)/12),IF(Assumptions!DR$72&lt;=$D$19+RetailDowntime,0,1)*$E$19*$B$19/12*INDEX(Cum_RetailRent,1,Assumptions!DR$77)*RenewalRentFactor)))</f>
        <v/>
      </c>
      <c r="DS31" s="52">
        <f>IF(Assumptions!DS$74=0,0,IF(Assumptions!DS$72&lt;$C$19,0,IF(Assumptions!DS$72&lt;=$D$19,$E$19*$B$19/12*(1+$F$19)^INT((Assumptions!DS$72-$C$19)/12),IF(Assumptions!DS$72&lt;=$D$19+RetailDowntime,0,1)*$E$19*$B$19/12*INDEX(Cum_RetailRent,1,Assumptions!DS$77)*RenewalRentFactor)))</f>
        <v/>
      </c>
      <c r="DT31" s="52">
        <f>IF(Assumptions!DT$74=0,0,IF(Assumptions!DT$72&lt;$C$19,0,IF(Assumptions!DT$72&lt;=$D$19,$E$19*$B$19/12*(1+$F$19)^INT((Assumptions!DT$72-$C$19)/12),IF(Assumptions!DT$72&lt;=$D$19+RetailDowntime,0,1)*$E$19*$B$19/12*INDEX(Cum_RetailRent,1,Assumptions!DT$77)*RenewalRentFactor)))</f>
        <v/>
      </c>
    </row>
    <row r="32">
      <c r="A32" s="10" t="inlineStr">
        <is>
          <t xml:space="preserve">  Fitness</t>
        </is>
      </c>
      <c r="E32" s="52">
        <f>IF(Assumptions!E$74=0,0,IF(Assumptions!E$72&lt;$C$20,0,IF(Assumptions!E$72&lt;=$D$20,$E$20*$B$20/12*(1+$F$20)^INT((Assumptions!E$72-$C$20)/12),IF(Assumptions!E$72&lt;=$D$20+RetailDowntime,0,1)*$E$20*$B$20/12*INDEX(Cum_RetailRent,1,Assumptions!E$77)*RenewalRentFactor)))</f>
        <v/>
      </c>
      <c r="F32" s="52">
        <f>IF(Assumptions!F$74=0,0,IF(Assumptions!F$72&lt;$C$20,0,IF(Assumptions!F$72&lt;=$D$20,$E$20*$B$20/12*(1+$F$20)^INT((Assumptions!F$72-$C$20)/12),IF(Assumptions!F$72&lt;=$D$20+RetailDowntime,0,1)*$E$20*$B$20/12*INDEX(Cum_RetailRent,1,Assumptions!F$77)*RenewalRentFactor)))</f>
        <v/>
      </c>
      <c r="G32" s="52">
        <f>IF(Assumptions!G$74=0,0,IF(Assumptions!G$72&lt;$C$20,0,IF(Assumptions!G$72&lt;=$D$20,$E$20*$B$20/12*(1+$F$20)^INT((Assumptions!G$72-$C$20)/12),IF(Assumptions!G$72&lt;=$D$20+RetailDowntime,0,1)*$E$20*$B$20/12*INDEX(Cum_RetailRent,1,Assumptions!G$77)*RenewalRentFactor)))</f>
        <v/>
      </c>
      <c r="H32" s="52">
        <f>IF(Assumptions!H$74=0,0,IF(Assumptions!H$72&lt;$C$20,0,IF(Assumptions!H$72&lt;=$D$20,$E$20*$B$20/12*(1+$F$20)^INT((Assumptions!H$72-$C$20)/12),IF(Assumptions!H$72&lt;=$D$20+RetailDowntime,0,1)*$E$20*$B$20/12*INDEX(Cum_RetailRent,1,Assumptions!H$77)*RenewalRentFactor)))</f>
        <v/>
      </c>
      <c r="I32" s="52">
        <f>IF(Assumptions!I$74=0,0,IF(Assumptions!I$72&lt;$C$20,0,IF(Assumptions!I$72&lt;=$D$20,$E$20*$B$20/12*(1+$F$20)^INT((Assumptions!I$72-$C$20)/12),IF(Assumptions!I$72&lt;=$D$20+RetailDowntime,0,1)*$E$20*$B$20/12*INDEX(Cum_RetailRent,1,Assumptions!I$77)*RenewalRentFactor)))</f>
        <v/>
      </c>
      <c r="J32" s="52">
        <f>IF(Assumptions!J$74=0,0,IF(Assumptions!J$72&lt;$C$20,0,IF(Assumptions!J$72&lt;=$D$20,$E$20*$B$20/12*(1+$F$20)^INT((Assumptions!J$72-$C$20)/12),IF(Assumptions!J$72&lt;=$D$20+RetailDowntime,0,1)*$E$20*$B$20/12*INDEX(Cum_RetailRent,1,Assumptions!J$77)*RenewalRentFactor)))</f>
        <v/>
      </c>
      <c r="K32" s="52">
        <f>IF(Assumptions!K$74=0,0,IF(Assumptions!K$72&lt;$C$20,0,IF(Assumptions!K$72&lt;=$D$20,$E$20*$B$20/12*(1+$F$20)^INT((Assumptions!K$72-$C$20)/12),IF(Assumptions!K$72&lt;=$D$20+RetailDowntime,0,1)*$E$20*$B$20/12*INDEX(Cum_RetailRent,1,Assumptions!K$77)*RenewalRentFactor)))</f>
        <v/>
      </c>
      <c r="L32" s="52">
        <f>IF(Assumptions!L$74=0,0,IF(Assumptions!L$72&lt;$C$20,0,IF(Assumptions!L$72&lt;=$D$20,$E$20*$B$20/12*(1+$F$20)^INT((Assumptions!L$72-$C$20)/12),IF(Assumptions!L$72&lt;=$D$20+RetailDowntime,0,1)*$E$20*$B$20/12*INDEX(Cum_RetailRent,1,Assumptions!L$77)*RenewalRentFactor)))</f>
        <v/>
      </c>
      <c r="M32" s="52">
        <f>IF(Assumptions!M$74=0,0,IF(Assumptions!M$72&lt;$C$20,0,IF(Assumptions!M$72&lt;=$D$20,$E$20*$B$20/12*(1+$F$20)^INT((Assumptions!M$72-$C$20)/12),IF(Assumptions!M$72&lt;=$D$20+RetailDowntime,0,1)*$E$20*$B$20/12*INDEX(Cum_RetailRent,1,Assumptions!M$77)*RenewalRentFactor)))</f>
        <v/>
      </c>
      <c r="N32" s="52">
        <f>IF(Assumptions!N$74=0,0,IF(Assumptions!N$72&lt;$C$20,0,IF(Assumptions!N$72&lt;=$D$20,$E$20*$B$20/12*(1+$F$20)^INT((Assumptions!N$72-$C$20)/12),IF(Assumptions!N$72&lt;=$D$20+RetailDowntime,0,1)*$E$20*$B$20/12*INDEX(Cum_RetailRent,1,Assumptions!N$77)*RenewalRentFactor)))</f>
        <v/>
      </c>
      <c r="O32" s="52">
        <f>IF(Assumptions!O$74=0,0,IF(Assumptions!O$72&lt;$C$20,0,IF(Assumptions!O$72&lt;=$D$20,$E$20*$B$20/12*(1+$F$20)^INT((Assumptions!O$72-$C$20)/12),IF(Assumptions!O$72&lt;=$D$20+RetailDowntime,0,1)*$E$20*$B$20/12*INDEX(Cum_RetailRent,1,Assumptions!O$77)*RenewalRentFactor)))</f>
        <v/>
      </c>
      <c r="P32" s="52">
        <f>IF(Assumptions!P$74=0,0,IF(Assumptions!P$72&lt;$C$20,0,IF(Assumptions!P$72&lt;=$D$20,$E$20*$B$20/12*(1+$F$20)^INT((Assumptions!P$72-$C$20)/12),IF(Assumptions!P$72&lt;=$D$20+RetailDowntime,0,1)*$E$20*$B$20/12*INDEX(Cum_RetailRent,1,Assumptions!P$77)*RenewalRentFactor)))</f>
        <v/>
      </c>
      <c r="Q32" s="52">
        <f>IF(Assumptions!Q$74=0,0,IF(Assumptions!Q$72&lt;$C$20,0,IF(Assumptions!Q$72&lt;=$D$20,$E$20*$B$20/12*(1+$F$20)^INT((Assumptions!Q$72-$C$20)/12),IF(Assumptions!Q$72&lt;=$D$20+RetailDowntime,0,1)*$E$20*$B$20/12*INDEX(Cum_RetailRent,1,Assumptions!Q$77)*RenewalRentFactor)))</f>
        <v/>
      </c>
      <c r="R32" s="52">
        <f>IF(Assumptions!R$74=0,0,IF(Assumptions!R$72&lt;$C$20,0,IF(Assumptions!R$72&lt;=$D$20,$E$20*$B$20/12*(1+$F$20)^INT((Assumptions!R$72-$C$20)/12),IF(Assumptions!R$72&lt;=$D$20+RetailDowntime,0,1)*$E$20*$B$20/12*INDEX(Cum_RetailRent,1,Assumptions!R$77)*RenewalRentFactor)))</f>
        <v/>
      </c>
      <c r="S32" s="52">
        <f>IF(Assumptions!S$74=0,0,IF(Assumptions!S$72&lt;$C$20,0,IF(Assumptions!S$72&lt;=$D$20,$E$20*$B$20/12*(1+$F$20)^INT((Assumptions!S$72-$C$20)/12),IF(Assumptions!S$72&lt;=$D$20+RetailDowntime,0,1)*$E$20*$B$20/12*INDEX(Cum_RetailRent,1,Assumptions!S$77)*RenewalRentFactor)))</f>
        <v/>
      </c>
      <c r="T32" s="52">
        <f>IF(Assumptions!T$74=0,0,IF(Assumptions!T$72&lt;$C$20,0,IF(Assumptions!T$72&lt;=$D$20,$E$20*$B$20/12*(1+$F$20)^INT((Assumptions!T$72-$C$20)/12),IF(Assumptions!T$72&lt;=$D$20+RetailDowntime,0,1)*$E$20*$B$20/12*INDEX(Cum_RetailRent,1,Assumptions!T$77)*RenewalRentFactor)))</f>
        <v/>
      </c>
      <c r="U32" s="52">
        <f>IF(Assumptions!U$74=0,0,IF(Assumptions!U$72&lt;$C$20,0,IF(Assumptions!U$72&lt;=$D$20,$E$20*$B$20/12*(1+$F$20)^INT((Assumptions!U$72-$C$20)/12),IF(Assumptions!U$72&lt;=$D$20+RetailDowntime,0,1)*$E$20*$B$20/12*INDEX(Cum_RetailRent,1,Assumptions!U$77)*RenewalRentFactor)))</f>
        <v/>
      </c>
      <c r="V32" s="52">
        <f>IF(Assumptions!V$74=0,0,IF(Assumptions!V$72&lt;$C$20,0,IF(Assumptions!V$72&lt;=$D$20,$E$20*$B$20/12*(1+$F$20)^INT((Assumptions!V$72-$C$20)/12),IF(Assumptions!V$72&lt;=$D$20+RetailDowntime,0,1)*$E$20*$B$20/12*INDEX(Cum_RetailRent,1,Assumptions!V$77)*RenewalRentFactor)))</f>
        <v/>
      </c>
      <c r="W32" s="52">
        <f>IF(Assumptions!W$74=0,0,IF(Assumptions!W$72&lt;$C$20,0,IF(Assumptions!W$72&lt;=$D$20,$E$20*$B$20/12*(1+$F$20)^INT((Assumptions!W$72-$C$20)/12),IF(Assumptions!W$72&lt;=$D$20+RetailDowntime,0,1)*$E$20*$B$20/12*INDEX(Cum_RetailRent,1,Assumptions!W$77)*RenewalRentFactor)))</f>
        <v/>
      </c>
      <c r="X32" s="52">
        <f>IF(Assumptions!X$74=0,0,IF(Assumptions!X$72&lt;$C$20,0,IF(Assumptions!X$72&lt;=$D$20,$E$20*$B$20/12*(1+$F$20)^INT((Assumptions!X$72-$C$20)/12),IF(Assumptions!X$72&lt;=$D$20+RetailDowntime,0,1)*$E$20*$B$20/12*INDEX(Cum_RetailRent,1,Assumptions!X$77)*RenewalRentFactor)))</f>
        <v/>
      </c>
      <c r="Y32" s="52">
        <f>IF(Assumptions!Y$74=0,0,IF(Assumptions!Y$72&lt;$C$20,0,IF(Assumptions!Y$72&lt;=$D$20,$E$20*$B$20/12*(1+$F$20)^INT((Assumptions!Y$72-$C$20)/12),IF(Assumptions!Y$72&lt;=$D$20+RetailDowntime,0,1)*$E$20*$B$20/12*INDEX(Cum_RetailRent,1,Assumptions!Y$77)*RenewalRentFactor)))</f>
        <v/>
      </c>
      <c r="Z32" s="52">
        <f>IF(Assumptions!Z$74=0,0,IF(Assumptions!Z$72&lt;$C$20,0,IF(Assumptions!Z$72&lt;=$D$20,$E$20*$B$20/12*(1+$F$20)^INT((Assumptions!Z$72-$C$20)/12),IF(Assumptions!Z$72&lt;=$D$20+RetailDowntime,0,1)*$E$20*$B$20/12*INDEX(Cum_RetailRent,1,Assumptions!Z$77)*RenewalRentFactor)))</f>
        <v/>
      </c>
      <c r="AA32" s="52">
        <f>IF(Assumptions!AA$74=0,0,IF(Assumptions!AA$72&lt;$C$20,0,IF(Assumptions!AA$72&lt;=$D$20,$E$20*$B$20/12*(1+$F$20)^INT((Assumptions!AA$72-$C$20)/12),IF(Assumptions!AA$72&lt;=$D$20+RetailDowntime,0,1)*$E$20*$B$20/12*INDEX(Cum_RetailRent,1,Assumptions!AA$77)*RenewalRentFactor)))</f>
        <v/>
      </c>
      <c r="AB32" s="52">
        <f>IF(Assumptions!AB$74=0,0,IF(Assumptions!AB$72&lt;$C$20,0,IF(Assumptions!AB$72&lt;=$D$20,$E$20*$B$20/12*(1+$F$20)^INT((Assumptions!AB$72-$C$20)/12),IF(Assumptions!AB$72&lt;=$D$20+RetailDowntime,0,1)*$E$20*$B$20/12*INDEX(Cum_RetailRent,1,Assumptions!AB$77)*RenewalRentFactor)))</f>
        <v/>
      </c>
      <c r="AC32" s="52">
        <f>IF(Assumptions!AC$74=0,0,IF(Assumptions!AC$72&lt;$C$20,0,IF(Assumptions!AC$72&lt;=$D$20,$E$20*$B$20/12*(1+$F$20)^INT((Assumptions!AC$72-$C$20)/12),IF(Assumptions!AC$72&lt;=$D$20+RetailDowntime,0,1)*$E$20*$B$20/12*INDEX(Cum_RetailRent,1,Assumptions!AC$77)*RenewalRentFactor)))</f>
        <v/>
      </c>
      <c r="AD32" s="52">
        <f>IF(Assumptions!AD$74=0,0,IF(Assumptions!AD$72&lt;$C$20,0,IF(Assumptions!AD$72&lt;=$D$20,$E$20*$B$20/12*(1+$F$20)^INT((Assumptions!AD$72-$C$20)/12),IF(Assumptions!AD$72&lt;=$D$20+RetailDowntime,0,1)*$E$20*$B$20/12*INDEX(Cum_RetailRent,1,Assumptions!AD$77)*RenewalRentFactor)))</f>
        <v/>
      </c>
      <c r="AE32" s="52">
        <f>IF(Assumptions!AE$74=0,0,IF(Assumptions!AE$72&lt;$C$20,0,IF(Assumptions!AE$72&lt;=$D$20,$E$20*$B$20/12*(1+$F$20)^INT((Assumptions!AE$72-$C$20)/12),IF(Assumptions!AE$72&lt;=$D$20+RetailDowntime,0,1)*$E$20*$B$20/12*INDEX(Cum_RetailRent,1,Assumptions!AE$77)*RenewalRentFactor)))</f>
        <v/>
      </c>
      <c r="AF32" s="52">
        <f>IF(Assumptions!AF$74=0,0,IF(Assumptions!AF$72&lt;$C$20,0,IF(Assumptions!AF$72&lt;=$D$20,$E$20*$B$20/12*(1+$F$20)^INT((Assumptions!AF$72-$C$20)/12),IF(Assumptions!AF$72&lt;=$D$20+RetailDowntime,0,1)*$E$20*$B$20/12*INDEX(Cum_RetailRent,1,Assumptions!AF$77)*RenewalRentFactor)))</f>
        <v/>
      </c>
      <c r="AG32" s="52">
        <f>IF(Assumptions!AG$74=0,0,IF(Assumptions!AG$72&lt;$C$20,0,IF(Assumptions!AG$72&lt;=$D$20,$E$20*$B$20/12*(1+$F$20)^INT((Assumptions!AG$72-$C$20)/12),IF(Assumptions!AG$72&lt;=$D$20+RetailDowntime,0,1)*$E$20*$B$20/12*INDEX(Cum_RetailRent,1,Assumptions!AG$77)*RenewalRentFactor)))</f>
        <v/>
      </c>
      <c r="AH32" s="52">
        <f>IF(Assumptions!AH$74=0,0,IF(Assumptions!AH$72&lt;$C$20,0,IF(Assumptions!AH$72&lt;=$D$20,$E$20*$B$20/12*(1+$F$20)^INT((Assumptions!AH$72-$C$20)/12),IF(Assumptions!AH$72&lt;=$D$20+RetailDowntime,0,1)*$E$20*$B$20/12*INDEX(Cum_RetailRent,1,Assumptions!AH$77)*RenewalRentFactor)))</f>
        <v/>
      </c>
      <c r="AI32" s="52">
        <f>IF(Assumptions!AI$74=0,0,IF(Assumptions!AI$72&lt;$C$20,0,IF(Assumptions!AI$72&lt;=$D$20,$E$20*$B$20/12*(1+$F$20)^INT((Assumptions!AI$72-$C$20)/12),IF(Assumptions!AI$72&lt;=$D$20+RetailDowntime,0,1)*$E$20*$B$20/12*INDEX(Cum_RetailRent,1,Assumptions!AI$77)*RenewalRentFactor)))</f>
        <v/>
      </c>
      <c r="AJ32" s="52">
        <f>IF(Assumptions!AJ$74=0,0,IF(Assumptions!AJ$72&lt;$C$20,0,IF(Assumptions!AJ$72&lt;=$D$20,$E$20*$B$20/12*(1+$F$20)^INT((Assumptions!AJ$72-$C$20)/12),IF(Assumptions!AJ$72&lt;=$D$20+RetailDowntime,0,1)*$E$20*$B$20/12*INDEX(Cum_RetailRent,1,Assumptions!AJ$77)*RenewalRentFactor)))</f>
        <v/>
      </c>
      <c r="AK32" s="52">
        <f>IF(Assumptions!AK$74=0,0,IF(Assumptions!AK$72&lt;$C$20,0,IF(Assumptions!AK$72&lt;=$D$20,$E$20*$B$20/12*(1+$F$20)^INT((Assumptions!AK$72-$C$20)/12),IF(Assumptions!AK$72&lt;=$D$20+RetailDowntime,0,1)*$E$20*$B$20/12*INDEX(Cum_RetailRent,1,Assumptions!AK$77)*RenewalRentFactor)))</f>
        <v/>
      </c>
      <c r="AL32" s="52">
        <f>IF(Assumptions!AL$74=0,0,IF(Assumptions!AL$72&lt;$C$20,0,IF(Assumptions!AL$72&lt;=$D$20,$E$20*$B$20/12*(1+$F$20)^INT((Assumptions!AL$72-$C$20)/12),IF(Assumptions!AL$72&lt;=$D$20+RetailDowntime,0,1)*$E$20*$B$20/12*INDEX(Cum_RetailRent,1,Assumptions!AL$77)*RenewalRentFactor)))</f>
        <v/>
      </c>
      <c r="AM32" s="52">
        <f>IF(Assumptions!AM$74=0,0,IF(Assumptions!AM$72&lt;$C$20,0,IF(Assumptions!AM$72&lt;=$D$20,$E$20*$B$20/12*(1+$F$20)^INT((Assumptions!AM$72-$C$20)/12),IF(Assumptions!AM$72&lt;=$D$20+RetailDowntime,0,1)*$E$20*$B$20/12*INDEX(Cum_RetailRent,1,Assumptions!AM$77)*RenewalRentFactor)))</f>
        <v/>
      </c>
      <c r="AN32" s="52">
        <f>IF(Assumptions!AN$74=0,0,IF(Assumptions!AN$72&lt;$C$20,0,IF(Assumptions!AN$72&lt;=$D$20,$E$20*$B$20/12*(1+$F$20)^INT((Assumptions!AN$72-$C$20)/12),IF(Assumptions!AN$72&lt;=$D$20+RetailDowntime,0,1)*$E$20*$B$20/12*INDEX(Cum_RetailRent,1,Assumptions!AN$77)*RenewalRentFactor)))</f>
        <v/>
      </c>
      <c r="AO32" s="52">
        <f>IF(Assumptions!AO$74=0,0,IF(Assumptions!AO$72&lt;$C$20,0,IF(Assumptions!AO$72&lt;=$D$20,$E$20*$B$20/12*(1+$F$20)^INT((Assumptions!AO$72-$C$20)/12),IF(Assumptions!AO$72&lt;=$D$20+RetailDowntime,0,1)*$E$20*$B$20/12*INDEX(Cum_RetailRent,1,Assumptions!AO$77)*RenewalRentFactor)))</f>
        <v/>
      </c>
      <c r="AP32" s="52">
        <f>IF(Assumptions!AP$74=0,0,IF(Assumptions!AP$72&lt;$C$20,0,IF(Assumptions!AP$72&lt;=$D$20,$E$20*$B$20/12*(1+$F$20)^INT((Assumptions!AP$72-$C$20)/12),IF(Assumptions!AP$72&lt;=$D$20+RetailDowntime,0,1)*$E$20*$B$20/12*INDEX(Cum_RetailRent,1,Assumptions!AP$77)*RenewalRentFactor)))</f>
        <v/>
      </c>
      <c r="AQ32" s="52">
        <f>IF(Assumptions!AQ$74=0,0,IF(Assumptions!AQ$72&lt;$C$20,0,IF(Assumptions!AQ$72&lt;=$D$20,$E$20*$B$20/12*(1+$F$20)^INT((Assumptions!AQ$72-$C$20)/12),IF(Assumptions!AQ$72&lt;=$D$20+RetailDowntime,0,1)*$E$20*$B$20/12*INDEX(Cum_RetailRent,1,Assumptions!AQ$77)*RenewalRentFactor)))</f>
        <v/>
      </c>
      <c r="AR32" s="52">
        <f>IF(Assumptions!AR$74=0,0,IF(Assumptions!AR$72&lt;$C$20,0,IF(Assumptions!AR$72&lt;=$D$20,$E$20*$B$20/12*(1+$F$20)^INT((Assumptions!AR$72-$C$20)/12),IF(Assumptions!AR$72&lt;=$D$20+RetailDowntime,0,1)*$E$20*$B$20/12*INDEX(Cum_RetailRent,1,Assumptions!AR$77)*RenewalRentFactor)))</f>
        <v/>
      </c>
      <c r="AS32" s="52">
        <f>IF(Assumptions!AS$74=0,0,IF(Assumptions!AS$72&lt;$C$20,0,IF(Assumptions!AS$72&lt;=$D$20,$E$20*$B$20/12*(1+$F$20)^INT((Assumptions!AS$72-$C$20)/12),IF(Assumptions!AS$72&lt;=$D$20+RetailDowntime,0,1)*$E$20*$B$20/12*INDEX(Cum_RetailRent,1,Assumptions!AS$77)*RenewalRentFactor)))</f>
        <v/>
      </c>
      <c r="AT32" s="52">
        <f>IF(Assumptions!AT$74=0,0,IF(Assumptions!AT$72&lt;$C$20,0,IF(Assumptions!AT$72&lt;=$D$20,$E$20*$B$20/12*(1+$F$20)^INT((Assumptions!AT$72-$C$20)/12),IF(Assumptions!AT$72&lt;=$D$20+RetailDowntime,0,1)*$E$20*$B$20/12*INDEX(Cum_RetailRent,1,Assumptions!AT$77)*RenewalRentFactor)))</f>
        <v/>
      </c>
      <c r="AU32" s="52">
        <f>IF(Assumptions!AU$74=0,0,IF(Assumptions!AU$72&lt;$C$20,0,IF(Assumptions!AU$72&lt;=$D$20,$E$20*$B$20/12*(1+$F$20)^INT((Assumptions!AU$72-$C$20)/12),IF(Assumptions!AU$72&lt;=$D$20+RetailDowntime,0,1)*$E$20*$B$20/12*INDEX(Cum_RetailRent,1,Assumptions!AU$77)*RenewalRentFactor)))</f>
        <v/>
      </c>
      <c r="AV32" s="52">
        <f>IF(Assumptions!AV$74=0,0,IF(Assumptions!AV$72&lt;$C$20,0,IF(Assumptions!AV$72&lt;=$D$20,$E$20*$B$20/12*(1+$F$20)^INT((Assumptions!AV$72-$C$20)/12),IF(Assumptions!AV$72&lt;=$D$20+RetailDowntime,0,1)*$E$20*$B$20/12*INDEX(Cum_RetailRent,1,Assumptions!AV$77)*RenewalRentFactor)))</f>
        <v/>
      </c>
      <c r="AW32" s="52">
        <f>IF(Assumptions!AW$74=0,0,IF(Assumptions!AW$72&lt;$C$20,0,IF(Assumptions!AW$72&lt;=$D$20,$E$20*$B$20/12*(1+$F$20)^INT((Assumptions!AW$72-$C$20)/12),IF(Assumptions!AW$72&lt;=$D$20+RetailDowntime,0,1)*$E$20*$B$20/12*INDEX(Cum_RetailRent,1,Assumptions!AW$77)*RenewalRentFactor)))</f>
        <v/>
      </c>
      <c r="AX32" s="52">
        <f>IF(Assumptions!AX$74=0,0,IF(Assumptions!AX$72&lt;$C$20,0,IF(Assumptions!AX$72&lt;=$D$20,$E$20*$B$20/12*(1+$F$20)^INT((Assumptions!AX$72-$C$20)/12),IF(Assumptions!AX$72&lt;=$D$20+RetailDowntime,0,1)*$E$20*$B$20/12*INDEX(Cum_RetailRent,1,Assumptions!AX$77)*RenewalRentFactor)))</f>
        <v/>
      </c>
      <c r="AY32" s="52">
        <f>IF(Assumptions!AY$74=0,0,IF(Assumptions!AY$72&lt;$C$20,0,IF(Assumptions!AY$72&lt;=$D$20,$E$20*$B$20/12*(1+$F$20)^INT((Assumptions!AY$72-$C$20)/12),IF(Assumptions!AY$72&lt;=$D$20+RetailDowntime,0,1)*$E$20*$B$20/12*INDEX(Cum_RetailRent,1,Assumptions!AY$77)*RenewalRentFactor)))</f>
        <v/>
      </c>
      <c r="AZ32" s="52">
        <f>IF(Assumptions!AZ$74=0,0,IF(Assumptions!AZ$72&lt;$C$20,0,IF(Assumptions!AZ$72&lt;=$D$20,$E$20*$B$20/12*(1+$F$20)^INT((Assumptions!AZ$72-$C$20)/12),IF(Assumptions!AZ$72&lt;=$D$20+RetailDowntime,0,1)*$E$20*$B$20/12*INDEX(Cum_RetailRent,1,Assumptions!AZ$77)*RenewalRentFactor)))</f>
        <v/>
      </c>
      <c r="BA32" s="52">
        <f>IF(Assumptions!BA$74=0,0,IF(Assumptions!BA$72&lt;$C$20,0,IF(Assumptions!BA$72&lt;=$D$20,$E$20*$B$20/12*(1+$F$20)^INT((Assumptions!BA$72-$C$20)/12),IF(Assumptions!BA$72&lt;=$D$20+RetailDowntime,0,1)*$E$20*$B$20/12*INDEX(Cum_RetailRent,1,Assumptions!BA$77)*RenewalRentFactor)))</f>
        <v/>
      </c>
      <c r="BB32" s="52">
        <f>IF(Assumptions!BB$74=0,0,IF(Assumptions!BB$72&lt;$C$20,0,IF(Assumptions!BB$72&lt;=$D$20,$E$20*$B$20/12*(1+$F$20)^INT((Assumptions!BB$72-$C$20)/12),IF(Assumptions!BB$72&lt;=$D$20+RetailDowntime,0,1)*$E$20*$B$20/12*INDEX(Cum_RetailRent,1,Assumptions!BB$77)*RenewalRentFactor)))</f>
        <v/>
      </c>
      <c r="BC32" s="52">
        <f>IF(Assumptions!BC$74=0,0,IF(Assumptions!BC$72&lt;$C$20,0,IF(Assumptions!BC$72&lt;=$D$20,$E$20*$B$20/12*(1+$F$20)^INT((Assumptions!BC$72-$C$20)/12),IF(Assumptions!BC$72&lt;=$D$20+RetailDowntime,0,1)*$E$20*$B$20/12*INDEX(Cum_RetailRent,1,Assumptions!BC$77)*RenewalRentFactor)))</f>
        <v/>
      </c>
      <c r="BD32" s="52">
        <f>IF(Assumptions!BD$74=0,0,IF(Assumptions!BD$72&lt;$C$20,0,IF(Assumptions!BD$72&lt;=$D$20,$E$20*$B$20/12*(1+$F$20)^INT((Assumptions!BD$72-$C$20)/12),IF(Assumptions!BD$72&lt;=$D$20+RetailDowntime,0,1)*$E$20*$B$20/12*INDEX(Cum_RetailRent,1,Assumptions!BD$77)*RenewalRentFactor)))</f>
        <v/>
      </c>
      <c r="BE32" s="52">
        <f>IF(Assumptions!BE$74=0,0,IF(Assumptions!BE$72&lt;$C$20,0,IF(Assumptions!BE$72&lt;=$D$20,$E$20*$B$20/12*(1+$F$20)^INT((Assumptions!BE$72-$C$20)/12),IF(Assumptions!BE$72&lt;=$D$20+RetailDowntime,0,1)*$E$20*$B$20/12*INDEX(Cum_RetailRent,1,Assumptions!BE$77)*RenewalRentFactor)))</f>
        <v/>
      </c>
      <c r="BF32" s="52">
        <f>IF(Assumptions!BF$74=0,0,IF(Assumptions!BF$72&lt;$C$20,0,IF(Assumptions!BF$72&lt;=$D$20,$E$20*$B$20/12*(1+$F$20)^INT((Assumptions!BF$72-$C$20)/12),IF(Assumptions!BF$72&lt;=$D$20+RetailDowntime,0,1)*$E$20*$B$20/12*INDEX(Cum_RetailRent,1,Assumptions!BF$77)*RenewalRentFactor)))</f>
        <v/>
      </c>
      <c r="BG32" s="52">
        <f>IF(Assumptions!BG$74=0,0,IF(Assumptions!BG$72&lt;$C$20,0,IF(Assumptions!BG$72&lt;=$D$20,$E$20*$B$20/12*(1+$F$20)^INT((Assumptions!BG$72-$C$20)/12),IF(Assumptions!BG$72&lt;=$D$20+RetailDowntime,0,1)*$E$20*$B$20/12*INDEX(Cum_RetailRent,1,Assumptions!BG$77)*RenewalRentFactor)))</f>
        <v/>
      </c>
      <c r="BH32" s="52">
        <f>IF(Assumptions!BH$74=0,0,IF(Assumptions!BH$72&lt;$C$20,0,IF(Assumptions!BH$72&lt;=$D$20,$E$20*$B$20/12*(1+$F$20)^INT((Assumptions!BH$72-$C$20)/12),IF(Assumptions!BH$72&lt;=$D$20+RetailDowntime,0,1)*$E$20*$B$20/12*INDEX(Cum_RetailRent,1,Assumptions!BH$77)*RenewalRentFactor)))</f>
        <v/>
      </c>
      <c r="BI32" s="52">
        <f>IF(Assumptions!BI$74=0,0,IF(Assumptions!BI$72&lt;$C$20,0,IF(Assumptions!BI$72&lt;=$D$20,$E$20*$B$20/12*(1+$F$20)^INT((Assumptions!BI$72-$C$20)/12),IF(Assumptions!BI$72&lt;=$D$20+RetailDowntime,0,1)*$E$20*$B$20/12*INDEX(Cum_RetailRent,1,Assumptions!BI$77)*RenewalRentFactor)))</f>
        <v/>
      </c>
      <c r="BJ32" s="52">
        <f>IF(Assumptions!BJ$74=0,0,IF(Assumptions!BJ$72&lt;$C$20,0,IF(Assumptions!BJ$72&lt;=$D$20,$E$20*$B$20/12*(1+$F$20)^INT((Assumptions!BJ$72-$C$20)/12),IF(Assumptions!BJ$72&lt;=$D$20+RetailDowntime,0,1)*$E$20*$B$20/12*INDEX(Cum_RetailRent,1,Assumptions!BJ$77)*RenewalRentFactor)))</f>
        <v/>
      </c>
      <c r="BK32" s="52">
        <f>IF(Assumptions!BK$74=0,0,IF(Assumptions!BK$72&lt;$C$20,0,IF(Assumptions!BK$72&lt;=$D$20,$E$20*$B$20/12*(1+$F$20)^INT((Assumptions!BK$72-$C$20)/12),IF(Assumptions!BK$72&lt;=$D$20+RetailDowntime,0,1)*$E$20*$B$20/12*INDEX(Cum_RetailRent,1,Assumptions!BK$77)*RenewalRentFactor)))</f>
        <v/>
      </c>
      <c r="BL32" s="52">
        <f>IF(Assumptions!BL$74=0,0,IF(Assumptions!BL$72&lt;$C$20,0,IF(Assumptions!BL$72&lt;=$D$20,$E$20*$B$20/12*(1+$F$20)^INT((Assumptions!BL$72-$C$20)/12),IF(Assumptions!BL$72&lt;=$D$20+RetailDowntime,0,1)*$E$20*$B$20/12*INDEX(Cum_RetailRent,1,Assumptions!BL$77)*RenewalRentFactor)))</f>
        <v/>
      </c>
      <c r="BM32" s="52">
        <f>IF(Assumptions!BM$74=0,0,IF(Assumptions!BM$72&lt;$C$20,0,IF(Assumptions!BM$72&lt;=$D$20,$E$20*$B$20/12*(1+$F$20)^INT((Assumptions!BM$72-$C$20)/12),IF(Assumptions!BM$72&lt;=$D$20+RetailDowntime,0,1)*$E$20*$B$20/12*INDEX(Cum_RetailRent,1,Assumptions!BM$77)*RenewalRentFactor)))</f>
        <v/>
      </c>
      <c r="BN32" s="52">
        <f>IF(Assumptions!BN$74=0,0,IF(Assumptions!BN$72&lt;$C$20,0,IF(Assumptions!BN$72&lt;=$D$20,$E$20*$B$20/12*(1+$F$20)^INT((Assumptions!BN$72-$C$20)/12),IF(Assumptions!BN$72&lt;=$D$20+RetailDowntime,0,1)*$E$20*$B$20/12*INDEX(Cum_RetailRent,1,Assumptions!BN$77)*RenewalRentFactor)))</f>
        <v/>
      </c>
      <c r="BO32" s="52">
        <f>IF(Assumptions!BO$74=0,0,IF(Assumptions!BO$72&lt;$C$20,0,IF(Assumptions!BO$72&lt;=$D$20,$E$20*$B$20/12*(1+$F$20)^INT((Assumptions!BO$72-$C$20)/12),IF(Assumptions!BO$72&lt;=$D$20+RetailDowntime,0,1)*$E$20*$B$20/12*INDEX(Cum_RetailRent,1,Assumptions!BO$77)*RenewalRentFactor)))</f>
        <v/>
      </c>
      <c r="BP32" s="52">
        <f>IF(Assumptions!BP$74=0,0,IF(Assumptions!BP$72&lt;$C$20,0,IF(Assumptions!BP$72&lt;=$D$20,$E$20*$B$20/12*(1+$F$20)^INT((Assumptions!BP$72-$C$20)/12),IF(Assumptions!BP$72&lt;=$D$20+RetailDowntime,0,1)*$E$20*$B$20/12*INDEX(Cum_RetailRent,1,Assumptions!BP$77)*RenewalRentFactor)))</f>
        <v/>
      </c>
      <c r="BQ32" s="52">
        <f>IF(Assumptions!BQ$74=0,0,IF(Assumptions!BQ$72&lt;$C$20,0,IF(Assumptions!BQ$72&lt;=$D$20,$E$20*$B$20/12*(1+$F$20)^INT((Assumptions!BQ$72-$C$20)/12),IF(Assumptions!BQ$72&lt;=$D$20+RetailDowntime,0,1)*$E$20*$B$20/12*INDEX(Cum_RetailRent,1,Assumptions!BQ$77)*RenewalRentFactor)))</f>
        <v/>
      </c>
      <c r="BR32" s="52">
        <f>IF(Assumptions!BR$74=0,0,IF(Assumptions!BR$72&lt;$C$20,0,IF(Assumptions!BR$72&lt;=$D$20,$E$20*$B$20/12*(1+$F$20)^INT((Assumptions!BR$72-$C$20)/12),IF(Assumptions!BR$72&lt;=$D$20+RetailDowntime,0,1)*$E$20*$B$20/12*INDEX(Cum_RetailRent,1,Assumptions!BR$77)*RenewalRentFactor)))</f>
        <v/>
      </c>
      <c r="BS32" s="52">
        <f>IF(Assumptions!BS$74=0,0,IF(Assumptions!BS$72&lt;$C$20,0,IF(Assumptions!BS$72&lt;=$D$20,$E$20*$B$20/12*(1+$F$20)^INT((Assumptions!BS$72-$C$20)/12),IF(Assumptions!BS$72&lt;=$D$20+RetailDowntime,0,1)*$E$20*$B$20/12*INDEX(Cum_RetailRent,1,Assumptions!BS$77)*RenewalRentFactor)))</f>
        <v/>
      </c>
      <c r="BT32" s="52">
        <f>IF(Assumptions!BT$74=0,0,IF(Assumptions!BT$72&lt;$C$20,0,IF(Assumptions!BT$72&lt;=$D$20,$E$20*$B$20/12*(1+$F$20)^INT((Assumptions!BT$72-$C$20)/12),IF(Assumptions!BT$72&lt;=$D$20+RetailDowntime,0,1)*$E$20*$B$20/12*INDEX(Cum_RetailRent,1,Assumptions!BT$77)*RenewalRentFactor)))</f>
        <v/>
      </c>
      <c r="BU32" s="52">
        <f>IF(Assumptions!BU$74=0,0,IF(Assumptions!BU$72&lt;$C$20,0,IF(Assumptions!BU$72&lt;=$D$20,$E$20*$B$20/12*(1+$F$20)^INT((Assumptions!BU$72-$C$20)/12),IF(Assumptions!BU$72&lt;=$D$20+RetailDowntime,0,1)*$E$20*$B$20/12*INDEX(Cum_RetailRent,1,Assumptions!BU$77)*RenewalRentFactor)))</f>
        <v/>
      </c>
      <c r="BV32" s="52">
        <f>IF(Assumptions!BV$74=0,0,IF(Assumptions!BV$72&lt;$C$20,0,IF(Assumptions!BV$72&lt;=$D$20,$E$20*$B$20/12*(1+$F$20)^INT((Assumptions!BV$72-$C$20)/12),IF(Assumptions!BV$72&lt;=$D$20+RetailDowntime,0,1)*$E$20*$B$20/12*INDEX(Cum_RetailRent,1,Assumptions!BV$77)*RenewalRentFactor)))</f>
        <v/>
      </c>
      <c r="BW32" s="52">
        <f>IF(Assumptions!BW$74=0,0,IF(Assumptions!BW$72&lt;$C$20,0,IF(Assumptions!BW$72&lt;=$D$20,$E$20*$B$20/12*(1+$F$20)^INT((Assumptions!BW$72-$C$20)/12),IF(Assumptions!BW$72&lt;=$D$20+RetailDowntime,0,1)*$E$20*$B$20/12*INDEX(Cum_RetailRent,1,Assumptions!BW$77)*RenewalRentFactor)))</f>
        <v/>
      </c>
      <c r="BX32" s="52">
        <f>IF(Assumptions!BX$74=0,0,IF(Assumptions!BX$72&lt;$C$20,0,IF(Assumptions!BX$72&lt;=$D$20,$E$20*$B$20/12*(1+$F$20)^INT((Assumptions!BX$72-$C$20)/12),IF(Assumptions!BX$72&lt;=$D$20+RetailDowntime,0,1)*$E$20*$B$20/12*INDEX(Cum_RetailRent,1,Assumptions!BX$77)*RenewalRentFactor)))</f>
        <v/>
      </c>
      <c r="BY32" s="52">
        <f>IF(Assumptions!BY$74=0,0,IF(Assumptions!BY$72&lt;$C$20,0,IF(Assumptions!BY$72&lt;=$D$20,$E$20*$B$20/12*(1+$F$20)^INT((Assumptions!BY$72-$C$20)/12),IF(Assumptions!BY$72&lt;=$D$20+RetailDowntime,0,1)*$E$20*$B$20/12*INDEX(Cum_RetailRent,1,Assumptions!BY$77)*RenewalRentFactor)))</f>
        <v/>
      </c>
      <c r="BZ32" s="52">
        <f>IF(Assumptions!BZ$74=0,0,IF(Assumptions!BZ$72&lt;$C$20,0,IF(Assumptions!BZ$72&lt;=$D$20,$E$20*$B$20/12*(1+$F$20)^INT((Assumptions!BZ$72-$C$20)/12),IF(Assumptions!BZ$72&lt;=$D$20+RetailDowntime,0,1)*$E$20*$B$20/12*INDEX(Cum_RetailRent,1,Assumptions!BZ$77)*RenewalRentFactor)))</f>
        <v/>
      </c>
      <c r="CA32" s="52">
        <f>IF(Assumptions!CA$74=0,0,IF(Assumptions!CA$72&lt;$C$20,0,IF(Assumptions!CA$72&lt;=$D$20,$E$20*$B$20/12*(1+$F$20)^INT((Assumptions!CA$72-$C$20)/12),IF(Assumptions!CA$72&lt;=$D$20+RetailDowntime,0,1)*$E$20*$B$20/12*INDEX(Cum_RetailRent,1,Assumptions!CA$77)*RenewalRentFactor)))</f>
        <v/>
      </c>
      <c r="CB32" s="52">
        <f>IF(Assumptions!CB$74=0,0,IF(Assumptions!CB$72&lt;$C$20,0,IF(Assumptions!CB$72&lt;=$D$20,$E$20*$B$20/12*(1+$F$20)^INT((Assumptions!CB$72-$C$20)/12),IF(Assumptions!CB$72&lt;=$D$20+RetailDowntime,0,1)*$E$20*$B$20/12*INDEX(Cum_RetailRent,1,Assumptions!CB$77)*RenewalRentFactor)))</f>
        <v/>
      </c>
      <c r="CC32" s="52">
        <f>IF(Assumptions!CC$74=0,0,IF(Assumptions!CC$72&lt;$C$20,0,IF(Assumptions!CC$72&lt;=$D$20,$E$20*$B$20/12*(1+$F$20)^INT((Assumptions!CC$72-$C$20)/12),IF(Assumptions!CC$72&lt;=$D$20+RetailDowntime,0,1)*$E$20*$B$20/12*INDEX(Cum_RetailRent,1,Assumptions!CC$77)*RenewalRentFactor)))</f>
        <v/>
      </c>
      <c r="CD32" s="52">
        <f>IF(Assumptions!CD$74=0,0,IF(Assumptions!CD$72&lt;$C$20,0,IF(Assumptions!CD$72&lt;=$D$20,$E$20*$B$20/12*(1+$F$20)^INT((Assumptions!CD$72-$C$20)/12),IF(Assumptions!CD$72&lt;=$D$20+RetailDowntime,0,1)*$E$20*$B$20/12*INDEX(Cum_RetailRent,1,Assumptions!CD$77)*RenewalRentFactor)))</f>
        <v/>
      </c>
      <c r="CE32" s="52">
        <f>IF(Assumptions!CE$74=0,0,IF(Assumptions!CE$72&lt;$C$20,0,IF(Assumptions!CE$72&lt;=$D$20,$E$20*$B$20/12*(1+$F$20)^INT((Assumptions!CE$72-$C$20)/12),IF(Assumptions!CE$72&lt;=$D$20+RetailDowntime,0,1)*$E$20*$B$20/12*INDEX(Cum_RetailRent,1,Assumptions!CE$77)*RenewalRentFactor)))</f>
        <v/>
      </c>
      <c r="CF32" s="52">
        <f>IF(Assumptions!CF$74=0,0,IF(Assumptions!CF$72&lt;$C$20,0,IF(Assumptions!CF$72&lt;=$D$20,$E$20*$B$20/12*(1+$F$20)^INT((Assumptions!CF$72-$C$20)/12),IF(Assumptions!CF$72&lt;=$D$20+RetailDowntime,0,1)*$E$20*$B$20/12*INDEX(Cum_RetailRent,1,Assumptions!CF$77)*RenewalRentFactor)))</f>
        <v/>
      </c>
      <c r="CG32" s="52">
        <f>IF(Assumptions!CG$74=0,0,IF(Assumptions!CG$72&lt;$C$20,0,IF(Assumptions!CG$72&lt;=$D$20,$E$20*$B$20/12*(1+$F$20)^INT((Assumptions!CG$72-$C$20)/12),IF(Assumptions!CG$72&lt;=$D$20+RetailDowntime,0,1)*$E$20*$B$20/12*INDEX(Cum_RetailRent,1,Assumptions!CG$77)*RenewalRentFactor)))</f>
        <v/>
      </c>
      <c r="CH32" s="52">
        <f>IF(Assumptions!CH$74=0,0,IF(Assumptions!CH$72&lt;$C$20,0,IF(Assumptions!CH$72&lt;=$D$20,$E$20*$B$20/12*(1+$F$20)^INT((Assumptions!CH$72-$C$20)/12),IF(Assumptions!CH$72&lt;=$D$20+RetailDowntime,0,1)*$E$20*$B$20/12*INDEX(Cum_RetailRent,1,Assumptions!CH$77)*RenewalRentFactor)))</f>
        <v/>
      </c>
      <c r="CI32" s="52">
        <f>IF(Assumptions!CI$74=0,0,IF(Assumptions!CI$72&lt;$C$20,0,IF(Assumptions!CI$72&lt;=$D$20,$E$20*$B$20/12*(1+$F$20)^INT((Assumptions!CI$72-$C$20)/12),IF(Assumptions!CI$72&lt;=$D$20+RetailDowntime,0,1)*$E$20*$B$20/12*INDEX(Cum_RetailRent,1,Assumptions!CI$77)*RenewalRentFactor)))</f>
        <v/>
      </c>
      <c r="CJ32" s="52">
        <f>IF(Assumptions!CJ$74=0,0,IF(Assumptions!CJ$72&lt;$C$20,0,IF(Assumptions!CJ$72&lt;=$D$20,$E$20*$B$20/12*(1+$F$20)^INT((Assumptions!CJ$72-$C$20)/12),IF(Assumptions!CJ$72&lt;=$D$20+RetailDowntime,0,1)*$E$20*$B$20/12*INDEX(Cum_RetailRent,1,Assumptions!CJ$77)*RenewalRentFactor)))</f>
        <v/>
      </c>
      <c r="CK32" s="52">
        <f>IF(Assumptions!CK$74=0,0,IF(Assumptions!CK$72&lt;$C$20,0,IF(Assumptions!CK$72&lt;=$D$20,$E$20*$B$20/12*(1+$F$20)^INT((Assumptions!CK$72-$C$20)/12),IF(Assumptions!CK$72&lt;=$D$20+RetailDowntime,0,1)*$E$20*$B$20/12*INDEX(Cum_RetailRent,1,Assumptions!CK$77)*RenewalRentFactor)))</f>
        <v/>
      </c>
      <c r="CL32" s="52">
        <f>IF(Assumptions!CL$74=0,0,IF(Assumptions!CL$72&lt;$C$20,0,IF(Assumptions!CL$72&lt;=$D$20,$E$20*$B$20/12*(1+$F$20)^INT((Assumptions!CL$72-$C$20)/12),IF(Assumptions!CL$72&lt;=$D$20+RetailDowntime,0,1)*$E$20*$B$20/12*INDEX(Cum_RetailRent,1,Assumptions!CL$77)*RenewalRentFactor)))</f>
        <v/>
      </c>
      <c r="CM32" s="52">
        <f>IF(Assumptions!CM$74=0,0,IF(Assumptions!CM$72&lt;$C$20,0,IF(Assumptions!CM$72&lt;=$D$20,$E$20*$B$20/12*(1+$F$20)^INT((Assumptions!CM$72-$C$20)/12),IF(Assumptions!CM$72&lt;=$D$20+RetailDowntime,0,1)*$E$20*$B$20/12*INDEX(Cum_RetailRent,1,Assumptions!CM$77)*RenewalRentFactor)))</f>
        <v/>
      </c>
      <c r="CN32" s="52">
        <f>IF(Assumptions!CN$74=0,0,IF(Assumptions!CN$72&lt;$C$20,0,IF(Assumptions!CN$72&lt;=$D$20,$E$20*$B$20/12*(1+$F$20)^INT((Assumptions!CN$72-$C$20)/12),IF(Assumptions!CN$72&lt;=$D$20+RetailDowntime,0,1)*$E$20*$B$20/12*INDEX(Cum_RetailRent,1,Assumptions!CN$77)*RenewalRentFactor)))</f>
        <v/>
      </c>
      <c r="CO32" s="52">
        <f>IF(Assumptions!CO$74=0,0,IF(Assumptions!CO$72&lt;$C$20,0,IF(Assumptions!CO$72&lt;=$D$20,$E$20*$B$20/12*(1+$F$20)^INT((Assumptions!CO$72-$C$20)/12),IF(Assumptions!CO$72&lt;=$D$20+RetailDowntime,0,1)*$E$20*$B$20/12*INDEX(Cum_RetailRent,1,Assumptions!CO$77)*RenewalRentFactor)))</f>
        <v/>
      </c>
      <c r="CP32" s="52">
        <f>IF(Assumptions!CP$74=0,0,IF(Assumptions!CP$72&lt;$C$20,0,IF(Assumptions!CP$72&lt;=$D$20,$E$20*$B$20/12*(1+$F$20)^INT((Assumptions!CP$72-$C$20)/12),IF(Assumptions!CP$72&lt;=$D$20+RetailDowntime,0,1)*$E$20*$B$20/12*INDEX(Cum_RetailRent,1,Assumptions!CP$77)*RenewalRentFactor)))</f>
        <v/>
      </c>
      <c r="CQ32" s="52">
        <f>IF(Assumptions!CQ$74=0,0,IF(Assumptions!CQ$72&lt;$C$20,0,IF(Assumptions!CQ$72&lt;=$D$20,$E$20*$B$20/12*(1+$F$20)^INT((Assumptions!CQ$72-$C$20)/12),IF(Assumptions!CQ$72&lt;=$D$20+RetailDowntime,0,1)*$E$20*$B$20/12*INDEX(Cum_RetailRent,1,Assumptions!CQ$77)*RenewalRentFactor)))</f>
        <v/>
      </c>
      <c r="CR32" s="52">
        <f>IF(Assumptions!CR$74=0,0,IF(Assumptions!CR$72&lt;$C$20,0,IF(Assumptions!CR$72&lt;=$D$20,$E$20*$B$20/12*(1+$F$20)^INT((Assumptions!CR$72-$C$20)/12),IF(Assumptions!CR$72&lt;=$D$20+RetailDowntime,0,1)*$E$20*$B$20/12*INDEX(Cum_RetailRent,1,Assumptions!CR$77)*RenewalRentFactor)))</f>
        <v/>
      </c>
      <c r="CS32" s="52">
        <f>IF(Assumptions!CS$74=0,0,IF(Assumptions!CS$72&lt;$C$20,0,IF(Assumptions!CS$72&lt;=$D$20,$E$20*$B$20/12*(1+$F$20)^INT((Assumptions!CS$72-$C$20)/12),IF(Assumptions!CS$72&lt;=$D$20+RetailDowntime,0,1)*$E$20*$B$20/12*INDEX(Cum_RetailRent,1,Assumptions!CS$77)*RenewalRentFactor)))</f>
        <v/>
      </c>
      <c r="CT32" s="52">
        <f>IF(Assumptions!CT$74=0,0,IF(Assumptions!CT$72&lt;$C$20,0,IF(Assumptions!CT$72&lt;=$D$20,$E$20*$B$20/12*(1+$F$20)^INT((Assumptions!CT$72-$C$20)/12),IF(Assumptions!CT$72&lt;=$D$20+RetailDowntime,0,1)*$E$20*$B$20/12*INDEX(Cum_RetailRent,1,Assumptions!CT$77)*RenewalRentFactor)))</f>
        <v/>
      </c>
      <c r="CU32" s="52">
        <f>IF(Assumptions!CU$74=0,0,IF(Assumptions!CU$72&lt;$C$20,0,IF(Assumptions!CU$72&lt;=$D$20,$E$20*$B$20/12*(1+$F$20)^INT((Assumptions!CU$72-$C$20)/12),IF(Assumptions!CU$72&lt;=$D$20+RetailDowntime,0,1)*$E$20*$B$20/12*INDEX(Cum_RetailRent,1,Assumptions!CU$77)*RenewalRentFactor)))</f>
        <v/>
      </c>
      <c r="CV32" s="52">
        <f>IF(Assumptions!CV$74=0,0,IF(Assumptions!CV$72&lt;$C$20,0,IF(Assumptions!CV$72&lt;=$D$20,$E$20*$B$20/12*(1+$F$20)^INT((Assumptions!CV$72-$C$20)/12),IF(Assumptions!CV$72&lt;=$D$20+RetailDowntime,0,1)*$E$20*$B$20/12*INDEX(Cum_RetailRent,1,Assumptions!CV$77)*RenewalRentFactor)))</f>
        <v/>
      </c>
      <c r="CW32" s="52">
        <f>IF(Assumptions!CW$74=0,0,IF(Assumptions!CW$72&lt;$C$20,0,IF(Assumptions!CW$72&lt;=$D$20,$E$20*$B$20/12*(1+$F$20)^INT((Assumptions!CW$72-$C$20)/12),IF(Assumptions!CW$72&lt;=$D$20+RetailDowntime,0,1)*$E$20*$B$20/12*INDEX(Cum_RetailRent,1,Assumptions!CW$77)*RenewalRentFactor)))</f>
        <v/>
      </c>
      <c r="CX32" s="52">
        <f>IF(Assumptions!CX$74=0,0,IF(Assumptions!CX$72&lt;$C$20,0,IF(Assumptions!CX$72&lt;=$D$20,$E$20*$B$20/12*(1+$F$20)^INT((Assumptions!CX$72-$C$20)/12),IF(Assumptions!CX$72&lt;=$D$20+RetailDowntime,0,1)*$E$20*$B$20/12*INDEX(Cum_RetailRent,1,Assumptions!CX$77)*RenewalRentFactor)))</f>
        <v/>
      </c>
      <c r="CY32" s="52">
        <f>IF(Assumptions!CY$74=0,0,IF(Assumptions!CY$72&lt;$C$20,0,IF(Assumptions!CY$72&lt;=$D$20,$E$20*$B$20/12*(1+$F$20)^INT((Assumptions!CY$72-$C$20)/12),IF(Assumptions!CY$72&lt;=$D$20+RetailDowntime,0,1)*$E$20*$B$20/12*INDEX(Cum_RetailRent,1,Assumptions!CY$77)*RenewalRentFactor)))</f>
        <v/>
      </c>
      <c r="CZ32" s="52">
        <f>IF(Assumptions!CZ$74=0,0,IF(Assumptions!CZ$72&lt;$C$20,0,IF(Assumptions!CZ$72&lt;=$D$20,$E$20*$B$20/12*(1+$F$20)^INT((Assumptions!CZ$72-$C$20)/12),IF(Assumptions!CZ$72&lt;=$D$20+RetailDowntime,0,1)*$E$20*$B$20/12*INDEX(Cum_RetailRent,1,Assumptions!CZ$77)*RenewalRentFactor)))</f>
        <v/>
      </c>
      <c r="DA32" s="52">
        <f>IF(Assumptions!DA$74=0,0,IF(Assumptions!DA$72&lt;$C$20,0,IF(Assumptions!DA$72&lt;=$D$20,$E$20*$B$20/12*(1+$F$20)^INT((Assumptions!DA$72-$C$20)/12),IF(Assumptions!DA$72&lt;=$D$20+RetailDowntime,0,1)*$E$20*$B$20/12*INDEX(Cum_RetailRent,1,Assumptions!DA$77)*RenewalRentFactor)))</f>
        <v/>
      </c>
      <c r="DB32" s="52">
        <f>IF(Assumptions!DB$74=0,0,IF(Assumptions!DB$72&lt;$C$20,0,IF(Assumptions!DB$72&lt;=$D$20,$E$20*$B$20/12*(1+$F$20)^INT((Assumptions!DB$72-$C$20)/12),IF(Assumptions!DB$72&lt;=$D$20+RetailDowntime,0,1)*$E$20*$B$20/12*INDEX(Cum_RetailRent,1,Assumptions!DB$77)*RenewalRentFactor)))</f>
        <v/>
      </c>
      <c r="DC32" s="52">
        <f>IF(Assumptions!DC$74=0,0,IF(Assumptions!DC$72&lt;$C$20,0,IF(Assumptions!DC$72&lt;=$D$20,$E$20*$B$20/12*(1+$F$20)^INT((Assumptions!DC$72-$C$20)/12),IF(Assumptions!DC$72&lt;=$D$20+RetailDowntime,0,1)*$E$20*$B$20/12*INDEX(Cum_RetailRent,1,Assumptions!DC$77)*RenewalRentFactor)))</f>
        <v/>
      </c>
      <c r="DD32" s="52">
        <f>IF(Assumptions!DD$74=0,0,IF(Assumptions!DD$72&lt;$C$20,0,IF(Assumptions!DD$72&lt;=$D$20,$E$20*$B$20/12*(1+$F$20)^INT((Assumptions!DD$72-$C$20)/12),IF(Assumptions!DD$72&lt;=$D$20+RetailDowntime,0,1)*$E$20*$B$20/12*INDEX(Cum_RetailRent,1,Assumptions!DD$77)*RenewalRentFactor)))</f>
        <v/>
      </c>
      <c r="DE32" s="52">
        <f>IF(Assumptions!DE$74=0,0,IF(Assumptions!DE$72&lt;$C$20,0,IF(Assumptions!DE$72&lt;=$D$20,$E$20*$B$20/12*(1+$F$20)^INT((Assumptions!DE$72-$C$20)/12),IF(Assumptions!DE$72&lt;=$D$20+RetailDowntime,0,1)*$E$20*$B$20/12*INDEX(Cum_RetailRent,1,Assumptions!DE$77)*RenewalRentFactor)))</f>
        <v/>
      </c>
      <c r="DF32" s="52">
        <f>IF(Assumptions!DF$74=0,0,IF(Assumptions!DF$72&lt;$C$20,0,IF(Assumptions!DF$72&lt;=$D$20,$E$20*$B$20/12*(1+$F$20)^INT((Assumptions!DF$72-$C$20)/12),IF(Assumptions!DF$72&lt;=$D$20+RetailDowntime,0,1)*$E$20*$B$20/12*INDEX(Cum_RetailRent,1,Assumptions!DF$77)*RenewalRentFactor)))</f>
        <v/>
      </c>
      <c r="DG32" s="52">
        <f>IF(Assumptions!DG$74=0,0,IF(Assumptions!DG$72&lt;$C$20,0,IF(Assumptions!DG$72&lt;=$D$20,$E$20*$B$20/12*(1+$F$20)^INT((Assumptions!DG$72-$C$20)/12),IF(Assumptions!DG$72&lt;=$D$20+RetailDowntime,0,1)*$E$20*$B$20/12*INDEX(Cum_RetailRent,1,Assumptions!DG$77)*RenewalRentFactor)))</f>
        <v/>
      </c>
      <c r="DH32" s="52">
        <f>IF(Assumptions!DH$74=0,0,IF(Assumptions!DH$72&lt;$C$20,0,IF(Assumptions!DH$72&lt;=$D$20,$E$20*$B$20/12*(1+$F$20)^INT((Assumptions!DH$72-$C$20)/12),IF(Assumptions!DH$72&lt;=$D$20+RetailDowntime,0,1)*$E$20*$B$20/12*INDEX(Cum_RetailRent,1,Assumptions!DH$77)*RenewalRentFactor)))</f>
        <v/>
      </c>
      <c r="DI32" s="52">
        <f>IF(Assumptions!DI$74=0,0,IF(Assumptions!DI$72&lt;$C$20,0,IF(Assumptions!DI$72&lt;=$D$20,$E$20*$B$20/12*(1+$F$20)^INT((Assumptions!DI$72-$C$20)/12),IF(Assumptions!DI$72&lt;=$D$20+RetailDowntime,0,1)*$E$20*$B$20/12*INDEX(Cum_RetailRent,1,Assumptions!DI$77)*RenewalRentFactor)))</f>
        <v/>
      </c>
      <c r="DJ32" s="52">
        <f>IF(Assumptions!DJ$74=0,0,IF(Assumptions!DJ$72&lt;$C$20,0,IF(Assumptions!DJ$72&lt;=$D$20,$E$20*$B$20/12*(1+$F$20)^INT((Assumptions!DJ$72-$C$20)/12),IF(Assumptions!DJ$72&lt;=$D$20+RetailDowntime,0,1)*$E$20*$B$20/12*INDEX(Cum_RetailRent,1,Assumptions!DJ$77)*RenewalRentFactor)))</f>
        <v/>
      </c>
      <c r="DK32" s="52">
        <f>IF(Assumptions!DK$74=0,0,IF(Assumptions!DK$72&lt;$C$20,0,IF(Assumptions!DK$72&lt;=$D$20,$E$20*$B$20/12*(1+$F$20)^INT((Assumptions!DK$72-$C$20)/12),IF(Assumptions!DK$72&lt;=$D$20+RetailDowntime,0,1)*$E$20*$B$20/12*INDEX(Cum_RetailRent,1,Assumptions!DK$77)*RenewalRentFactor)))</f>
        <v/>
      </c>
      <c r="DL32" s="52">
        <f>IF(Assumptions!DL$74=0,0,IF(Assumptions!DL$72&lt;$C$20,0,IF(Assumptions!DL$72&lt;=$D$20,$E$20*$B$20/12*(1+$F$20)^INT((Assumptions!DL$72-$C$20)/12),IF(Assumptions!DL$72&lt;=$D$20+RetailDowntime,0,1)*$E$20*$B$20/12*INDEX(Cum_RetailRent,1,Assumptions!DL$77)*RenewalRentFactor)))</f>
        <v/>
      </c>
      <c r="DM32" s="52">
        <f>IF(Assumptions!DM$74=0,0,IF(Assumptions!DM$72&lt;$C$20,0,IF(Assumptions!DM$72&lt;=$D$20,$E$20*$B$20/12*(1+$F$20)^INT((Assumptions!DM$72-$C$20)/12),IF(Assumptions!DM$72&lt;=$D$20+RetailDowntime,0,1)*$E$20*$B$20/12*INDEX(Cum_RetailRent,1,Assumptions!DM$77)*RenewalRentFactor)))</f>
        <v/>
      </c>
      <c r="DN32" s="52">
        <f>IF(Assumptions!DN$74=0,0,IF(Assumptions!DN$72&lt;$C$20,0,IF(Assumptions!DN$72&lt;=$D$20,$E$20*$B$20/12*(1+$F$20)^INT((Assumptions!DN$72-$C$20)/12),IF(Assumptions!DN$72&lt;=$D$20+RetailDowntime,0,1)*$E$20*$B$20/12*INDEX(Cum_RetailRent,1,Assumptions!DN$77)*RenewalRentFactor)))</f>
        <v/>
      </c>
      <c r="DO32" s="52">
        <f>IF(Assumptions!DO$74=0,0,IF(Assumptions!DO$72&lt;$C$20,0,IF(Assumptions!DO$72&lt;=$D$20,$E$20*$B$20/12*(1+$F$20)^INT((Assumptions!DO$72-$C$20)/12),IF(Assumptions!DO$72&lt;=$D$20+RetailDowntime,0,1)*$E$20*$B$20/12*INDEX(Cum_RetailRent,1,Assumptions!DO$77)*RenewalRentFactor)))</f>
        <v/>
      </c>
      <c r="DP32" s="52">
        <f>IF(Assumptions!DP$74=0,0,IF(Assumptions!DP$72&lt;$C$20,0,IF(Assumptions!DP$72&lt;=$D$20,$E$20*$B$20/12*(1+$F$20)^INT((Assumptions!DP$72-$C$20)/12),IF(Assumptions!DP$72&lt;=$D$20+RetailDowntime,0,1)*$E$20*$B$20/12*INDEX(Cum_RetailRent,1,Assumptions!DP$77)*RenewalRentFactor)))</f>
        <v/>
      </c>
      <c r="DQ32" s="52">
        <f>IF(Assumptions!DQ$74=0,0,IF(Assumptions!DQ$72&lt;$C$20,0,IF(Assumptions!DQ$72&lt;=$D$20,$E$20*$B$20/12*(1+$F$20)^INT((Assumptions!DQ$72-$C$20)/12),IF(Assumptions!DQ$72&lt;=$D$20+RetailDowntime,0,1)*$E$20*$B$20/12*INDEX(Cum_RetailRent,1,Assumptions!DQ$77)*RenewalRentFactor)))</f>
        <v/>
      </c>
      <c r="DR32" s="52">
        <f>IF(Assumptions!DR$74=0,0,IF(Assumptions!DR$72&lt;$C$20,0,IF(Assumptions!DR$72&lt;=$D$20,$E$20*$B$20/12*(1+$F$20)^INT((Assumptions!DR$72-$C$20)/12),IF(Assumptions!DR$72&lt;=$D$20+RetailDowntime,0,1)*$E$20*$B$20/12*INDEX(Cum_RetailRent,1,Assumptions!DR$77)*RenewalRentFactor)))</f>
        <v/>
      </c>
      <c r="DS32" s="52">
        <f>IF(Assumptions!DS$74=0,0,IF(Assumptions!DS$72&lt;$C$20,0,IF(Assumptions!DS$72&lt;=$D$20,$E$20*$B$20/12*(1+$F$20)^INT((Assumptions!DS$72-$C$20)/12),IF(Assumptions!DS$72&lt;=$D$20+RetailDowntime,0,1)*$E$20*$B$20/12*INDEX(Cum_RetailRent,1,Assumptions!DS$77)*RenewalRentFactor)))</f>
        <v/>
      </c>
      <c r="DT32" s="52">
        <f>IF(Assumptions!DT$74=0,0,IF(Assumptions!DT$72&lt;$C$20,0,IF(Assumptions!DT$72&lt;=$D$20,$E$20*$B$20/12*(1+$F$20)^INT((Assumptions!DT$72-$C$20)/12),IF(Assumptions!DT$72&lt;=$D$20+RetailDowntime,0,1)*$E$20*$B$20/12*INDEX(Cum_RetailRent,1,Assumptions!DT$77)*RenewalRentFactor)))</f>
        <v/>
      </c>
    </row>
    <row r="33">
      <c r="A33" s="10" t="inlineStr">
        <is>
          <t xml:space="preserve">  Bank</t>
        </is>
      </c>
      <c r="E33" s="52">
        <f>IF(Assumptions!E$74=0,0,IF(Assumptions!E$72&lt;$C$21,0,IF(Assumptions!E$72&lt;=$D$21,$E$21*$B$21/12*(1+$F$21)^INT((Assumptions!E$72-$C$21)/12),IF(Assumptions!E$72&lt;=$D$21+RetailDowntime,0,1)*$E$21*$B$21/12*INDEX(Cum_RetailRent,1,Assumptions!E$77)*RenewalRentFactor)))</f>
        <v/>
      </c>
      <c r="F33" s="52">
        <f>IF(Assumptions!F$74=0,0,IF(Assumptions!F$72&lt;$C$21,0,IF(Assumptions!F$72&lt;=$D$21,$E$21*$B$21/12*(1+$F$21)^INT((Assumptions!F$72-$C$21)/12),IF(Assumptions!F$72&lt;=$D$21+RetailDowntime,0,1)*$E$21*$B$21/12*INDEX(Cum_RetailRent,1,Assumptions!F$77)*RenewalRentFactor)))</f>
        <v/>
      </c>
      <c r="G33" s="52">
        <f>IF(Assumptions!G$74=0,0,IF(Assumptions!G$72&lt;$C$21,0,IF(Assumptions!G$72&lt;=$D$21,$E$21*$B$21/12*(1+$F$21)^INT((Assumptions!G$72-$C$21)/12),IF(Assumptions!G$72&lt;=$D$21+RetailDowntime,0,1)*$E$21*$B$21/12*INDEX(Cum_RetailRent,1,Assumptions!G$77)*RenewalRentFactor)))</f>
        <v/>
      </c>
      <c r="H33" s="52">
        <f>IF(Assumptions!H$74=0,0,IF(Assumptions!H$72&lt;$C$21,0,IF(Assumptions!H$72&lt;=$D$21,$E$21*$B$21/12*(1+$F$21)^INT((Assumptions!H$72-$C$21)/12),IF(Assumptions!H$72&lt;=$D$21+RetailDowntime,0,1)*$E$21*$B$21/12*INDEX(Cum_RetailRent,1,Assumptions!H$77)*RenewalRentFactor)))</f>
        <v/>
      </c>
      <c r="I33" s="52">
        <f>IF(Assumptions!I$74=0,0,IF(Assumptions!I$72&lt;$C$21,0,IF(Assumptions!I$72&lt;=$D$21,$E$21*$B$21/12*(1+$F$21)^INT((Assumptions!I$72-$C$21)/12),IF(Assumptions!I$72&lt;=$D$21+RetailDowntime,0,1)*$E$21*$B$21/12*INDEX(Cum_RetailRent,1,Assumptions!I$77)*RenewalRentFactor)))</f>
        <v/>
      </c>
      <c r="J33" s="52">
        <f>IF(Assumptions!J$74=0,0,IF(Assumptions!J$72&lt;$C$21,0,IF(Assumptions!J$72&lt;=$D$21,$E$21*$B$21/12*(1+$F$21)^INT((Assumptions!J$72-$C$21)/12),IF(Assumptions!J$72&lt;=$D$21+RetailDowntime,0,1)*$E$21*$B$21/12*INDEX(Cum_RetailRent,1,Assumptions!J$77)*RenewalRentFactor)))</f>
        <v/>
      </c>
      <c r="K33" s="52">
        <f>IF(Assumptions!K$74=0,0,IF(Assumptions!K$72&lt;$C$21,0,IF(Assumptions!K$72&lt;=$D$21,$E$21*$B$21/12*(1+$F$21)^INT((Assumptions!K$72-$C$21)/12),IF(Assumptions!K$72&lt;=$D$21+RetailDowntime,0,1)*$E$21*$B$21/12*INDEX(Cum_RetailRent,1,Assumptions!K$77)*RenewalRentFactor)))</f>
        <v/>
      </c>
      <c r="L33" s="52">
        <f>IF(Assumptions!L$74=0,0,IF(Assumptions!L$72&lt;$C$21,0,IF(Assumptions!L$72&lt;=$D$21,$E$21*$B$21/12*(1+$F$21)^INT((Assumptions!L$72-$C$21)/12),IF(Assumptions!L$72&lt;=$D$21+RetailDowntime,0,1)*$E$21*$B$21/12*INDEX(Cum_RetailRent,1,Assumptions!L$77)*RenewalRentFactor)))</f>
        <v/>
      </c>
      <c r="M33" s="52">
        <f>IF(Assumptions!M$74=0,0,IF(Assumptions!M$72&lt;$C$21,0,IF(Assumptions!M$72&lt;=$D$21,$E$21*$B$21/12*(1+$F$21)^INT((Assumptions!M$72-$C$21)/12),IF(Assumptions!M$72&lt;=$D$21+RetailDowntime,0,1)*$E$21*$B$21/12*INDEX(Cum_RetailRent,1,Assumptions!M$77)*RenewalRentFactor)))</f>
        <v/>
      </c>
      <c r="N33" s="52">
        <f>IF(Assumptions!N$74=0,0,IF(Assumptions!N$72&lt;$C$21,0,IF(Assumptions!N$72&lt;=$D$21,$E$21*$B$21/12*(1+$F$21)^INT((Assumptions!N$72-$C$21)/12),IF(Assumptions!N$72&lt;=$D$21+RetailDowntime,0,1)*$E$21*$B$21/12*INDEX(Cum_RetailRent,1,Assumptions!N$77)*RenewalRentFactor)))</f>
        <v/>
      </c>
      <c r="O33" s="52">
        <f>IF(Assumptions!O$74=0,0,IF(Assumptions!O$72&lt;$C$21,0,IF(Assumptions!O$72&lt;=$D$21,$E$21*$B$21/12*(1+$F$21)^INT((Assumptions!O$72-$C$21)/12),IF(Assumptions!O$72&lt;=$D$21+RetailDowntime,0,1)*$E$21*$B$21/12*INDEX(Cum_RetailRent,1,Assumptions!O$77)*RenewalRentFactor)))</f>
        <v/>
      </c>
      <c r="P33" s="52">
        <f>IF(Assumptions!P$74=0,0,IF(Assumptions!P$72&lt;$C$21,0,IF(Assumptions!P$72&lt;=$D$21,$E$21*$B$21/12*(1+$F$21)^INT((Assumptions!P$72-$C$21)/12),IF(Assumptions!P$72&lt;=$D$21+RetailDowntime,0,1)*$E$21*$B$21/12*INDEX(Cum_RetailRent,1,Assumptions!P$77)*RenewalRentFactor)))</f>
        <v/>
      </c>
      <c r="Q33" s="52">
        <f>IF(Assumptions!Q$74=0,0,IF(Assumptions!Q$72&lt;$C$21,0,IF(Assumptions!Q$72&lt;=$D$21,$E$21*$B$21/12*(1+$F$21)^INT((Assumptions!Q$72-$C$21)/12),IF(Assumptions!Q$72&lt;=$D$21+RetailDowntime,0,1)*$E$21*$B$21/12*INDEX(Cum_RetailRent,1,Assumptions!Q$77)*RenewalRentFactor)))</f>
        <v/>
      </c>
      <c r="R33" s="52">
        <f>IF(Assumptions!R$74=0,0,IF(Assumptions!R$72&lt;$C$21,0,IF(Assumptions!R$72&lt;=$D$21,$E$21*$B$21/12*(1+$F$21)^INT((Assumptions!R$72-$C$21)/12),IF(Assumptions!R$72&lt;=$D$21+RetailDowntime,0,1)*$E$21*$B$21/12*INDEX(Cum_RetailRent,1,Assumptions!R$77)*RenewalRentFactor)))</f>
        <v/>
      </c>
      <c r="S33" s="52">
        <f>IF(Assumptions!S$74=0,0,IF(Assumptions!S$72&lt;$C$21,0,IF(Assumptions!S$72&lt;=$D$21,$E$21*$B$21/12*(1+$F$21)^INT((Assumptions!S$72-$C$21)/12),IF(Assumptions!S$72&lt;=$D$21+RetailDowntime,0,1)*$E$21*$B$21/12*INDEX(Cum_RetailRent,1,Assumptions!S$77)*RenewalRentFactor)))</f>
        <v/>
      </c>
      <c r="T33" s="52">
        <f>IF(Assumptions!T$74=0,0,IF(Assumptions!T$72&lt;$C$21,0,IF(Assumptions!T$72&lt;=$D$21,$E$21*$B$21/12*(1+$F$21)^INT((Assumptions!T$72-$C$21)/12),IF(Assumptions!T$72&lt;=$D$21+RetailDowntime,0,1)*$E$21*$B$21/12*INDEX(Cum_RetailRent,1,Assumptions!T$77)*RenewalRentFactor)))</f>
        <v/>
      </c>
      <c r="U33" s="52">
        <f>IF(Assumptions!U$74=0,0,IF(Assumptions!U$72&lt;$C$21,0,IF(Assumptions!U$72&lt;=$D$21,$E$21*$B$21/12*(1+$F$21)^INT((Assumptions!U$72-$C$21)/12),IF(Assumptions!U$72&lt;=$D$21+RetailDowntime,0,1)*$E$21*$B$21/12*INDEX(Cum_RetailRent,1,Assumptions!U$77)*RenewalRentFactor)))</f>
        <v/>
      </c>
      <c r="V33" s="52">
        <f>IF(Assumptions!V$74=0,0,IF(Assumptions!V$72&lt;$C$21,0,IF(Assumptions!V$72&lt;=$D$21,$E$21*$B$21/12*(1+$F$21)^INT((Assumptions!V$72-$C$21)/12),IF(Assumptions!V$72&lt;=$D$21+RetailDowntime,0,1)*$E$21*$B$21/12*INDEX(Cum_RetailRent,1,Assumptions!V$77)*RenewalRentFactor)))</f>
        <v/>
      </c>
      <c r="W33" s="52">
        <f>IF(Assumptions!W$74=0,0,IF(Assumptions!W$72&lt;$C$21,0,IF(Assumptions!W$72&lt;=$D$21,$E$21*$B$21/12*(1+$F$21)^INT((Assumptions!W$72-$C$21)/12),IF(Assumptions!W$72&lt;=$D$21+RetailDowntime,0,1)*$E$21*$B$21/12*INDEX(Cum_RetailRent,1,Assumptions!W$77)*RenewalRentFactor)))</f>
        <v/>
      </c>
      <c r="X33" s="52">
        <f>IF(Assumptions!X$74=0,0,IF(Assumptions!X$72&lt;$C$21,0,IF(Assumptions!X$72&lt;=$D$21,$E$21*$B$21/12*(1+$F$21)^INT((Assumptions!X$72-$C$21)/12),IF(Assumptions!X$72&lt;=$D$21+RetailDowntime,0,1)*$E$21*$B$21/12*INDEX(Cum_RetailRent,1,Assumptions!X$77)*RenewalRentFactor)))</f>
        <v/>
      </c>
      <c r="Y33" s="52">
        <f>IF(Assumptions!Y$74=0,0,IF(Assumptions!Y$72&lt;$C$21,0,IF(Assumptions!Y$72&lt;=$D$21,$E$21*$B$21/12*(1+$F$21)^INT((Assumptions!Y$72-$C$21)/12),IF(Assumptions!Y$72&lt;=$D$21+RetailDowntime,0,1)*$E$21*$B$21/12*INDEX(Cum_RetailRent,1,Assumptions!Y$77)*RenewalRentFactor)))</f>
        <v/>
      </c>
      <c r="Z33" s="52">
        <f>IF(Assumptions!Z$74=0,0,IF(Assumptions!Z$72&lt;$C$21,0,IF(Assumptions!Z$72&lt;=$D$21,$E$21*$B$21/12*(1+$F$21)^INT((Assumptions!Z$72-$C$21)/12),IF(Assumptions!Z$72&lt;=$D$21+RetailDowntime,0,1)*$E$21*$B$21/12*INDEX(Cum_RetailRent,1,Assumptions!Z$77)*RenewalRentFactor)))</f>
        <v/>
      </c>
      <c r="AA33" s="52">
        <f>IF(Assumptions!AA$74=0,0,IF(Assumptions!AA$72&lt;$C$21,0,IF(Assumptions!AA$72&lt;=$D$21,$E$21*$B$21/12*(1+$F$21)^INT((Assumptions!AA$72-$C$21)/12),IF(Assumptions!AA$72&lt;=$D$21+RetailDowntime,0,1)*$E$21*$B$21/12*INDEX(Cum_RetailRent,1,Assumptions!AA$77)*RenewalRentFactor)))</f>
        <v/>
      </c>
      <c r="AB33" s="52">
        <f>IF(Assumptions!AB$74=0,0,IF(Assumptions!AB$72&lt;$C$21,0,IF(Assumptions!AB$72&lt;=$D$21,$E$21*$B$21/12*(1+$F$21)^INT((Assumptions!AB$72-$C$21)/12),IF(Assumptions!AB$72&lt;=$D$21+RetailDowntime,0,1)*$E$21*$B$21/12*INDEX(Cum_RetailRent,1,Assumptions!AB$77)*RenewalRentFactor)))</f>
        <v/>
      </c>
      <c r="AC33" s="52">
        <f>IF(Assumptions!AC$74=0,0,IF(Assumptions!AC$72&lt;$C$21,0,IF(Assumptions!AC$72&lt;=$D$21,$E$21*$B$21/12*(1+$F$21)^INT((Assumptions!AC$72-$C$21)/12),IF(Assumptions!AC$72&lt;=$D$21+RetailDowntime,0,1)*$E$21*$B$21/12*INDEX(Cum_RetailRent,1,Assumptions!AC$77)*RenewalRentFactor)))</f>
        <v/>
      </c>
      <c r="AD33" s="52">
        <f>IF(Assumptions!AD$74=0,0,IF(Assumptions!AD$72&lt;$C$21,0,IF(Assumptions!AD$72&lt;=$D$21,$E$21*$B$21/12*(1+$F$21)^INT((Assumptions!AD$72-$C$21)/12),IF(Assumptions!AD$72&lt;=$D$21+RetailDowntime,0,1)*$E$21*$B$21/12*INDEX(Cum_RetailRent,1,Assumptions!AD$77)*RenewalRentFactor)))</f>
        <v/>
      </c>
      <c r="AE33" s="52">
        <f>IF(Assumptions!AE$74=0,0,IF(Assumptions!AE$72&lt;$C$21,0,IF(Assumptions!AE$72&lt;=$D$21,$E$21*$B$21/12*(1+$F$21)^INT((Assumptions!AE$72-$C$21)/12),IF(Assumptions!AE$72&lt;=$D$21+RetailDowntime,0,1)*$E$21*$B$21/12*INDEX(Cum_RetailRent,1,Assumptions!AE$77)*RenewalRentFactor)))</f>
        <v/>
      </c>
      <c r="AF33" s="52">
        <f>IF(Assumptions!AF$74=0,0,IF(Assumptions!AF$72&lt;$C$21,0,IF(Assumptions!AF$72&lt;=$D$21,$E$21*$B$21/12*(1+$F$21)^INT((Assumptions!AF$72-$C$21)/12),IF(Assumptions!AF$72&lt;=$D$21+RetailDowntime,0,1)*$E$21*$B$21/12*INDEX(Cum_RetailRent,1,Assumptions!AF$77)*RenewalRentFactor)))</f>
        <v/>
      </c>
      <c r="AG33" s="52">
        <f>IF(Assumptions!AG$74=0,0,IF(Assumptions!AG$72&lt;$C$21,0,IF(Assumptions!AG$72&lt;=$D$21,$E$21*$B$21/12*(1+$F$21)^INT((Assumptions!AG$72-$C$21)/12),IF(Assumptions!AG$72&lt;=$D$21+RetailDowntime,0,1)*$E$21*$B$21/12*INDEX(Cum_RetailRent,1,Assumptions!AG$77)*RenewalRentFactor)))</f>
        <v/>
      </c>
      <c r="AH33" s="52">
        <f>IF(Assumptions!AH$74=0,0,IF(Assumptions!AH$72&lt;$C$21,0,IF(Assumptions!AH$72&lt;=$D$21,$E$21*$B$21/12*(1+$F$21)^INT((Assumptions!AH$72-$C$21)/12),IF(Assumptions!AH$72&lt;=$D$21+RetailDowntime,0,1)*$E$21*$B$21/12*INDEX(Cum_RetailRent,1,Assumptions!AH$77)*RenewalRentFactor)))</f>
        <v/>
      </c>
      <c r="AI33" s="52">
        <f>IF(Assumptions!AI$74=0,0,IF(Assumptions!AI$72&lt;$C$21,0,IF(Assumptions!AI$72&lt;=$D$21,$E$21*$B$21/12*(1+$F$21)^INT((Assumptions!AI$72-$C$21)/12),IF(Assumptions!AI$72&lt;=$D$21+RetailDowntime,0,1)*$E$21*$B$21/12*INDEX(Cum_RetailRent,1,Assumptions!AI$77)*RenewalRentFactor)))</f>
        <v/>
      </c>
      <c r="AJ33" s="52">
        <f>IF(Assumptions!AJ$74=0,0,IF(Assumptions!AJ$72&lt;$C$21,0,IF(Assumptions!AJ$72&lt;=$D$21,$E$21*$B$21/12*(1+$F$21)^INT((Assumptions!AJ$72-$C$21)/12),IF(Assumptions!AJ$72&lt;=$D$21+RetailDowntime,0,1)*$E$21*$B$21/12*INDEX(Cum_RetailRent,1,Assumptions!AJ$77)*RenewalRentFactor)))</f>
        <v/>
      </c>
      <c r="AK33" s="52">
        <f>IF(Assumptions!AK$74=0,0,IF(Assumptions!AK$72&lt;$C$21,0,IF(Assumptions!AK$72&lt;=$D$21,$E$21*$B$21/12*(1+$F$21)^INT((Assumptions!AK$72-$C$21)/12),IF(Assumptions!AK$72&lt;=$D$21+RetailDowntime,0,1)*$E$21*$B$21/12*INDEX(Cum_RetailRent,1,Assumptions!AK$77)*RenewalRentFactor)))</f>
        <v/>
      </c>
      <c r="AL33" s="52">
        <f>IF(Assumptions!AL$74=0,0,IF(Assumptions!AL$72&lt;$C$21,0,IF(Assumptions!AL$72&lt;=$D$21,$E$21*$B$21/12*(1+$F$21)^INT((Assumptions!AL$72-$C$21)/12),IF(Assumptions!AL$72&lt;=$D$21+RetailDowntime,0,1)*$E$21*$B$21/12*INDEX(Cum_RetailRent,1,Assumptions!AL$77)*RenewalRentFactor)))</f>
        <v/>
      </c>
      <c r="AM33" s="52">
        <f>IF(Assumptions!AM$74=0,0,IF(Assumptions!AM$72&lt;$C$21,0,IF(Assumptions!AM$72&lt;=$D$21,$E$21*$B$21/12*(1+$F$21)^INT((Assumptions!AM$72-$C$21)/12),IF(Assumptions!AM$72&lt;=$D$21+RetailDowntime,0,1)*$E$21*$B$21/12*INDEX(Cum_RetailRent,1,Assumptions!AM$77)*RenewalRentFactor)))</f>
        <v/>
      </c>
      <c r="AN33" s="52">
        <f>IF(Assumptions!AN$74=0,0,IF(Assumptions!AN$72&lt;$C$21,0,IF(Assumptions!AN$72&lt;=$D$21,$E$21*$B$21/12*(1+$F$21)^INT((Assumptions!AN$72-$C$21)/12),IF(Assumptions!AN$72&lt;=$D$21+RetailDowntime,0,1)*$E$21*$B$21/12*INDEX(Cum_RetailRent,1,Assumptions!AN$77)*RenewalRentFactor)))</f>
        <v/>
      </c>
      <c r="AO33" s="52">
        <f>IF(Assumptions!AO$74=0,0,IF(Assumptions!AO$72&lt;$C$21,0,IF(Assumptions!AO$72&lt;=$D$21,$E$21*$B$21/12*(1+$F$21)^INT((Assumptions!AO$72-$C$21)/12),IF(Assumptions!AO$72&lt;=$D$21+RetailDowntime,0,1)*$E$21*$B$21/12*INDEX(Cum_RetailRent,1,Assumptions!AO$77)*RenewalRentFactor)))</f>
        <v/>
      </c>
      <c r="AP33" s="52">
        <f>IF(Assumptions!AP$74=0,0,IF(Assumptions!AP$72&lt;$C$21,0,IF(Assumptions!AP$72&lt;=$D$21,$E$21*$B$21/12*(1+$F$21)^INT((Assumptions!AP$72-$C$21)/12),IF(Assumptions!AP$72&lt;=$D$21+RetailDowntime,0,1)*$E$21*$B$21/12*INDEX(Cum_RetailRent,1,Assumptions!AP$77)*RenewalRentFactor)))</f>
        <v/>
      </c>
      <c r="AQ33" s="52">
        <f>IF(Assumptions!AQ$74=0,0,IF(Assumptions!AQ$72&lt;$C$21,0,IF(Assumptions!AQ$72&lt;=$D$21,$E$21*$B$21/12*(1+$F$21)^INT((Assumptions!AQ$72-$C$21)/12),IF(Assumptions!AQ$72&lt;=$D$21+RetailDowntime,0,1)*$E$21*$B$21/12*INDEX(Cum_RetailRent,1,Assumptions!AQ$77)*RenewalRentFactor)))</f>
        <v/>
      </c>
      <c r="AR33" s="52">
        <f>IF(Assumptions!AR$74=0,0,IF(Assumptions!AR$72&lt;$C$21,0,IF(Assumptions!AR$72&lt;=$D$21,$E$21*$B$21/12*(1+$F$21)^INT((Assumptions!AR$72-$C$21)/12),IF(Assumptions!AR$72&lt;=$D$21+RetailDowntime,0,1)*$E$21*$B$21/12*INDEX(Cum_RetailRent,1,Assumptions!AR$77)*RenewalRentFactor)))</f>
        <v/>
      </c>
      <c r="AS33" s="52">
        <f>IF(Assumptions!AS$74=0,0,IF(Assumptions!AS$72&lt;$C$21,0,IF(Assumptions!AS$72&lt;=$D$21,$E$21*$B$21/12*(1+$F$21)^INT((Assumptions!AS$72-$C$21)/12),IF(Assumptions!AS$72&lt;=$D$21+RetailDowntime,0,1)*$E$21*$B$21/12*INDEX(Cum_RetailRent,1,Assumptions!AS$77)*RenewalRentFactor)))</f>
        <v/>
      </c>
      <c r="AT33" s="52">
        <f>IF(Assumptions!AT$74=0,0,IF(Assumptions!AT$72&lt;$C$21,0,IF(Assumptions!AT$72&lt;=$D$21,$E$21*$B$21/12*(1+$F$21)^INT((Assumptions!AT$72-$C$21)/12),IF(Assumptions!AT$72&lt;=$D$21+RetailDowntime,0,1)*$E$21*$B$21/12*INDEX(Cum_RetailRent,1,Assumptions!AT$77)*RenewalRentFactor)))</f>
        <v/>
      </c>
      <c r="AU33" s="52">
        <f>IF(Assumptions!AU$74=0,0,IF(Assumptions!AU$72&lt;$C$21,0,IF(Assumptions!AU$72&lt;=$D$21,$E$21*$B$21/12*(1+$F$21)^INT((Assumptions!AU$72-$C$21)/12),IF(Assumptions!AU$72&lt;=$D$21+RetailDowntime,0,1)*$E$21*$B$21/12*INDEX(Cum_RetailRent,1,Assumptions!AU$77)*RenewalRentFactor)))</f>
        <v/>
      </c>
      <c r="AV33" s="52">
        <f>IF(Assumptions!AV$74=0,0,IF(Assumptions!AV$72&lt;$C$21,0,IF(Assumptions!AV$72&lt;=$D$21,$E$21*$B$21/12*(1+$F$21)^INT((Assumptions!AV$72-$C$21)/12),IF(Assumptions!AV$72&lt;=$D$21+RetailDowntime,0,1)*$E$21*$B$21/12*INDEX(Cum_RetailRent,1,Assumptions!AV$77)*RenewalRentFactor)))</f>
        <v/>
      </c>
      <c r="AW33" s="52">
        <f>IF(Assumptions!AW$74=0,0,IF(Assumptions!AW$72&lt;$C$21,0,IF(Assumptions!AW$72&lt;=$D$21,$E$21*$B$21/12*(1+$F$21)^INT((Assumptions!AW$72-$C$21)/12),IF(Assumptions!AW$72&lt;=$D$21+RetailDowntime,0,1)*$E$21*$B$21/12*INDEX(Cum_RetailRent,1,Assumptions!AW$77)*RenewalRentFactor)))</f>
        <v/>
      </c>
      <c r="AX33" s="52">
        <f>IF(Assumptions!AX$74=0,0,IF(Assumptions!AX$72&lt;$C$21,0,IF(Assumptions!AX$72&lt;=$D$21,$E$21*$B$21/12*(1+$F$21)^INT((Assumptions!AX$72-$C$21)/12),IF(Assumptions!AX$72&lt;=$D$21+RetailDowntime,0,1)*$E$21*$B$21/12*INDEX(Cum_RetailRent,1,Assumptions!AX$77)*RenewalRentFactor)))</f>
        <v/>
      </c>
      <c r="AY33" s="52">
        <f>IF(Assumptions!AY$74=0,0,IF(Assumptions!AY$72&lt;$C$21,0,IF(Assumptions!AY$72&lt;=$D$21,$E$21*$B$21/12*(1+$F$21)^INT((Assumptions!AY$72-$C$21)/12),IF(Assumptions!AY$72&lt;=$D$21+RetailDowntime,0,1)*$E$21*$B$21/12*INDEX(Cum_RetailRent,1,Assumptions!AY$77)*RenewalRentFactor)))</f>
        <v/>
      </c>
      <c r="AZ33" s="52">
        <f>IF(Assumptions!AZ$74=0,0,IF(Assumptions!AZ$72&lt;$C$21,0,IF(Assumptions!AZ$72&lt;=$D$21,$E$21*$B$21/12*(1+$F$21)^INT((Assumptions!AZ$72-$C$21)/12),IF(Assumptions!AZ$72&lt;=$D$21+RetailDowntime,0,1)*$E$21*$B$21/12*INDEX(Cum_RetailRent,1,Assumptions!AZ$77)*RenewalRentFactor)))</f>
        <v/>
      </c>
      <c r="BA33" s="52">
        <f>IF(Assumptions!BA$74=0,0,IF(Assumptions!BA$72&lt;$C$21,0,IF(Assumptions!BA$72&lt;=$D$21,$E$21*$B$21/12*(1+$F$21)^INT((Assumptions!BA$72-$C$21)/12),IF(Assumptions!BA$72&lt;=$D$21+RetailDowntime,0,1)*$E$21*$B$21/12*INDEX(Cum_RetailRent,1,Assumptions!BA$77)*RenewalRentFactor)))</f>
        <v/>
      </c>
      <c r="BB33" s="52">
        <f>IF(Assumptions!BB$74=0,0,IF(Assumptions!BB$72&lt;$C$21,0,IF(Assumptions!BB$72&lt;=$D$21,$E$21*$B$21/12*(1+$F$21)^INT((Assumptions!BB$72-$C$21)/12),IF(Assumptions!BB$72&lt;=$D$21+RetailDowntime,0,1)*$E$21*$B$21/12*INDEX(Cum_RetailRent,1,Assumptions!BB$77)*RenewalRentFactor)))</f>
        <v/>
      </c>
      <c r="BC33" s="52">
        <f>IF(Assumptions!BC$74=0,0,IF(Assumptions!BC$72&lt;$C$21,0,IF(Assumptions!BC$72&lt;=$D$21,$E$21*$B$21/12*(1+$F$21)^INT((Assumptions!BC$72-$C$21)/12),IF(Assumptions!BC$72&lt;=$D$21+RetailDowntime,0,1)*$E$21*$B$21/12*INDEX(Cum_RetailRent,1,Assumptions!BC$77)*RenewalRentFactor)))</f>
        <v/>
      </c>
      <c r="BD33" s="52">
        <f>IF(Assumptions!BD$74=0,0,IF(Assumptions!BD$72&lt;$C$21,0,IF(Assumptions!BD$72&lt;=$D$21,$E$21*$B$21/12*(1+$F$21)^INT((Assumptions!BD$72-$C$21)/12),IF(Assumptions!BD$72&lt;=$D$21+RetailDowntime,0,1)*$E$21*$B$21/12*INDEX(Cum_RetailRent,1,Assumptions!BD$77)*RenewalRentFactor)))</f>
        <v/>
      </c>
      <c r="BE33" s="52">
        <f>IF(Assumptions!BE$74=0,0,IF(Assumptions!BE$72&lt;$C$21,0,IF(Assumptions!BE$72&lt;=$D$21,$E$21*$B$21/12*(1+$F$21)^INT((Assumptions!BE$72-$C$21)/12),IF(Assumptions!BE$72&lt;=$D$21+RetailDowntime,0,1)*$E$21*$B$21/12*INDEX(Cum_RetailRent,1,Assumptions!BE$77)*RenewalRentFactor)))</f>
        <v/>
      </c>
      <c r="BF33" s="52">
        <f>IF(Assumptions!BF$74=0,0,IF(Assumptions!BF$72&lt;$C$21,0,IF(Assumptions!BF$72&lt;=$D$21,$E$21*$B$21/12*(1+$F$21)^INT((Assumptions!BF$72-$C$21)/12),IF(Assumptions!BF$72&lt;=$D$21+RetailDowntime,0,1)*$E$21*$B$21/12*INDEX(Cum_RetailRent,1,Assumptions!BF$77)*RenewalRentFactor)))</f>
        <v/>
      </c>
      <c r="BG33" s="52">
        <f>IF(Assumptions!BG$74=0,0,IF(Assumptions!BG$72&lt;$C$21,0,IF(Assumptions!BG$72&lt;=$D$21,$E$21*$B$21/12*(1+$F$21)^INT((Assumptions!BG$72-$C$21)/12),IF(Assumptions!BG$72&lt;=$D$21+RetailDowntime,0,1)*$E$21*$B$21/12*INDEX(Cum_RetailRent,1,Assumptions!BG$77)*RenewalRentFactor)))</f>
        <v/>
      </c>
      <c r="BH33" s="52">
        <f>IF(Assumptions!BH$74=0,0,IF(Assumptions!BH$72&lt;$C$21,0,IF(Assumptions!BH$72&lt;=$D$21,$E$21*$B$21/12*(1+$F$21)^INT((Assumptions!BH$72-$C$21)/12),IF(Assumptions!BH$72&lt;=$D$21+RetailDowntime,0,1)*$E$21*$B$21/12*INDEX(Cum_RetailRent,1,Assumptions!BH$77)*RenewalRentFactor)))</f>
        <v/>
      </c>
      <c r="BI33" s="52">
        <f>IF(Assumptions!BI$74=0,0,IF(Assumptions!BI$72&lt;$C$21,0,IF(Assumptions!BI$72&lt;=$D$21,$E$21*$B$21/12*(1+$F$21)^INT((Assumptions!BI$72-$C$21)/12),IF(Assumptions!BI$72&lt;=$D$21+RetailDowntime,0,1)*$E$21*$B$21/12*INDEX(Cum_RetailRent,1,Assumptions!BI$77)*RenewalRentFactor)))</f>
        <v/>
      </c>
      <c r="BJ33" s="52">
        <f>IF(Assumptions!BJ$74=0,0,IF(Assumptions!BJ$72&lt;$C$21,0,IF(Assumptions!BJ$72&lt;=$D$21,$E$21*$B$21/12*(1+$F$21)^INT((Assumptions!BJ$72-$C$21)/12),IF(Assumptions!BJ$72&lt;=$D$21+RetailDowntime,0,1)*$E$21*$B$21/12*INDEX(Cum_RetailRent,1,Assumptions!BJ$77)*RenewalRentFactor)))</f>
        <v/>
      </c>
      <c r="BK33" s="52">
        <f>IF(Assumptions!BK$74=0,0,IF(Assumptions!BK$72&lt;$C$21,0,IF(Assumptions!BK$72&lt;=$D$21,$E$21*$B$21/12*(1+$F$21)^INT((Assumptions!BK$72-$C$21)/12),IF(Assumptions!BK$72&lt;=$D$21+RetailDowntime,0,1)*$E$21*$B$21/12*INDEX(Cum_RetailRent,1,Assumptions!BK$77)*RenewalRentFactor)))</f>
        <v/>
      </c>
      <c r="BL33" s="52">
        <f>IF(Assumptions!BL$74=0,0,IF(Assumptions!BL$72&lt;$C$21,0,IF(Assumptions!BL$72&lt;=$D$21,$E$21*$B$21/12*(1+$F$21)^INT((Assumptions!BL$72-$C$21)/12),IF(Assumptions!BL$72&lt;=$D$21+RetailDowntime,0,1)*$E$21*$B$21/12*INDEX(Cum_RetailRent,1,Assumptions!BL$77)*RenewalRentFactor)))</f>
        <v/>
      </c>
      <c r="BM33" s="52">
        <f>IF(Assumptions!BM$74=0,0,IF(Assumptions!BM$72&lt;$C$21,0,IF(Assumptions!BM$72&lt;=$D$21,$E$21*$B$21/12*(1+$F$21)^INT((Assumptions!BM$72-$C$21)/12),IF(Assumptions!BM$72&lt;=$D$21+RetailDowntime,0,1)*$E$21*$B$21/12*INDEX(Cum_RetailRent,1,Assumptions!BM$77)*RenewalRentFactor)))</f>
        <v/>
      </c>
      <c r="BN33" s="52">
        <f>IF(Assumptions!BN$74=0,0,IF(Assumptions!BN$72&lt;$C$21,0,IF(Assumptions!BN$72&lt;=$D$21,$E$21*$B$21/12*(1+$F$21)^INT((Assumptions!BN$72-$C$21)/12),IF(Assumptions!BN$72&lt;=$D$21+RetailDowntime,0,1)*$E$21*$B$21/12*INDEX(Cum_RetailRent,1,Assumptions!BN$77)*RenewalRentFactor)))</f>
        <v/>
      </c>
      <c r="BO33" s="52">
        <f>IF(Assumptions!BO$74=0,0,IF(Assumptions!BO$72&lt;$C$21,0,IF(Assumptions!BO$72&lt;=$D$21,$E$21*$B$21/12*(1+$F$21)^INT((Assumptions!BO$72-$C$21)/12),IF(Assumptions!BO$72&lt;=$D$21+RetailDowntime,0,1)*$E$21*$B$21/12*INDEX(Cum_RetailRent,1,Assumptions!BO$77)*RenewalRentFactor)))</f>
        <v/>
      </c>
      <c r="BP33" s="52">
        <f>IF(Assumptions!BP$74=0,0,IF(Assumptions!BP$72&lt;$C$21,0,IF(Assumptions!BP$72&lt;=$D$21,$E$21*$B$21/12*(1+$F$21)^INT((Assumptions!BP$72-$C$21)/12),IF(Assumptions!BP$72&lt;=$D$21+RetailDowntime,0,1)*$E$21*$B$21/12*INDEX(Cum_RetailRent,1,Assumptions!BP$77)*RenewalRentFactor)))</f>
        <v/>
      </c>
      <c r="BQ33" s="52">
        <f>IF(Assumptions!BQ$74=0,0,IF(Assumptions!BQ$72&lt;$C$21,0,IF(Assumptions!BQ$72&lt;=$D$21,$E$21*$B$21/12*(1+$F$21)^INT((Assumptions!BQ$72-$C$21)/12),IF(Assumptions!BQ$72&lt;=$D$21+RetailDowntime,0,1)*$E$21*$B$21/12*INDEX(Cum_RetailRent,1,Assumptions!BQ$77)*RenewalRentFactor)))</f>
        <v/>
      </c>
      <c r="BR33" s="52">
        <f>IF(Assumptions!BR$74=0,0,IF(Assumptions!BR$72&lt;$C$21,0,IF(Assumptions!BR$72&lt;=$D$21,$E$21*$B$21/12*(1+$F$21)^INT((Assumptions!BR$72-$C$21)/12),IF(Assumptions!BR$72&lt;=$D$21+RetailDowntime,0,1)*$E$21*$B$21/12*INDEX(Cum_RetailRent,1,Assumptions!BR$77)*RenewalRentFactor)))</f>
        <v/>
      </c>
      <c r="BS33" s="52">
        <f>IF(Assumptions!BS$74=0,0,IF(Assumptions!BS$72&lt;$C$21,0,IF(Assumptions!BS$72&lt;=$D$21,$E$21*$B$21/12*(1+$F$21)^INT((Assumptions!BS$72-$C$21)/12),IF(Assumptions!BS$72&lt;=$D$21+RetailDowntime,0,1)*$E$21*$B$21/12*INDEX(Cum_RetailRent,1,Assumptions!BS$77)*RenewalRentFactor)))</f>
        <v/>
      </c>
      <c r="BT33" s="52">
        <f>IF(Assumptions!BT$74=0,0,IF(Assumptions!BT$72&lt;$C$21,0,IF(Assumptions!BT$72&lt;=$D$21,$E$21*$B$21/12*(1+$F$21)^INT((Assumptions!BT$72-$C$21)/12),IF(Assumptions!BT$72&lt;=$D$21+RetailDowntime,0,1)*$E$21*$B$21/12*INDEX(Cum_RetailRent,1,Assumptions!BT$77)*RenewalRentFactor)))</f>
        <v/>
      </c>
      <c r="BU33" s="52">
        <f>IF(Assumptions!BU$74=0,0,IF(Assumptions!BU$72&lt;$C$21,0,IF(Assumptions!BU$72&lt;=$D$21,$E$21*$B$21/12*(1+$F$21)^INT((Assumptions!BU$72-$C$21)/12),IF(Assumptions!BU$72&lt;=$D$21+RetailDowntime,0,1)*$E$21*$B$21/12*INDEX(Cum_RetailRent,1,Assumptions!BU$77)*RenewalRentFactor)))</f>
        <v/>
      </c>
      <c r="BV33" s="52">
        <f>IF(Assumptions!BV$74=0,0,IF(Assumptions!BV$72&lt;$C$21,0,IF(Assumptions!BV$72&lt;=$D$21,$E$21*$B$21/12*(1+$F$21)^INT((Assumptions!BV$72-$C$21)/12),IF(Assumptions!BV$72&lt;=$D$21+RetailDowntime,0,1)*$E$21*$B$21/12*INDEX(Cum_RetailRent,1,Assumptions!BV$77)*RenewalRentFactor)))</f>
        <v/>
      </c>
      <c r="BW33" s="52">
        <f>IF(Assumptions!BW$74=0,0,IF(Assumptions!BW$72&lt;$C$21,0,IF(Assumptions!BW$72&lt;=$D$21,$E$21*$B$21/12*(1+$F$21)^INT((Assumptions!BW$72-$C$21)/12),IF(Assumptions!BW$72&lt;=$D$21+RetailDowntime,0,1)*$E$21*$B$21/12*INDEX(Cum_RetailRent,1,Assumptions!BW$77)*RenewalRentFactor)))</f>
        <v/>
      </c>
      <c r="BX33" s="52">
        <f>IF(Assumptions!BX$74=0,0,IF(Assumptions!BX$72&lt;$C$21,0,IF(Assumptions!BX$72&lt;=$D$21,$E$21*$B$21/12*(1+$F$21)^INT((Assumptions!BX$72-$C$21)/12),IF(Assumptions!BX$72&lt;=$D$21+RetailDowntime,0,1)*$E$21*$B$21/12*INDEX(Cum_RetailRent,1,Assumptions!BX$77)*RenewalRentFactor)))</f>
        <v/>
      </c>
      <c r="BY33" s="52">
        <f>IF(Assumptions!BY$74=0,0,IF(Assumptions!BY$72&lt;$C$21,0,IF(Assumptions!BY$72&lt;=$D$21,$E$21*$B$21/12*(1+$F$21)^INT((Assumptions!BY$72-$C$21)/12),IF(Assumptions!BY$72&lt;=$D$21+RetailDowntime,0,1)*$E$21*$B$21/12*INDEX(Cum_RetailRent,1,Assumptions!BY$77)*RenewalRentFactor)))</f>
        <v/>
      </c>
      <c r="BZ33" s="52">
        <f>IF(Assumptions!BZ$74=0,0,IF(Assumptions!BZ$72&lt;$C$21,0,IF(Assumptions!BZ$72&lt;=$D$21,$E$21*$B$21/12*(1+$F$21)^INT((Assumptions!BZ$72-$C$21)/12),IF(Assumptions!BZ$72&lt;=$D$21+RetailDowntime,0,1)*$E$21*$B$21/12*INDEX(Cum_RetailRent,1,Assumptions!BZ$77)*RenewalRentFactor)))</f>
        <v/>
      </c>
      <c r="CA33" s="52">
        <f>IF(Assumptions!CA$74=0,0,IF(Assumptions!CA$72&lt;$C$21,0,IF(Assumptions!CA$72&lt;=$D$21,$E$21*$B$21/12*(1+$F$21)^INT((Assumptions!CA$72-$C$21)/12),IF(Assumptions!CA$72&lt;=$D$21+RetailDowntime,0,1)*$E$21*$B$21/12*INDEX(Cum_RetailRent,1,Assumptions!CA$77)*RenewalRentFactor)))</f>
        <v/>
      </c>
      <c r="CB33" s="52">
        <f>IF(Assumptions!CB$74=0,0,IF(Assumptions!CB$72&lt;$C$21,0,IF(Assumptions!CB$72&lt;=$D$21,$E$21*$B$21/12*(1+$F$21)^INT((Assumptions!CB$72-$C$21)/12),IF(Assumptions!CB$72&lt;=$D$21+RetailDowntime,0,1)*$E$21*$B$21/12*INDEX(Cum_RetailRent,1,Assumptions!CB$77)*RenewalRentFactor)))</f>
        <v/>
      </c>
      <c r="CC33" s="52">
        <f>IF(Assumptions!CC$74=0,0,IF(Assumptions!CC$72&lt;$C$21,0,IF(Assumptions!CC$72&lt;=$D$21,$E$21*$B$21/12*(1+$F$21)^INT((Assumptions!CC$72-$C$21)/12),IF(Assumptions!CC$72&lt;=$D$21+RetailDowntime,0,1)*$E$21*$B$21/12*INDEX(Cum_RetailRent,1,Assumptions!CC$77)*RenewalRentFactor)))</f>
        <v/>
      </c>
      <c r="CD33" s="52">
        <f>IF(Assumptions!CD$74=0,0,IF(Assumptions!CD$72&lt;$C$21,0,IF(Assumptions!CD$72&lt;=$D$21,$E$21*$B$21/12*(1+$F$21)^INT((Assumptions!CD$72-$C$21)/12),IF(Assumptions!CD$72&lt;=$D$21+RetailDowntime,0,1)*$E$21*$B$21/12*INDEX(Cum_RetailRent,1,Assumptions!CD$77)*RenewalRentFactor)))</f>
        <v/>
      </c>
      <c r="CE33" s="52">
        <f>IF(Assumptions!CE$74=0,0,IF(Assumptions!CE$72&lt;$C$21,0,IF(Assumptions!CE$72&lt;=$D$21,$E$21*$B$21/12*(1+$F$21)^INT((Assumptions!CE$72-$C$21)/12),IF(Assumptions!CE$72&lt;=$D$21+RetailDowntime,0,1)*$E$21*$B$21/12*INDEX(Cum_RetailRent,1,Assumptions!CE$77)*RenewalRentFactor)))</f>
        <v/>
      </c>
      <c r="CF33" s="52">
        <f>IF(Assumptions!CF$74=0,0,IF(Assumptions!CF$72&lt;$C$21,0,IF(Assumptions!CF$72&lt;=$D$21,$E$21*$B$21/12*(1+$F$21)^INT((Assumptions!CF$72-$C$21)/12),IF(Assumptions!CF$72&lt;=$D$21+RetailDowntime,0,1)*$E$21*$B$21/12*INDEX(Cum_RetailRent,1,Assumptions!CF$77)*RenewalRentFactor)))</f>
        <v/>
      </c>
      <c r="CG33" s="52">
        <f>IF(Assumptions!CG$74=0,0,IF(Assumptions!CG$72&lt;$C$21,0,IF(Assumptions!CG$72&lt;=$D$21,$E$21*$B$21/12*(1+$F$21)^INT((Assumptions!CG$72-$C$21)/12),IF(Assumptions!CG$72&lt;=$D$21+RetailDowntime,0,1)*$E$21*$B$21/12*INDEX(Cum_RetailRent,1,Assumptions!CG$77)*RenewalRentFactor)))</f>
        <v/>
      </c>
      <c r="CH33" s="52">
        <f>IF(Assumptions!CH$74=0,0,IF(Assumptions!CH$72&lt;$C$21,0,IF(Assumptions!CH$72&lt;=$D$21,$E$21*$B$21/12*(1+$F$21)^INT((Assumptions!CH$72-$C$21)/12),IF(Assumptions!CH$72&lt;=$D$21+RetailDowntime,0,1)*$E$21*$B$21/12*INDEX(Cum_RetailRent,1,Assumptions!CH$77)*RenewalRentFactor)))</f>
        <v/>
      </c>
      <c r="CI33" s="52">
        <f>IF(Assumptions!CI$74=0,0,IF(Assumptions!CI$72&lt;$C$21,0,IF(Assumptions!CI$72&lt;=$D$21,$E$21*$B$21/12*(1+$F$21)^INT((Assumptions!CI$72-$C$21)/12),IF(Assumptions!CI$72&lt;=$D$21+RetailDowntime,0,1)*$E$21*$B$21/12*INDEX(Cum_RetailRent,1,Assumptions!CI$77)*RenewalRentFactor)))</f>
        <v/>
      </c>
      <c r="CJ33" s="52">
        <f>IF(Assumptions!CJ$74=0,0,IF(Assumptions!CJ$72&lt;$C$21,0,IF(Assumptions!CJ$72&lt;=$D$21,$E$21*$B$21/12*(1+$F$21)^INT((Assumptions!CJ$72-$C$21)/12),IF(Assumptions!CJ$72&lt;=$D$21+RetailDowntime,0,1)*$E$21*$B$21/12*INDEX(Cum_RetailRent,1,Assumptions!CJ$77)*RenewalRentFactor)))</f>
        <v/>
      </c>
      <c r="CK33" s="52">
        <f>IF(Assumptions!CK$74=0,0,IF(Assumptions!CK$72&lt;$C$21,0,IF(Assumptions!CK$72&lt;=$D$21,$E$21*$B$21/12*(1+$F$21)^INT((Assumptions!CK$72-$C$21)/12),IF(Assumptions!CK$72&lt;=$D$21+RetailDowntime,0,1)*$E$21*$B$21/12*INDEX(Cum_RetailRent,1,Assumptions!CK$77)*RenewalRentFactor)))</f>
        <v/>
      </c>
      <c r="CL33" s="52">
        <f>IF(Assumptions!CL$74=0,0,IF(Assumptions!CL$72&lt;$C$21,0,IF(Assumptions!CL$72&lt;=$D$21,$E$21*$B$21/12*(1+$F$21)^INT((Assumptions!CL$72-$C$21)/12),IF(Assumptions!CL$72&lt;=$D$21+RetailDowntime,0,1)*$E$21*$B$21/12*INDEX(Cum_RetailRent,1,Assumptions!CL$77)*RenewalRentFactor)))</f>
        <v/>
      </c>
      <c r="CM33" s="52">
        <f>IF(Assumptions!CM$74=0,0,IF(Assumptions!CM$72&lt;$C$21,0,IF(Assumptions!CM$72&lt;=$D$21,$E$21*$B$21/12*(1+$F$21)^INT((Assumptions!CM$72-$C$21)/12),IF(Assumptions!CM$72&lt;=$D$21+RetailDowntime,0,1)*$E$21*$B$21/12*INDEX(Cum_RetailRent,1,Assumptions!CM$77)*RenewalRentFactor)))</f>
        <v/>
      </c>
      <c r="CN33" s="52">
        <f>IF(Assumptions!CN$74=0,0,IF(Assumptions!CN$72&lt;$C$21,0,IF(Assumptions!CN$72&lt;=$D$21,$E$21*$B$21/12*(1+$F$21)^INT((Assumptions!CN$72-$C$21)/12),IF(Assumptions!CN$72&lt;=$D$21+RetailDowntime,0,1)*$E$21*$B$21/12*INDEX(Cum_RetailRent,1,Assumptions!CN$77)*RenewalRentFactor)))</f>
        <v/>
      </c>
      <c r="CO33" s="52">
        <f>IF(Assumptions!CO$74=0,0,IF(Assumptions!CO$72&lt;$C$21,0,IF(Assumptions!CO$72&lt;=$D$21,$E$21*$B$21/12*(1+$F$21)^INT((Assumptions!CO$72-$C$21)/12),IF(Assumptions!CO$72&lt;=$D$21+RetailDowntime,0,1)*$E$21*$B$21/12*INDEX(Cum_RetailRent,1,Assumptions!CO$77)*RenewalRentFactor)))</f>
        <v/>
      </c>
      <c r="CP33" s="52">
        <f>IF(Assumptions!CP$74=0,0,IF(Assumptions!CP$72&lt;$C$21,0,IF(Assumptions!CP$72&lt;=$D$21,$E$21*$B$21/12*(1+$F$21)^INT((Assumptions!CP$72-$C$21)/12),IF(Assumptions!CP$72&lt;=$D$21+RetailDowntime,0,1)*$E$21*$B$21/12*INDEX(Cum_RetailRent,1,Assumptions!CP$77)*RenewalRentFactor)))</f>
        <v/>
      </c>
      <c r="CQ33" s="52">
        <f>IF(Assumptions!CQ$74=0,0,IF(Assumptions!CQ$72&lt;$C$21,0,IF(Assumptions!CQ$72&lt;=$D$21,$E$21*$B$21/12*(1+$F$21)^INT((Assumptions!CQ$72-$C$21)/12),IF(Assumptions!CQ$72&lt;=$D$21+RetailDowntime,0,1)*$E$21*$B$21/12*INDEX(Cum_RetailRent,1,Assumptions!CQ$77)*RenewalRentFactor)))</f>
        <v/>
      </c>
      <c r="CR33" s="52">
        <f>IF(Assumptions!CR$74=0,0,IF(Assumptions!CR$72&lt;$C$21,0,IF(Assumptions!CR$72&lt;=$D$21,$E$21*$B$21/12*(1+$F$21)^INT((Assumptions!CR$72-$C$21)/12),IF(Assumptions!CR$72&lt;=$D$21+RetailDowntime,0,1)*$E$21*$B$21/12*INDEX(Cum_RetailRent,1,Assumptions!CR$77)*RenewalRentFactor)))</f>
        <v/>
      </c>
      <c r="CS33" s="52">
        <f>IF(Assumptions!CS$74=0,0,IF(Assumptions!CS$72&lt;$C$21,0,IF(Assumptions!CS$72&lt;=$D$21,$E$21*$B$21/12*(1+$F$21)^INT((Assumptions!CS$72-$C$21)/12),IF(Assumptions!CS$72&lt;=$D$21+RetailDowntime,0,1)*$E$21*$B$21/12*INDEX(Cum_RetailRent,1,Assumptions!CS$77)*RenewalRentFactor)))</f>
        <v/>
      </c>
      <c r="CT33" s="52">
        <f>IF(Assumptions!CT$74=0,0,IF(Assumptions!CT$72&lt;$C$21,0,IF(Assumptions!CT$72&lt;=$D$21,$E$21*$B$21/12*(1+$F$21)^INT((Assumptions!CT$72-$C$21)/12),IF(Assumptions!CT$72&lt;=$D$21+RetailDowntime,0,1)*$E$21*$B$21/12*INDEX(Cum_RetailRent,1,Assumptions!CT$77)*RenewalRentFactor)))</f>
        <v/>
      </c>
      <c r="CU33" s="52">
        <f>IF(Assumptions!CU$74=0,0,IF(Assumptions!CU$72&lt;$C$21,0,IF(Assumptions!CU$72&lt;=$D$21,$E$21*$B$21/12*(1+$F$21)^INT((Assumptions!CU$72-$C$21)/12),IF(Assumptions!CU$72&lt;=$D$21+RetailDowntime,0,1)*$E$21*$B$21/12*INDEX(Cum_RetailRent,1,Assumptions!CU$77)*RenewalRentFactor)))</f>
        <v/>
      </c>
      <c r="CV33" s="52">
        <f>IF(Assumptions!CV$74=0,0,IF(Assumptions!CV$72&lt;$C$21,0,IF(Assumptions!CV$72&lt;=$D$21,$E$21*$B$21/12*(1+$F$21)^INT((Assumptions!CV$72-$C$21)/12),IF(Assumptions!CV$72&lt;=$D$21+RetailDowntime,0,1)*$E$21*$B$21/12*INDEX(Cum_RetailRent,1,Assumptions!CV$77)*RenewalRentFactor)))</f>
        <v/>
      </c>
      <c r="CW33" s="52">
        <f>IF(Assumptions!CW$74=0,0,IF(Assumptions!CW$72&lt;$C$21,0,IF(Assumptions!CW$72&lt;=$D$21,$E$21*$B$21/12*(1+$F$21)^INT((Assumptions!CW$72-$C$21)/12),IF(Assumptions!CW$72&lt;=$D$21+RetailDowntime,0,1)*$E$21*$B$21/12*INDEX(Cum_RetailRent,1,Assumptions!CW$77)*RenewalRentFactor)))</f>
        <v/>
      </c>
      <c r="CX33" s="52">
        <f>IF(Assumptions!CX$74=0,0,IF(Assumptions!CX$72&lt;$C$21,0,IF(Assumptions!CX$72&lt;=$D$21,$E$21*$B$21/12*(1+$F$21)^INT((Assumptions!CX$72-$C$21)/12),IF(Assumptions!CX$72&lt;=$D$21+RetailDowntime,0,1)*$E$21*$B$21/12*INDEX(Cum_RetailRent,1,Assumptions!CX$77)*RenewalRentFactor)))</f>
        <v/>
      </c>
      <c r="CY33" s="52">
        <f>IF(Assumptions!CY$74=0,0,IF(Assumptions!CY$72&lt;$C$21,0,IF(Assumptions!CY$72&lt;=$D$21,$E$21*$B$21/12*(1+$F$21)^INT((Assumptions!CY$72-$C$21)/12),IF(Assumptions!CY$72&lt;=$D$21+RetailDowntime,0,1)*$E$21*$B$21/12*INDEX(Cum_RetailRent,1,Assumptions!CY$77)*RenewalRentFactor)))</f>
        <v/>
      </c>
      <c r="CZ33" s="52">
        <f>IF(Assumptions!CZ$74=0,0,IF(Assumptions!CZ$72&lt;$C$21,0,IF(Assumptions!CZ$72&lt;=$D$21,$E$21*$B$21/12*(1+$F$21)^INT((Assumptions!CZ$72-$C$21)/12),IF(Assumptions!CZ$72&lt;=$D$21+RetailDowntime,0,1)*$E$21*$B$21/12*INDEX(Cum_RetailRent,1,Assumptions!CZ$77)*RenewalRentFactor)))</f>
        <v/>
      </c>
      <c r="DA33" s="52">
        <f>IF(Assumptions!DA$74=0,0,IF(Assumptions!DA$72&lt;$C$21,0,IF(Assumptions!DA$72&lt;=$D$21,$E$21*$B$21/12*(1+$F$21)^INT((Assumptions!DA$72-$C$21)/12),IF(Assumptions!DA$72&lt;=$D$21+RetailDowntime,0,1)*$E$21*$B$21/12*INDEX(Cum_RetailRent,1,Assumptions!DA$77)*RenewalRentFactor)))</f>
        <v/>
      </c>
      <c r="DB33" s="52">
        <f>IF(Assumptions!DB$74=0,0,IF(Assumptions!DB$72&lt;$C$21,0,IF(Assumptions!DB$72&lt;=$D$21,$E$21*$B$21/12*(1+$F$21)^INT((Assumptions!DB$72-$C$21)/12),IF(Assumptions!DB$72&lt;=$D$21+RetailDowntime,0,1)*$E$21*$B$21/12*INDEX(Cum_RetailRent,1,Assumptions!DB$77)*RenewalRentFactor)))</f>
        <v/>
      </c>
      <c r="DC33" s="52">
        <f>IF(Assumptions!DC$74=0,0,IF(Assumptions!DC$72&lt;$C$21,0,IF(Assumptions!DC$72&lt;=$D$21,$E$21*$B$21/12*(1+$F$21)^INT((Assumptions!DC$72-$C$21)/12),IF(Assumptions!DC$72&lt;=$D$21+RetailDowntime,0,1)*$E$21*$B$21/12*INDEX(Cum_RetailRent,1,Assumptions!DC$77)*RenewalRentFactor)))</f>
        <v/>
      </c>
      <c r="DD33" s="52">
        <f>IF(Assumptions!DD$74=0,0,IF(Assumptions!DD$72&lt;$C$21,0,IF(Assumptions!DD$72&lt;=$D$21,$E$21*$B$21/12*(1+$F$21)^INT((Assumptions!DD$72-$C$21)/12),IF(Assumptions!DD$72&lt;=$D$21+RetailDowntime,0,1)*$E$21*$B$21/12*INDEX(Cum_RetailRent,1,Assumptions!DD$77)*RenewalRentFactor)))</f>
        <v/>
      </c>
      <c r="DE33" s="52">
        <f>IF(Assumptions!DE$74=0,0,IF(Assumptions!DE$72&lt;$C$21,0,IF(Assumptions!DE$72&lt;=$D$21,$E$21*$B$21/12*(1+$F$21)^INT((Assumptions!DE$72-$C$21)/12),IF(Assumptions!DE$72&lt;=$D$21+RetailDowntime,0,1)*$E$21*$B$21/12*INDEX(Cum_RetailRent,1,Assumptions!DE$77)*RenewalRentFactor)))</f>
        <v/>
      </c>
      <c r="DF33" s="52">
        <f>IF(Assumptions!DF$74=0,0,IF(Assumptions!DF$72&lt;$C$21,0,IF(Assumptions!DF$72&lt;=$D$21,$E$21*$B$21/12*(1+$F$21)^INT((Assumptions!DF$72-$C$21)/12),IF(Assumptions!DF$72&lt;=$D$21+RetailDowntime,0,1)*$E$21*$B$21/12*INDEX(Cum_RetailRent,1,Assumptions!DF$77)*RenewalRentFactor)))</f>
        <v/>
      </c>
      <c r="DG33" s="52">
        <f>IF(Assumptions!DG$74=0,0,IF(Assumptions!DG$72&lt;$C$21,0,IF(Assumptions!DG$72&lt;=$D$21,$E$21*$B$21/12*(1+$F$21)^INT((Assumptions!DG$72-$C$21)/12),IF(Assumptions!DG$72&lt;=$D$21+RetailDowntime,0,1)*$E$21*$B$21/12*INDEX(Cum_RetailRent,1,Assumptions!DG$77)*RenewalRentFactor)))</f>
        <v/>
      </c>
      <c r="DH33" s="52">
        <f>IF(Assumptions!DH$74=0,0,IF(Assumptions!DH$72&lt;$C$21,0,IF(Assumptions!DH$72&lt;=$D$21,$E$21*$B$21/12*(1+$F$21)^INT((Assumptions!DH$72-$C$21)/12),IF(Assumptions!DH$72&lt;=$D$21+RetailDowntime,0,1)*$E$21*$B$21/12*INDEX(Cum_RetailRent,1,Assumptions!DH$77)*RenewalRentFactor)))</f>
        <v/>
      </c>
      <c r="DI33" s="52">
        <f>IF(Assumptions!DI$74=0,0,IF(Assumptions!DI$72&lt;$C$21,0,IF(Assumptions!DI$72&lt;=$D$21,$E$21*$B$21/12*(1+$F$21)^INT((Assumptions!DI$72-$C$21)/12),IF(Assumptions!DI$72&lt;=$D$21+RetailDowntime,0,1)*$E$21*$B$21/12*INDEX(Cum_RetailRent,1,Assumptions!DI$77)*RenewalRentFactor)))</f>
        <v/>
      </c>
      <c r="DJ33" s="52">
        <f>IF(Assumptions!DJ$74=0,0,IF(Assumptions!DJ$72&lt;$C$21,0,IF(Assumptions!DJ$72&lt;=$D$21,$E$21*$B$21/12*(1+$F$21)^INT((Assumptions!DJ$72-$C$21)/12),IF(Assumptions!DJ$72&lt;=$D$21+RetailDowntime,0,1)*$E$21*$B$21/12*INDEX(Cum_RetailRent,1,Assumptions!DJ$77)*RenewalRentFactor)))</f>
        <v/>
      </c>
      <c r="DK33" s="52">
        <f>IF(Assumptions!DK$74=0,0,IF(Assumptions!DK$72&lt;$C$21,0,IF(Assumptions!DK$72&lt;=$D$21,$E$21*$B$21/12*(1+$F$21)^INT((Assumptions!DK$72-$C$21)/12),IF(Assumptions!DK$72&lt;=$D$21+RetailDowntime,0,1)*$E$21*$B$21/12*INDEX(Cum_RetailRent,1,Assumptions!DK$77)*RenewalRentFactor)))</f>
        <v/>
      </c>
      <c r="DL33" s="52">
        <f>IF(Assumptions!DL$74=0,0,IF(Assumptions!DL$72&lt;$C$21,0,IF(Assumptions!DL$72&lt;=$D$21,$E$21*$B$21/12*(1+$F$21)^INT((Assumptions!DL$72-$C$21)/12),IF(Assumptions!DL$72&lt;=$D$21+RetailDowntime,0,1)*$E$21*$B$21/12*INDEX(Cum_RetailRent,1,Assumptions!DL$77)*RenewalRentFactor)))</f>
        <v/>
      </c>
      <c r="DM33" s="52">
        <f>IF(Assumptions!DM$74=0,0,IF(Assumptions!DM$72&lt;$C$21,0,IF(Assumptions!DM$72&lt;=$D$21,$E$21*$B$21/12*(1+$F$21)^INT((Assumptions!DM$72-$C$21)/12),IF(Assumptions!DM$72&lt;=$D$21+RetailDowntime,0,1)*$E$21*$B$21/12*INDEX(Cum_RetailRent,1,Assumptions!DM$77)*RenewalRentFactor)))</f>
        <v/>
      </c>
      <c r="DN33" s="52">
        <f>IF(Assumptions!DN$74=0,0,IF(Assumptions!DN$72&lt;$C$21,0,IF(Assumptions!DN$72&lt;=$D$21,$E$21*$B$21/12*(1+$F$21)^INT((Assumptions!DN$72-$C$21)/12),IF(Assumptions!DN$72&lt;=$D$21+RetailDowntime,0,1)*$E$21*$B$21/12*INDEX(Cum_RetailRent,1,Assumptions!DN$77)*RenewalRentFactor)))</f>
        <v/>
      </c>
      <c r="DO33" s="52">
        <f>IF(Assumptions!DO$74=0,0,IF(Assumptions!DO$72&lt;$C$21,0,IF(Assumptions!DO$72&lt;=$D$21,$E$21*$B$21/12*(1+$F$21)^INT((Assumptions!DO$72-$C$21)/12),IF(Assumptions!DO$72&lt;=$D$21+RetailDowntime,0,1)*$E$21*$B$21/12*INDEX(Cum_RetailRent,1,Assumptions!DO$77)*RenewalRentFactor)))</f>
        <v/>
      </c>
      <c r="DP33" s="52">
        <f>IF(Assumptions!DP$74=0,0,IF(Assumptions!DP$72&lt;$C$21,0,IF(Assumptions!DP$72&lt;=$D$21,$E$21*$B$21/12*(1+$F$21)^INT((Assumptions!DP$72-$C$21)/12),IF(Assumptions!DP$72&lt;=$D$21+RetailDowntime,0,1)*$E$21*$B$21/12*INDEX(Cum_RetailRent,1,Assumptions!DP$77)*RenewalRentFactor)))</f>
        <v/>
      </c>
      <c r="DQ33" s="52">
        <f>IF(Assumptions!DQ$74=0,0,IF(Assumptions!DQ$72&lt;$C$21,0,IF(Assumptions!DQ$72&lt;=$D$21,$E$21*$B$21/12*(1+$F$21)^INT((Assumptions!DQ$72-$C$21)/12),IF(Assumptions!DQ$72&lt;=$D$21+RetailDowntime,0,1)*$E$21*$B$21/12*INDEX(Cum_RetailRent,1,Assumptions!DQ$77)*RenewalRentFactor)))</f>
        <v/>
      </c>
      <c r="DR33" s="52">
        <f>IF(Assumptions!DR$74=0,0,IF(Assumptions!DR$72&lt;$C$21,0,IF(Assumptions!DR$72&lt;=$D$21,$E$21*$B$21/12*(1+$F$21)^INT((Assumptions!DR$72-$C$21)/12),IF(Assumptions!DR$72&lt;=$D$21+RetailDowntime,0,1)*$E$21*$B$21/12*INDEX(Cum_RetailRent,1,Assumptions!DR$77)*RenewalRentFactor)))</f>
        <v/>
      </c>
      <c r="DS33" s="52">
        <f>IF(Assumptions!DS$74=0,0,IF(Assumptions!DS$72&lt;$C$21,0,IF(Assumptions!DS$72&lt;=$D$21,$E$21*$B$21/12*(1+$F$21)^INT((Assumptions!DS$72-$C$21)/12),IF(Assumptions!DS$72&lt;=$D$21+RetailDowntime,0,1)*$E$21*$B$21/12*INDEX(Cum_RetailRent,1,Assumptions!DS$77)*RenewalRentFactor)))</f>
        <v/>
      </c>
      <c r="DT33" s="52">
        <f>IF(Assumptions!DT$74=0,0,IF(Assumptions!DT$72&lt;$C$21,0,IF(Assumptions!DT$72&lt;=$D$21,$E$21*$B$21/12*(1+$F$21)^INT((Assumptions!DT$72-$C$21)/12),IF(Assumptions!DT$72&lt;=$D$21+RetailDowntime,0,1)*$E$21*$B$21/12*INDEX(Cum_RetailRent,1,Assumptions!DT$77)*RenewalRentFactor)))</f>
        <v/>
      </c>
    </row>
    <row r="34">
      <c r="A34" s="10" t="inlineStr">
        <is>
          <t xml:space="preserve">  Restaurant</t>
        </is>
      </c>
      <c r="E34" s="52">
        <f>IF(Assumptions!E$74=0,0,IF(Assumptions!E$72&lt;$C$22,0,IF(Assumptions!E$72&lt;=$D$22,$E$22*$B$22/12*(1+$F$22)^INT((Assumptions!E$72-$C$22)/12),IF(Assumptions!E$72&lt;=$D$22+RetailDowntime,0,1)*$E$22*$B$22/12*INDEX(Cum_RetailRent,1,Assumptions!E$77)*RenewalRentFactor)))</f>
        <v/>
      </c>
      <c r="F34" s="52">
        <f>IF(Assumptions!F$74=0,0,IF(Assumptions!F$72&lt;$C$22,0,IF(Assumptions!F$72&lt;=$D$22,$E$22*$B$22/12*(1+$F$22)^INT((Assumptions!F$72-$C$22)/12),IF(Assumptions!F$72&lt;=$D$22+RetailDowntime,0,1)*$E$22*$B$22/12*INDEX(Cum_RetailRent,1,Assumptions!F$77)*RenewalRentFactor)))</f>
        <v/>
      </c>
      <c r="G34" s="52">
        <f>IF(Assumptions!G$74=0,0,IF(Assumptions!G$72&lt;$C$22,0,IF(Assumptions!G$72&lt;=$D$22,$E$22*$B$22/12*(1+$F$22)^INT((Assumptions!G$72-$C$22)/12),IF(Assumptions!G$72&lt;=$D$22+RetailDowntime,0,1)*$E$22*$B$22/12*INDEX(Cum_RetailRent,1,Assumptions!G$77)*RenewalRentFactor)))</f>
        <v/>
      </c>
      <c r="H34" s="52">
        <f>IF(Assumptions!H$74=0,0,IF(Assumptions!H$72&lt;$C$22,0,IF(Assumptions!H$72&lt;=$D$22,$E$22*$B$22/12*(1+$F$22)^INT((Assumptions!H$72-$C$22)/12),IF(Assumptions!H$72&lt;=$D$22+RetailDowntime,0,1)*$E$22*$B$22/12*INDEX(Cum_RetailRent,1,Assumptions!H$77)*RenewalRentFactor)))</f>
        <v/>
      </c>
      <c r="I34" s="52">
        <f>IF(Assumptions!I$74=0,0,IF(Assumptions!I$72&lt;$C$22,0,IF(Assumptions!I$72&lt;=$D$22,$E$22*$B$22/12*(1+$F$22)^INT((Assumptions!I$72-$C$22)/12),IF(Assumptions!I$72&lt;=$D$22+RetailDowntime,0,1)*$E$22*$B$22/12*INDEX(Cum_RetailRent,1,Assumptions!I$77)*RenewalRentFactor)))</f>
        <v/>
      </c>
      <c r="J34" s="52">
        <f>IF(Assumptions!J$74=0,0,IF(Assumptions!J$72&lt;$C$22,0,IF(Assumptions!J$72&lt;=$D$22,$E$22*$B$22/12*(1+$F$22)^INT((Assumptions!J$72-$C$22)/12),IF(Assumptions!J$72&lt;=$D$22+RetailDowntime,0,1)*$E$22*$B$22/12*INDEX(Cum_RetailRent,1,Assumptions!J$77)*RenewalRentFactor)))</f>
        <v/>
      </c>
      <c r="K34" s="52">
        <f>IF(Assumptions!K$74=0,0,IF(Assumptions!K$72&lt;$C$22,0,IF(Assumptions!K$72&lt;=$D$22,$E$22*$B$22/12*(1+$F$22)^INT((Assumptions!K$72-$C$22)/12),IF(Assumptions!K$72&lt;=$D$22+RetailDowntime,0,1)*$E$22*$B$22/12*INDEX(Cum_RetailRent,1,Assumptions!K$77)*RenewalRentFactor)))</f>
        <v/>
      </c>
      <c r="L34" s="52">
        <f>IF(Assumptions!L$74=0,0,IF(Assumptions!L$72&lt;$C$22,0,IF(Assumptions!L$72&lt;=$D$22,$E$22*$B$22/12*(1+$F$22)^INT((Assumptions!L$72-$C$22)/12),IF(Assumptions!L$72&lt;=$D$22+RetailDowntime,0,1)*$E$22*$B$22/12*INDEX(Cum_RetailRent,1,Assumptions!L$77)*RenewalRentFactor)))</f>
        <v/>
      </c>
      <c r="M34" s="52">
        <f>IF(Assumptions!M$74=0,0,IF(Assumptions!M$72&lt;$C$22,0,IF(Assumptions!M$72&lt;=$D$22,$E$22*$B$22/12*(1+$F$22)^INT((Assumptions!M$72-$C$22)/12),IF(Assumptions!M$72&lt;=$D$22+RetailDowntime,0,1)*$E$22*$B$22/12*INDEX(Cum_RetailRent,1,Assumptions!M$77)*RenewalRentFactor)))</f>
        <v/>
      </c>
      <c r="N34" s="52">
        <f>IF(Assumptions!N$74=0,0,IF(Assumptions!N$72&lt;$C$22,0,IF(Assumptions!N$72&lt;=$D$22,$E$22*$B$22/12*(1+$F$22)^INT((Assumptions!N$72-$C$22)/12),IF(Assumptions!N$72&lt;=$D$22+RetailDowntime,0,1)*$E$22*$B$22/12*INDEX(Cum_RetailRent,1,Assumptions!N$77)*RenewalRentFactor)))</f>
        <v/>
      </c>
      <c r="O34" s="52">
        <f>IF(Assumptions!O$74=0,0,IF(Assumptions!O$72&lt;$C$22,0,IF(Assumptions!O$72&lt;=$D$22,$E$22*$B$22/12*(1+$F$22)^INT((Assumptions!O$72-$C$22)/12),IF(Assumptions!O$72&lt;=$D$22+RetailDowntime,0,1)*$E$22*$B$22/12*INDEX(Cum_RetailRent,1,Assumptions!O$77)*RenewalRentFactor)))</f>
        <v/>
      </c>
      <c r="P34" s="52">
        <f>IF(Assumptions!P$74=0,0,IF(Assumptions!P$72&lt;$C$22,0,IF(Assumptions!P$72&lt;=$D$22,$E$22*$B$22/12*(1+$F$22)^INT((Assumptions!P$72-$C$22)/12),IF(Assumptions!P$72&lt;=$D$22+RetailDowntime,0,1)*$E$22*$B$22/12*INDEX(Cum_RetailRent,1,Assumptions!P$77)*RenewalRentFactor)))</f>
        <v/>
      </c>
      <c r="Q34" s="52">
        <f>IF(Assumptions!Q$74=0,0,IF(Assumptions!Q$72&lt;$C$22,0,IF(Assumptions!Q$72&lt;=$D$22,$E$22*$B$22/12*(1+$F$22)^INT((Assumptions!Q$72-$C$22)/12),IF(Assumptions!Q$72&lt;=$D$22+RetailDowntime,0,1)*$E$22*$B$22/12*INDEX(Cum_RetailRent,1,Assumptions!Q$77)*RenewalRentFactor)))</f>
        <v/>
      </c>
      <c r="R34" s="52">
        <f>IF(Assumptions!R$74=0,0,IF(Assumptions!R$72&lt;$C$22,0,IF(Assumptions!R$72&lt;=$D$22,$E$22*$B$22/12*(1+$F$22)^INT((Assumptions!R$72-$C$22)/12),IF(Assumptions!R$72&lt;=$D$22+RetailDowntime,0,1)*$E$22*$B$22/12*INDEX(Cum_RetailRent,1,Assumptions!R$77)*RenewalRentFactor)))</f>
        <v/>
      </c>
      <c r="S34" s="52">
        <f>IF(Assumptions!S$74=0,0,IF(Assumptions!S$72&lt;$C$22,0,IF(Assumptions!S$72&lt;=$D$22,$E$22*$B$22/12*(1+$F$22)^INT((Assumptions!S$72-$C$22)/12),IF(Assumptions!S$72&lt;=$D$22+RetailDowntime,0,1)*$E$22*$B$22/12*INDEX(Cum_RetailRent,1,Assumptions!S$77)*RenewalRentFactor)))</f>
        <v/>
      </c>
      <c r="T34" s="52">
        <f>IF(Assumptions!T$74=0,0,IF(Assumptions!T$72&lt;$C$22,0,IF(Assumptions!T$72&lt;=$D$22,$E$22*$B$22/12*(1+$F$22)^INT((Assumptions!T$72-$C$22)/12),IF(Assumptions!T$72&lt;=$D$22+RetailDowntime,0,1)*$E$22*$B$22/12*INDEX(Cum_RetailRent,1,Assumptions!T$77)*RenewalRentFactor)))</f>
        <v/>
      </c>
      <c r="U34" s="52">
        <f>IF(Assumptions!U$74=0,0,IF(Assumptions!U$72&lt;$C$22,0,IF(Assumptions!U$72&lt;=$D$22,$E$22*$B$22/12*(1+$F$22)^INT((Assumptions!U$72-$C$22)/12),IF(Assumptions!U$72&lt;=$D$22+RetailDowntime,0,1)*$E$22*$B$22/12*INDEX(Cum_RetailRent,1,Assumptions!U$77)*RenewalRentFactor)))</f>
        <v/>
      </c>
      <c r="V34" s="52">
        <f>IF(Assumptions!V$74=0,0,IF(Assumptions!V$72&lt;$C$22,0,IF(Assumptions!V$72&lt;=$D$22,$E$22*$B$22/12*(1+$F$22)^INT((Assumptions!V$72-$C$22)/12),IF(Assumptions!V$72&lt;=$D$22+RetailDowntime,0,1)*$E$22*$B$22/12*INDEX(Cum_RetailRent,1,Assumptions!V$77)*RenewalRentFactor)))</f>
        <v/>
      </c>
      <c r="W34" s="52">
        <f>IF(Assumptions!W$74=0,0,IF(Assumptions!W$72&lt;$C$22,0,IF(Assumptions!W$72&lt;=$D$22,$E$22*$B$22/12*(1+$F$22)^INT((Assumptions!W$72-$C$22)/12),IF(Assumptions!W$72&lt;=$D$22+RetailDowntime,0,1)*$E$22*$B$22/12*INDEX(Cum_RetailRent,1,Assumptions!W$77)*RenewalRentFactor)))</f>
        <v/>
      </c>
      <c r="X34" s="52">
        <f>IF(Assumptions!X$74=0,0,IF(Assumptions!X$72&lt;$C$22,0,IF(Assumptions!X$72&lt;=$D$22,$E$22*$B$22/12*(1+$F$22)^INT((Assumptions!X$72-$C$22)/12),IF(Assumptions!X$72&lt;=$D$22+RetailDowntime,0,1)*$E$22*$B$22/12*INDEX(Cum_RetailRent,1,Assumptions!X$77)*RenewalRentFactor)))</f>
        <v/>
      </c>
      <c r="Y34" s="52">
        <f>IF(Assumptions!Y$74=0,0,IF(Assumptions!Y$72&lt;$C$22,0,IF(Assumptions!Y$72&lt;=$D$22,$E$22*$B$22/12*(1+$F$22)^INT((Assumptions!Y$72-$C$22)/12),IF(Assumptions!Y$72&lt;=$D$22+RetailDowntime,0,1)*$E$22*$B$22/12*INDEX(Cum_RetailRent,1,Assumptions!Y$77)*RenewalRentFactor)))</f>
        <v/>
      </c>
      <c r="Z34" s="52">
        <f>IF(Assumptions!Z$74=0,0,IF(Assumptions!Z$72&lt;$C$22,0,IF(Assumptions!Z$72&lt;=$D$22,$E$22*$B$22/12*(1+$F$22)^INT((Assumptions!Z$72-$C$22)/12),IF(Assumptions!Z$72&lt;=$D$22+RetailDowntime,0,1)*$E$22*$B$22/12*INDEX(Cum_RetailRent,1,Assumptions!Z$77)*RenewalRentFactor)))</f>
        <v/>
      </c>
      <c r="AA34" s="52">
        <f>IF(Assumptions!AA$74=0,0,IF(Assumptions!AA$72&lt;$C$22,0,IF(Assumptions!AA$72&lt;=$D$22,$E$22*$B$22/12*(1+$F$22)^INT((Assumptions!AA$72-$C$22)/12),IF(Assumptions!AA$72&lt;=$D$22+RetailDowntime,0,1)*$E$22*$B$22/12*INDEX(Cum_RetailRent,1,Assumptions!AA$77)*RenewalRentFactor)))</f>
        <v/>
      </c>
      <c r="AB34" s="52">
        <f>IF(Assumptions!AB$74=0,0,IF(Assumptions!AB$72&lt;$C$22,0,IF(Assumptions!AB$72&lt;=$D$22,$E$22*$B$22/12*(1+$F$22)^INT((Assumptions!AB$72-$C$22)/12),IF(Assumptions!AB$72&lt;=$D$22+RetailDowntime,0,1)*$E$22*$B$22/12*INDEX(Cum_RetailRent,1,Assumptions!AB$77)*RenewalRentFactor)))</f>
        <v/>
      </c>
      <c r="AC34" s="52">
        <f>IF(Assumptions!AC$74=0,0,IF(Assumptions!AC$72&lt;$C$22,0,IF(Assumptions!AC$72&lt;=$D$22,$E$22*$B$22/12*(1+$F$22)^INT((Assumptions!AC$72-$C$22)/12),IF(Assumptions!AC$72&lt;=$D$22+RetailDowntime,0,1)*$E$22*$B$22/12*INDEX(Cum_RetailRent,1,Assumptions!AC$77)*RenewalRentFactor)))</f>
        <v/>
      </c>
      <c r="AD34" s="52">
        <f>IF(Assumptions!AD$74=0,0,IF(Assumptions!AD$72&lt;$C$22,0,IF(Assumptions!AD$72&lt;=$D$22,$E$22*$B$22/12*(1+$F$22)^INT((Assumptions!AD$72-$C$22)/12),IF(Assumptions!AD$72&lt;=$D$22+RetailDowntime,0,1)*$E$22*$B$22/12*INDEX(Cum_RetailRent,1,Assumptions!AD$77)*RenewalRentFactor)))</f>
        <v/>
      </c>
      <c r="AE34" s="52">
        <f>IF(Assumptions!AE$74=0,0,IF(Assumptions!AE$72&lt;$C$22,0,IF(Assumptions!AE$72&lt;=$D$22,$E$22*$B$22/12*(1+$F$22)^INT((Assumptions!AE$72-$C$22)/12),IF(Assumptions!AE$72&lt;=$D$22+RetailDowntime,0,1)*$E$22*$B$22/12*INDEX(Cum_RetailRent,1,Assumptions!AE$77)*RenewalRentFactor)))</f>
        <v/>
      </c>
      <c r="AF34" s="52">
        <f>IF(Assumptions!AF$74=0,0,IF(Assumptions!AF$72&lt;$C$22,0,IF(Assumptions!AF$72&lt;=$D$22,$E$22*$B$22/12*(1+$F$22)^INT((Assumptions!AF$72-$C$22)/12),IF(Assumptions!AF$72&lt;=$D$22+RetailDowntime,0,1)*$E$22*$B$22/12*INDEX(Cum_RetailRent,1,Assumptions!AF$77)*RenewalRentFactor)))</f>
        <v/>
      </c>
      <c r="AG34" s="52">
        <f>IF(Assumptions!AG$74=0,0,IF(Assumptions!AG$72&lt;$C$22,0,IF(Assumptions!AG$72&lt;=$D$22,$E$22*$B$22/12*(1+$F$22)^INT((Assumptions!AG$72-$C$22)/12),IF(Assumptions!AG$72&lt;=$D$22+RetailDowntime,0,1)*$E$22*$B$22/12*INDEX(Cum_RetailRent,1,Assumptions!AG$77)*RenewalRentFactor)))</f>
        <v/>
      </c>
      <c r="AH34" s="52">
        <f>IF(Assumptions!AH$74=0,0,IF(Assumptions!AH$72&lt;$C$22,0,IF(Assumptions!AH$72&lt;=$D$22,$E$22*$B$22/12*(1+$F$22)^INT((Assumptions!AH$72-$C$22)/12),IF(Assumptions!AH$72&lt;=$D$22+RetailDowntime,0,1)*$E$22*$B$22/12*INDEX(Cum_RetailRent,1,Assumptions!AH$77)*RenewalRentFactor)))</f>
        <v/>
      </c>
      <c r="AI34" s="52">
        <f>IF(Assumptions!AI$74=0,0,IF(Assumptions!AI$72&lt;$C$22,0,IF(Assumptions!AI$72&lt;=$D$22,$E$22*$B$22/12*(1+$F$22)^INT((Assumptions!AI$72-$C$22)/12),IF(Assumptions!AI$72&lt;=$D$22+RetailDowntime,0,1)*$E$22*$B$22/12*INDEX(Cum_RetailRent,1,Assumptions!AI$77)*RenewalRentFactor)))</f>
        <v/>
      </c>
      <c r="AJ34" s="52">
        <f>IF(Assumptions!AJ$74=0,0,IF(Assumptions!AJ$72&lt;$C$22,0,IF(Assumptions!AJ$72&lt;=$D$22,$E$22*$B$22/12*(1+$F$22)^INT((Assumptions!AJ$72-$C$22)/12),IF(Assumptions!AJ$72&lt;=$D$22+RetailDowntime,0,1)*$E$22*$B$22/12*INDEX(Cum_RetailRent,1,Assumptions!AJ$77)*RenewalRentFactor)))</f>
        <v/>
      </c>
      <c r="AK34" s="52">
        <f>IF(Assumptions!AK$74=0,0,IF(Assumptions!AK$72&lt;$C$22,0,IF(Assumptions!AK$72&lt;=$D$22,$E$22*$B$22/12*(1+$F$22)^INT((Assumptions!AK$72-$C$22)/12),IF(Assumptions!AK$72&lt;=$D$22+RetailDowntime,0,1)*$E$22*$B$22/12*INDEX(Cum_RetailRent,1,Assumptions!AK$77)*RenewalRentFactor)))</f>
        <v/>
      </c>
      <c r="AL34" s="52">
        <f>IF(Assumptions!AL$74=0,0,IF(Assumptions!AL$72&lt;$C$22,0,IF(Assumptions!AL$72&lt;=$D$22,$E$22*$B$22/12*(1+$F$22)^INT((Assumptions!AL$72-$C$22)/12),IF(Assumptions!AL$72&lt;=$D$22+RetailDowntime,0,1)*$E$22*$B$22/12*INDEX(Cum_RetailRent,1,Assumptions!AL$77)*RenewalRentFactor)))</f>
        <v/>
      </c>
      <c r="AM34" s="52">
        <f>IF(Assumptions!AM$74=0,0,IF(Assumptions!AM$72&lt;$C$22,0,IF(Assumptions!AM$72&lt;=$D$22,$E$22*$B$22/12*(1+$F$22)^INT((Assumptions!AM$72-$C$22)/12),IF(Assumptions!AM$72&lt;=$D$22+RetailDowntime,0,1)*$E$22*$B$22/12*INDEX(Cum_RetailRent,1,Assumptions!AM$77)*RenewalRentFactor)))</f>
        <v/>
      </c>
      <c r="AN34" s="52">
        <f>IF(Assumptions!AN$74=0,0,IF(Assumptions!AN$72&lt;$C$22,0,IF(Assumptions!AN$72&lt;=$D$22,$E$22*$B$22/12*(1+$F$22)^INT((Assumptions!AN$72-$C$22)/12),IF(Assumptions!AN$72&lt;=$D$22+RetailDowntime,0,1)*$E$22*$B$22/12*INDEX(Cum_RetailRent,1,Assumptions!AN$77)*RenewalRentFactor)))</f>
        <v/>
      </c>
      <c r="AO34" s="52">
        <f>IF(Assumptions!AO$74=0,0,IF(Assumptions!AO$72&lt;$C$22,0,IF(Assumptions!AO$72&lt;=$D$22,$E$22*$B$22/12*(1+$F$22)^INT((Assumptions!AO$72-$C$22)/12),IF(Assumptions!AO$72&lt;=$D$22+RetailDowntime,0,1)*$E$22*$B$22/12*INDEX(Cum_RetailRent,1,Assumptions!AO$77)*RenewalRentFactor)))</f>
        <v/>
      </c>
      <c r="AP34" s="52">
        <f>IF(Assumptions!AP$74=0,0,IF(Assumptions!AP$72&lt;$C$22,0,IF(Assumptions!AP$72&lt;=$D$22,$E$22*$B$22/12*(1+$F$22)^INT((Assumptions!AP$72-$C$22)/12),IF(Assumptions!AP$72&lt;=$D$22+RetailDowntime,0,1)*$E$22*$B$22/12*INDEX(Cum_RetailRent,1,Assumptions!AP$77)*RenewalRentFactor)))</f>
        <v/>
      </c>
      <c r="AQ34" s="52">
        <f>IF(Assumptions!AQ$74=0,0,IF(Assumptions!AQ$72&lt;$C$22,0,IF(Assumptions!AQ$72&lt;=$D$22,$E$22*$B$22/12*(1+$F$22)^INT((Assumptions!AQ$72-$C$22)/12),IF(Assumptions!AQ$72&lt;=$D$22+RetailDowntime,0,1)*$E$22*$B$22/12*INDEX(Cum_RetailRent,1,Assumptions!AQ$77)*RenewalRentFactor)))</f>
        <v/>
      </c>
      <c r="AR34" s="52">
        <f>IF(Assumptions!AR$74=0,0,IF(Assumptions!AR$72&lt;$C$22,0,IF(Assumptions!AR$72&lt;=$D$22,$E$22*$B$22/12*(1+$F$22)^INT((Assumptions!AR$72-$C$22)/12),IF(Assumptions!AR$72&lt;=$D$22+RetailDowntime,0,1)*$E$22*$B$22/12*INDEX(Cum_RetailRent,1,Assumptions!AR$77)*RenewalRentFactor)))</f>
        <v/>
      </c>
      <c r="AS34" s="52">
        <f>IF(Assumptions!AS$74=0,0,IF(Assumptions!AS$72&lt;$C$22,0,IF(Assumptions!AS$72&lt;=$D$22,$E$22*$B$22/12*(1+$F$22)^INT((Assumptions!AS$72-$C$22)/12),IF(Assumptions!AS$72&lt;=$D$22+RetailDowntime,0,1)*$E$22*$B$22/12*INDEX(Cum_RetailRent,1,Assumptions!AS$77)*RenewalRentFactor)))</f>
        <v/>
      </c>
      <c r="AT34" s="52">
        <f>IF(Assumptions!AT$74=0,0,IF(Assumptions!AT$72&lt;$C$22,0,IF(Assumptions!AT$72&lt;=$D$22,$E$22*$B$22/12*(1+$F$22)^INT((Assumptions!AT$72-$C$22)/12),IF(Assumptions!AT$72&lt;=$D$22+RetailDowntime,0,1)*$E$22*$B$22/12*INDEX(Cum_RetailRent,1,Assumptions!AT$77)*RenewalRentFactor)))</f>
        <v/>
      </c>
      <c r="AU34" s="52">
        <f>IF(Assumptions!AU$74=0,0,IF(Assumptions!AU$72&lt;$C$22,0,IF(Assumptions!AU$72&lt;=$D$22,$E$22*$B$22/12*(1+$F$22)^INT((Assumptions!AU$72-$C$22)/12),IF(Assumptions!AU$72&lt;=$D$22+RetailDowntime,0,1)*$E$22*$B$22/12*INDEX(Cum_RetailRent,1,Assumptions!AU$77)*RenewalRentFactor)))</f>
        <v/>
      </c>
      <c r="AV34" s="52">
        <f>IF(Assumptions!AV$74=0,0,IF(Assumptions!AV$72&lt;$C$22,0,IF(Assumptions!AV$72&lt;=$D$22,$E$22*$B$22/12*(1+$F$22)^INT((Assumptions!AV$72-$C$22)/12),IF(Assumptions!AV$72&lt;=$D$22+RetailDowntime,0,1)*$E$22*$B$22/12*INDEX(Cum_RetailRent,1,Assumptions!AV$77)*RenewalRentFactor)))</f>
        <v/>
      </c>
      <c r="AW34" s="52">
        <f>IF(Assumptions!AW$74=0,0,IF(Assumptions!AW$72&lt;$C$22,0,IF(Assumptions!AW$72&lt;=$D$22,$E$22*$B$22/12*(1+$F$22)^INT((Assumptions!AW$72-$C$22)/12),IF(Assumptions!AW$72&lt;=$D$22+RetailDowntime,0,1)*$E$22*$B$22/12*INDEX(Cum_RetailRent,1,Assumptions!AW$77)*RenewalRentFactor)))</f>
        <v/>
      </c>
      <c r="AX34" s="52">
        <f>IF(Assumptions!AX$74=0,0,IF(Assumptions!AX$72&lt;$C$22,0,IF(Assumptions!AX$72&lt;=$D$22,$E$22*$B$22/12*(1+$F$22)^INT((Assumptions!AX$72-$C$22)/12),IF(Assumptions!AX$72&lt;=$D$22+RetailDowntime,0,1)*$E$22*$B$22/12*INDEX(Cum_RetailRent,1,Assumptions!AX$77)*RenewalRentFactor)))</f>
        <v/>
      </c>
      <c r="AY34" s="52">
        <f>IF(Assumptions!AY$74=0,0,IF(Assumptions!AY$72&lt;$C$22,0,IF(Assumptions!AY$72&lt;=$D$22,$E$22*$B$22/12*(1+$F$22)^INT((Assumptions!AY$72-$C$22)/12),IF(Assumptions!AY$72&lt;=$D$22+RetailDowntime,0,1)*$E$22*$B$22/12*INDEX(Cum_RetailRent,1,Assumptions!AY$77)*RenewalRentFactor)))</f>
        <v/>
      </c>
      <c r="AZ34" s="52">
        <f>IF(Assumptions!AZ$74=0,0,IF(Assumptions!AZ$72&lt;$C$22,0,IF(Assumptions!AZ$72&lt;=$D$22,$E$22*$B$22/12*(1+$F$22)^INT((Assumptions!AZ$72-$C$22)/12),IF(Assumptions!AZ$72&lt;=$D$22+RetailDowntime,0,1)*$E$22*$B$22/12*INDEX(Cum_RetailRent,1,Assumptions!AZ$77)*RenewalRentFactor)))</f>
        <v/>
      </c>
      <c r="BA34" s="52">
        <f>IF(Assumptions!BA$74=0,0,IF(Assumptions!BA$72&lt;$C$22,0,IF(Assumptions!BA$72&lt;=$D$22,$E$22*$B$22/12*(1+$F$22)^INT((Assumptions!BA$72-$C$22)/12),IF(Assumptions!BA$72&lt;=$D$22+RetailDowntime,0,1)*$E$22*$B$22/12*INDEX(Cum_RetailRent,1,Assumptions!BA$77)*RenewalRentFactor)))</f>
        <v/>
      </c>
      <c r="BB34" s="52">
        <f>IF(Assumptions!BB$74=0,0,IF(Assumptions!BB$72&lt;$C$22,0,IF(Assumptions!BB$72&lt;=$D$22,$E$22*$B$22/12*(1+$F$22)^INT((Assumptions!BB$72-$C$22)/12),IF(Assumptions!BB$72&lt;=$D$22+RetailDowntime,0,1)*$E$22*$B$22/12*INDEX(Cum_RetailRent,1,Assumptions!BB$77)*RenewalRentFactor)))</f>
        <v/>
      </c>
      <c r="BC34" s="52">
        <f>IF(Assumptions!BC$74=0,0,IF(Assumptions!BC$72&lt;$C$22,0,IF(Assumptions!BC$72&lt;=$D$22,$E$22*$B$22/12*(1+$F$22)^INT((Assumptions!BC$72-$C$22)/12),IF(Assumptions!BC$72&lt;=$D$22+RetailDowntime,0,1)*$E$22*$B$22/12*INDEX(Cum_RetailRent,1,Assumptions!BC$77)*RenewalRentFactor)))</f>
        <v/>
      </c>
      <c r="BD34" s="52">
        <f>IF(Assumptions!BD$74=0,0,IF(Assumptions!BD$72&lt;$C$22,0,IF(Assumptions!BD$72&lt;=$D$22,$E$22*$B$22/12*(1+$F$22)^INT((Assumptions!BD$72-$C$22)/12),IF(Assumptions!BD$72&lt;=$D$22+RetailDowntime,0,1)*$E$22*$B$22/12*INDEX(Cum_RetailRent,1,Assumptions!BD$77)*RenewalRentFactor)))</f>
        <v/>
      </c>
      <c r="BE34" s="52">
        <f>IF(Assumptions!BE$74=0,0,IF(Assumptions!BE$72&lt;$C$22,0,IF(Assumptions!BE$72&lt;=$D$22,$E$22*$B$22/12*(1+$F$22)^INT((Assumptions!BE$72-$C$22)/12),IF(Assumptions!BE$72&lt;=$D$22+RetailDowntime,0,1)*$E$22*$B$22/12*INDEX(Cum_RetailRent,1,Assumptions!BE$77)*RenewalRentFactor)))</f>
        <v/>
      </c>
      <c r="BF34" s="52">
        <f>IF(Assumptions!BF$74=0,0,IF(Assumptions!BF$72&lt;$C$22,0,IF(Assumptions!BF$72&lt;=$D$22,$E$22*$B$22/12*(1+$F$22)^INT((Assumptions!BF$72-$C$22)/12),IF(Assumptions!BF$72&lt;=$D$22+RetailDowntime,0,1)*$E$22*$B$22/12*INDEX(Cum_RetailRent,1,Assumptions!BF$77)*RenewalRentFactor)))</f>
        <v/>
      </c>
      <c r="BG34" s="52">
        <f>IF(Assumptions!BG$74=0,0,IF(Assumptions!BG$72&lt;$C$22,0,IF(Assumptions!BG$72&lt;=$D$22,$E$22*$B$22/12*(1+$F$22)^INT((Assumptions!BG$72-$C$22)/12),IF(Assumptions!BG$72&lt;=$D$22+RetailDowntime,0,1)*$E$22*$B$22/12*INDEX(Cum_RetailRent,1,Assumptions!BG$77)*RenewalRentFactor)))</f>
        <v/>
      </c>
      <c r="BH34" s="52">
        <f>IF(Assumptions!BH$74=0,0,IF(Assumptions!BH$72&lt;$C$22,0,IF(Assumptions!BH$72&lt;=$D$22,$E$22*$B$22/12*(1+$F$22)^INT((Assumptions!BH$72-$C$22)/12),IF(Assumptions!BH$72&lt;=$D$22+RetailDowntime,0,1)*$E$22*$B$22/12*INDEX(Cum_RetailRent,1,Assumptions!BH$77)*RenewalRentFactor)))</f>
        <v/>
      </c>
      <c r="BI34" s="52">
        <f>IF(Assumptions!BI$74=0,0,IF(Assumptions!BI$72&lt;$C$22,0,IF(Assumptions!BI$72&lt;=$D$22,$E$22*$B$22/12*(1+$F$22)^INT((Assumptions!BI$72-$C$22)/12),IF(Assumptions!BI$72&lt;=$D$22+RetailDowntime,0,1)*$E$22*$B$22/12*INDEX(Cum_RetailRent,1,Assumptions!BI$77)*RenewalRentFactor)))</f>
        <v/>
      </c>
      <c r="BJ34" s="52">
        <f>IF(Assumptions!BJ$74=0,0,IF(Assumptions!BJ$72&lt;$C$22,0,IF(Assumptions!BJ$72&lt;=$D$22,$E$22*$B$22/12*(1+$F$22)^INT((Assumptions!BJ$72-$C$22)/12),IF(Assumptions!BJ$72&lt;=$D$22+RetailDowntime,0,1)*$E$22*$B$22/12*INDEX(Cum_RetailRent,1,Assumptions!BJ$77)*RenewalRentFactor)))</f>
        <v/>
      </c>
      <c r="BK34" s="52">
        <f>IF(Assumptions!BK$74=0,0,IF(Assumptions!BK$72&lt;$C$22,0,IF(Assumptions!BK$72&lt;=$D$22,$E$22*$B$22/12*(1+$F$22)^INT((Assumptions!BK$72-$C$22)/12),IF(Assumptions!BK$72&lt;=$D$22+RetailDowntime,0,1)*$E$22*$B$22/12*INDEX(Cum_RetailRent,1,Assumptions!BK$77)*RenewalRentFactor)))</f>
        <v/>
      </c>
      <c r="BL34" s="52">
        <f>IF(Assumptions!BL$74=0,0,IF(Assumptions!BL$72&lt;$C$22,0,IF(Assumptions!BL$72&lt;=$D$22,$E$22*$B$22/12*(1+$F$22)^INT((Assumptions!BL$72-$C$22)/12),IF(Assumptions!BL$72&lt;=$D$22+RetailDowntime,0,1)*$E$22*$B$22/12*INDEX(Cum_RetailRent,1,Assumptions!BL$77)*RenewalRentFactor)))</f>
        <v/>
      </c>
      <c r="BM34" s="52">
        <f>IF(Assumptions!BM$74=0,0,IF(Assumptions!BM$72&lt;$C$22,0,IF(Assumptions!BM$72&lt;=$D$22,$E$22*$B$22/12*(1+$F$22)^INT((Assumptions!BM$72-$C$22)/12),IF(Assumptions!BM$72&lt;=$D$22+RetailDowntime,0,1)*$E$22*$B$22/12*INDEX(Cum_RetailRent,1,Assumptions!BM$77)*RenewalRentFactor)))</f>
        <v/>
      </c>
      <c r="BN34" s="52">
        <f>IF(Assumptions!BN$74=0,0,IF(Assumptions!BN$72&lt;$C$22,0,IF(Assumptions!BN$72&lt;=$D$22,$E$22*$B$22/12*(1+$F$22)^INT((Assumptions!BN$72-$C$22)/12),IF(Assumptions!BN$72&lt;=$D$22+RetailDowntime,0,1)*$E$22*$B$22/12*INDEX(Cum_RetailRent,1,Assumptions!BN$77)*RenewalRentFactor)))</f>
        <v/>
      </c>
      <c r="BO34" s="52">
        <f>IF(Assumptions!BO$74=0,0,IF(Assumptions!BO$72&lt;$C$22,0,IF(Assumptions!BO$72&lt;=$D$22,$E$22*$B$22/12*(1+$F$22)^INT((Assumptions!BO$72-$C$22)/12),IF(Assumptions!BO$72&lt;=$D$22+RetailDowntime,0,1)*$E$22*$B$22/12*INDEX(Cum_RetailRent,1,Assumptions!BO$77)*RenewalRentFactor)))</f>
        <v/>
      </c>
      <c r="BP34" s="52">
        <f>IF(Assumptions!BP$74=0,0,IF(Assumptions!BP$72&lt;$C$22,0,IF(Assumptions!BP$72&lt;=$D$22,$E$22*$B$22/12*(1+$F$22)^INT((Assumptions!BP$72-$C$22)/12),IF(Assumptions!BP$72&lt;=$D$22+RetailDowntime,0,1)*$E$22*$B$22/12*INDEX(Cum_RetailRent,1,Assumptions!BP$77)*RenewalRentFactor)))</f>
        <v/>
      </c>
      <c r="BQ34" s="52">
        <f>IF(Assumptions!BQ$74=0,0,IF(Assumptions!BQ$72&lt;$C$22,0,IF(Assumptions!BQ$72&lt;=$D$22,$E$22*$B$22/12*(1+$F$22)^INT((Assumptions!BQ$72-$C$22)/12),IF(Assumptions!BQ$72&lt;=$D$22+RetailDowntime,0,1)*$E$22*$B$22/12*INDEX(Cum_RetailRent,1,Assumptions!BQ$77)*RenewalRentFactor)))</f>
        <v/>
      </c>
      <c r="BR34" s="52">
        <f>IF(Assumptions!BR$74=0,0,IF(Assumptions!BR$72&lt;$C$22,0,IF(Assumptions!BR$72&lt;=$D$22,$E$22*$B$22/12*(1+$F$22)^INT((Assumptions!BR$72-$C$22)/12),IF(Assumptions!BR$72&lt;=$D$22+RetailDowntime,0,1)*$E$22*$B$22/12*INDEX(Cum_RetailRent,1,Assumptions!BR$77)*RenewalRentFactor)))</f>
        <v/>
      </c>
      <c r="BS34" s="52">
        <f>IF(Assumptions!BS$74=0,0,IF(Assumptions!BS$72&lt;$C$22,0,IF(Assumptions!BS$72&lt;=$D$22,$E$22*$B$22/12*(1+$F$22)^INT((Assumptions!BS$72-$C$22)/12),IF(Assumptions!BS$72&lt;=$D$22+RetailDowntime,0,1)*$E$22*$B$22/12*INDEX(Cum_RetailRent,1,Assumptions!BS$77)*RenewalRentFactor)))</f>
        <v/>
      </c>
      <c r="BT34" s="52">
        <f>IF(Assumptions!BT$74=0,0,IF(Assumptions!BT$72&lt;$C$22,0,IF(Assumptions!BT$72&lt;=$D$22,$E$22*$B$22/12*(1+$F$22)^INT((Assumptions!BT$72-$C$22)/12),IF(Assumptions!BT$72&lt;=$D$22+RetailDowntime,0,1)*$E$22*$B$22/12*INDEX(Cum_RetailRent,1,Assumptions!BT$77)*RenewalRentFactor)))</f>
        <v/>
      </c>
      <c r="BU34" s="52">
        <f>IF(Assumptions!BU$74=0,0,IF(Assumptions!BU$72&lt;$C$22,0,IF(Assumptions!BU$72&lt;=$D$22,$E$22*$B$22/12*(1+$F$22)^INT((Assumptions!BU$72-$C$22)/12),IF(Assumptions!BU$72&lt;=$D$22+RetailDowntime,0,1)*$E$22*$B$22/12*INDEX(Cum_RetailRent,1,Assumptions!BU$77)*RenewalRentFactor)))</f>
        <v/>
      </c>
      <c r="BV34" s="52">
        <f>IF(Assumptions!BV$74=0,0,IF(Assumptions!BV$72&lt;$C$22,0,IF(Assumptions!BV$72&lt;=$D$22,$E$22*$B$22/12*(1+$F$22)^INT((Assumptions!BV$72-$C$22)/12),IF(Assumptions!BV$72&lt;=$D$22+RetailDowntime,0,1)*$E$22*$B$22/12*INDEX(Cum_RetailRent,1,Assumptions!BV$77)*RenewalRentFactor)))</f>
        <v/>
      </c>
      <c r="BW34" s="52">
        <f>IF(Assumptions!BW$74=0,0,IF(Assumptions!BW$72&lt;$C$22,0,IF(Assumptions!BW$72&lt;=$D$22,$E$22*$B$22/12*(1+$F$22)^INT((Assumptions!BW$72-$C$22)/12),IF(Assumptions!BW$72&lt;=$D$22+RetailDowntime,0,1)*$E$22*$B$22/12*INDEX(Cum_RetailRent,1,Assumptions!BW$77)*RenewalRentFactor)))</f>
        <v/>
      </c>
      <c r="BX34" s="52">
        <f>IF(Assumptions!BX$74=0,0,IF(Assumptions!BX$72&lt;$C$22,0,IF(Assumptions!BX$72&lt;=$D$22,$E$22*$B$22/12*(1+$F$22)^INT((Assumptions!BX$72-$C$22)/12),IF(Assumptions!BX$72&lt;=$D$22+RetailDowntime,0,1)*$E$22*$B$22/12*INDEX(Cum_RetailRent,1,Assumptions!BX$77)*RenewalRentFactor)))</f>
        <v/>
      </c>
      <c r="BY34" s="52">
        <f>IF(Assumptions!BY$74=0,0,IF(Assumptions!BY$72&lt;$C$22,0,IF(Assumptions!BY$72&lt;=$D$22,$E$22*$B$22/12*(1+$F$22)^INT((Assumptions!BY$72-$C$22)/12),IF(Assumptions!BY$72&lt;=$D$22+RetailDowntime,0,1)*$E$22*$B$22/12*INDEX(Cum_RetailRent,1,Assumptions!BY$77)*RenewalRentFactor)))</f>
        <v/>
      </c>
      <c r="BZ34" s="52">
        <f>IF(Assumptions!BZ$74=0,0,IF(Assumptions!BZ$72&lt;$C$22,0,IF(Assumptions!BZ$72&lt;=$D$22,$E$22*$B$22/12*(1+$F$22)^INT((Assumptions!BZ$72-$C$22)/12),IF(Assumptions!BZ$72&lt;=$D$22+RetailDowntime,0,1)*$E$22*$B$22/12*INDEX(Cum_RetailRent,1,Assumptions!BZ$77)*RenewalRentFactor)))</f>
        <v/>
      </c>
      <c r="CA34" s="52">
        <f>IF(Assumptions!CA$74=0,0,IF(Assumptions!CA$72&lt;$C$22,0,IF(Assumptions!CA$72&lt;=$D$22,$E$22*$B$22/12*(1+$F$22)^INT((Assumptions!CA$72-$C$22)/12),IF(Assumptions!CA$72&lt;=$D$22+RetailDowntime,0,1)*$E$22*$B$22/12*INDEX(Cum_RetailRent,1,Assumptions!CA$77)*RenewalRentFactor)))</f>
        <v/>
      </c>
      <c r="CB34" s="52">
        <f>IF(Assumptions!CB$74=0,0,IF(Assumptions!CB$72&lt;$C$22,0,IF(Assumptions!CB$72&lt;=$D$22,$E$22*$B$22/12*(1+$F$22)^INT((Assumptions!CB$72-$C$22)/12),IF(Assumptions!CB$72&lt;=$D$22+RetailDowntime,0,1)*$E$22*$B$22/12*INDEX(Cum_RetailRent,1,Assumptions!CB$77)*RenewalRentFactor)))</f>
        <v/>
      </c>
      <c r="CC34" s="52">
        <f>IF(Assumptions!CC$74=0,0,IF(Assumptions!CC$72&lt;$C$22,0,IF(Assumptions!CC$72&lt;=$D$22,$E$22*$B$22/12*(1+$F$22)^INT((Assumptions!CC$72-$C$22)/12),IF(Assumptions!CC$72&lt;=$D$22+RetailDowntime,0,1)*$E$22*$B$22/12*INDEX(Cum_RetailRent,1,Assumptions!CC$77)*RenewalRentFactor)))</f>
        <v/>
      </c>
      <c r="CD34" s="52">
        <f>IF(Assumptions!CD$74=0,0,IF(Assumptions!CD$72&lt;$C$22,0,IF(Assumptions!CD$72&lt;=$D$22,$E$22*$B$22/12*(1+$F$22)^INT((Assumptions!CD$72-$C$22)/12),IF(Assumptions!CD$72&lt;=$D$22+RetailDowntime,0,1)*$E$22*$B$22/12*INDEX(Cum_RetailRent,1,Assumptions!CD$77)*RenewalRentFactor)))</f>
        <v/>
      </c>
      <c r="CE34" s="52">
        <f>IF(Assumptions!CE$74=0,0,IF(Assumptions!CE$72&lt;$C$22,0,IF(Assumptions!CE$72&lt;=$D$22,$E$22*$B$22/12*(1+$F$22)^INT((Assumptions!CE$72-$C$22)/12),IF(Assumptions!CE$72&lt;=$D$22+RetailDowntime,0,1)*$E$22*$B$22/12*INDEX(Cum_RetailRent,1,Assumptions!CE$77)*RenewalRentFactor)))</f>
        <v/>
      </c>
      <c r="CF34" s="52">
        <f>IF(Assumptions!CF$74=0,0,IF(Assumptions!CF$72&lt;$C$22,0,IF(Assumptions!CF$72&lt;=$D$22,$E$22*$B$22/12*(1+$F$22)^INT((Assumptions!CF$72-$C$22)/12),IF(Assumptions!CF$72&lt;=$D$22+RetailDowntime,0,1)*$E$22*$B$22/12*INDEX(Cum_RetailRent,1,Assumptions!CF$77)*RenewalRentFactor)))</f>
        <v/>
      </c>
      <c r="CG34" s="52">
        <f>IF(Assumptions!CG$74=0,0,IF(Assumptions!CG$72&lt;$C$22,0,IF(Assumptions!CG$72&lt;=$D$22,$E$22*$B$22/12*(1+$F$22)^INT((Assumptions!CG$72-$C$22)/12),IF(Assumptions!CG$72&lt;=$D$22+RetailDowntime,0,1)*$E$22*$B$22/12*INDEX(Cum_RetailRent,1,Assumptions!CG$77)*RenewalRentFactor)))</f>
        <v/>
      </c>
      <c r="CH34" s="52">
        <f>IF(Assumptions!CH$74=0,0,IF(Assumptions!CH$72&lt;$C$22,0,IF(Assumptions!CH$72&lt;=$D$22,$E$22*$B$22/12*(1+$F$22)^INT((Assumptions!CH$72-$C$22)/12),IF(Assumptions!CH$72&lt;=$D$22+RetailDowntime,0,1)*$E$22*$B$22/12*INDEX(Cum_RetailRent,1,Assumptions!CH$77)*RenewalRentFactor)))</f>
        <v/>
      </c>
      <c r="CI34" s="52">
        <f>IF(Assumptions!CI$74=0,0,IF(Assumptions!CI$72&lt;$C$22,0,IF(Assumptions!CI$72&lt;=$D$22,$E$22*$B$22/12*(1+$F$22)^INT((Assumptions!CI$72-$C$22)/12),IF(Assumptions!CI$72&lt;=$D$22+RetailDowntime,0,1)*$E$22*$B$22/12*INDEX(Cum_RetailRent,1,Assumptions!CI$77)*RenewalRentFactor)))</f>
        <v/>
      </c>
      <c r="CJ34" s="52">
        <f>IF(Assumptions!CJ$74=0,0,IF(Assumptions!CJ$72&lt;$C$22,0,IF(Assumptions!CJ$72&lt;=$D$22,$E$22*$B$22/12*(1+$F$22)^INT((Assumptions!CJ$72-$C$22)/12),IF(Assumptions!CJ$72&lt;=$D$22+RetailDowntime,0,1)*$E$22*$B$22/12*INDEX(Cum_RetailRent,1,Assumptions!CJ$77)*RenewalRentFactor)))</f>
        <v/>
      </c>
      <c r="CK34" s="52">
        <f>IF(Assumptions!CK$74=0,0,IF(Assumptions!CK$72&lt;$C$22,0,IF(Assumptions!CK$72&lt;=$D$22,$E$22*$B$22/12*(1+$F$22)^INT((Assumptions!CK$72-$C$22)/12),IF(Assumptions!CK$72&lt;=$D$22+RetailDowntime,0,1)*$E$22*$B$22/12*INDEX(Cum_RetailRent,1,Assumptions!CK$77)*RenewalRentFactor)))</f>
        <v/>
      </c>
      <c r="CL34" s="52">
        <f>IF(Assumptions!CL$74=0,0,IF(Assumptions!CL$72&lt;$C$22,0,IF(Assumptions!CL$72&lt;=$D$22,$E$22*$B$22/12*(1+$F$22)^INT((Assumptions!CL$72-$C$22)/12),IF(Assumptions!CL$72&lt;=$D$22+RetailDowntime,0,1)*$E$22*$B$22/12*INDEX(Cum_RetailRent,1,Assumptions!CL$77)*RenewalRentFactor)))</f>
        <v/>
      </c>
      <c r="CM34" s="52">
        <f>IF(Assumptions!CM$74=0,0,IF(Assumptions!CM$72&lt;$C$22,0,IF(Assumptions!CM$72&lt;=$D$22,$E$22*$B$22/12*(1+$F$22)^INT((Assumptions!CM$72-$C$22)/12),IF(Assumptions!CM$72&lt;=$D$22+RetailDowntime,0,1)*$E$22*$B$22/12*INDEX(Cum_RetailRent,1,Assumptions!CM$77)*RenewalRentFactor)))</f>
        <v/>
      </c>
      <c r="CN34" s="52">
        <f>IF(Assumptions!CN$74=0,0,IF(Assumptions!CN$72&lt;$C$22,0,IF(Assumptions!CN$72&lt;=$D$22,$E$22*$B$22/12*(1+$F$22)^INT((Assumptions!CN$72-$C$22)/12),IF(Assumptions!CN$72&lt;=$D$22+RetailDowntime,0,1)*$E$22*$B$22/12*INDEX(Cum_RetailRent,1,Assumptions!CN$77)*RenewalRentFactor)))</f>
        <v/>
      </c>
      <c r="CO34" s="52">
        <f>IF(Assumptions!CO$74=0,0,IF(Assumptions!CO$72&lt;$C$22,0,IF(Assumptions!CO$72&lt;=$D$22,$E$22*$B$22/12*(1+$F$22)^INT((Assumptions!CO$72-$C$22)/12),IF(Assumptions!CO$72&lt;=$D$22+RetailDowntime,0,1)*$E$22*$B$22/12*INDEX(Cum_RetailRent,1,Assumptions!CO$77)*RenewalRentFactor)))</f>
        <v/>
      </c>
      <c r="CP34" s="52">
        <f>IF(Assumptions!CP$74=0,0,IF(Assumptions!CP$72&lt;$C$22,0,IF(Assumptions!CP$72&lt;=$D$22,$E$22*$B$22/12*(1+$F$22)^INT((Assumptions!CP$72-$C$22)/12),IF(Assumptions!CP$72&lt;=$D$22+RetailDowntime,0,1)*$E$22*$B$22/12*INDEX(Cum_RetailRent,1,Assumptions!CP$77)*RenewalRentFactor)))</f>
        <v/>
      </c>
      <c r="CQ34" s="52">
        <f>IF(Assumptions!CQ$74=0,0,IF(Assumptions!CQ$72&lt;$C$22,0,IF(Assumptions!CQ$72&lt;=$D$22,$E$22*$B$22/12*(1+$F$22)^INT((Assumptions!CQ$72-$C$22)/12),IF(Assumptions!CQ$72&lt;=$D$22+RetailDowntime,0,1)*$E$22*$B$22/12*INDEX(Cum_RetailRent,1,Assumptions!CQ$77)*RenewalRentFactor)))</f>
        <v/>
      </c>
      <c r="CR34" s="52">
        <f>IF(Assumptions!CR$74=0,0,IF(Assumptions!CR$72&lt;$C$22,0,IF(Assumptions!CR$72&lt;=$D$22,$E$22*$B$22/12*(1+$F$22)^INT((Assumptions!CR$72-$C$22)/12),IF(Assumptions!CR$72&lt;=$D$22+RetailDowntime,0,1)*$E$22*$B$22/12*INDEX(Cum_RetailRent,1,Assumptions!CR$77)*RenewalRentFactor)))</f>
        <v/>
      </c>
      <c r="CS34" s="52">
        <f>IF(Assumptions!CS$74=0,0,IF(Assumptions!CS$72&lt;$C$22,0,IF(Assumptions!CS$72&lt;=$D$22,$E$22*$B$22/12*(1+$F$22)^INT((Assumptions!CS$72-$C$22)/12),IF(Assumptions!CS$72&lt;=$D$22+RetailDowntime,0,1)*$E$22*$B$22/12*INDEX(Cum_RetailRent,1,Assumptions!CS$77)*RenewalRentFactor)))</f>
        <v/>
      </c>
      <c r="CT34" s="52">
        <f>IF(Assumptions!CT$74=0,0,IF(Assumptions!CT$72&lt;$C$22,0,IF(Assumptions!CT$72&lt;=$D$22,$E$22*$B$22/12*(1+$F$22)^INT((Assumptions!CT$72-$C$22)/12),IF(Assumptions!CT$72&lt;=$D$22+RetailDowntime,0,1)*$E$22*$B$22/12*INDEX(Cum_RetailRent,1,Assumptions!CT$77)*RenewalRentFactor)))</f>
        <v/>
      </c>
      <c r="CU34" s="52">
        <f>IF(Assumptions!CU$74=0,0,IF(Assumptions!CU$72&lt;$C$22,0,IF(Assumptions!CU$72&lt;=$D$22,$E$22*$B$22/12*(1+$F$22)^INT((Assumptions!CU$72-$C$22)/12),IF(Assumptions!CU$72&lt;=$D$22+RetailDowntime,0,1)*$E$22*$B$22/12*INDEX(Cum_RetailRent,1,Assumptions!CU$77)*RenewalRentFactor)))</f>
        <v/>
      </c>
      <c r="CV34" s="52">
        <f>IF(Assumptions!CV$74=0,0,IF(Assumptions!CV$72&lt;$C$22,0,IF(Assumptions!CV$72&lt;=$D$22,$E$22*$B$22/12*(1+$F$22)^INT((Assumptions!CV$72-$C$22)/12),IF(Assumptions!CV$72&lt;=$D$22+RetailDowntime,0,1)*$E$22*$B$22/12*INDEX(Cum_RetailRent,1,Assumptions!CV$77)*RenewalRentFactor)))</f>
        <v/>
      </c>
      <c r="CW34" s="52">
        <f>IF(Assumptions!CW$74=0,0,IF(Assumptions!CW$72&lt;$C$22,0,IF(Assumptions!CW$72&lt;=$D$22,$E$22*$B$22/12*(1+$F$22)^INT((Assumptions!CW$72-$C$22)/12),IF(Assumptions!CW$72&lt;=$D$22+RetailDowntime,0,1)*$E$22*$B$22/12*INDEX(Cum_RetailRent,1,Assumptions!CW$77)*RenewalRentFactor)))</f>
        <v/>
      </c>
      <c r="CX34" s="52">
        <f>IF(Assumptions!CX$74=0,0,IF(Assumptions!CX$72&lt;$C$22,0,IF(Assumptions!CX$72&lt;=$D$22,$E$22*$B$22/12*(1+$F$22)^INT((Assumptions!CX$72-$C$22)/12),IF(Assumptions!CX$72&lt;=$D$22+RetailDowntime,0,1)*$E$22*$B$22/12*INDEX(Cum_RetailRent,1,Assumptions!CX$77)*RenewalRentFactor)))</f>
        <v/>
      </c>
      <c r="CY34" s="52">
        <f>IF(Assumptions!CY$74=0,0,IF(Assumptions!CY$72&lt;$C$22,0,IF(Assumptions!CY$72&lt;=$D$22,$E$22*$B$22/12*(1+$F$22)^INT((Assumptions!CY$72-$C$22)/12),IF(Assumptions!CY$72&lt;=$D$22+RetailDowntime,0,1)*$E$22*$B$22/12*INDEX(Cum_RetailRent,1,Assumptions!CY$77)*RenewalRentFactor)))</f>
        <v/>
      </c>
      <c r="CZ34" s="52">
        <f>IF(Assumptions!CZ$74=0,0,IF(Assumptions!CZ$72&lt;$C$22,0,IF(Assumptions!CZ$72&lt;=$D$22,$E$22*$B$22/12*(1+$F$22)^INT((Assumptions!CZ$72-$C$22)/12),IF(Assumptions!CZ$72&lt;=$D$22+RetailDowntime,0,1)*$E$22*$B$22/12*INDEX(Cum_RetailRent,1,Assumptions!CZ$77)*RenewalRentFactor)))</f>
        <v/>
      </c>
      <c r="DA34" s="52">
        <f>IF(Assumptions!DA$74=0,0,IF(Assumptions!DA$72&lt;$C$22,0,IF(Assumptions!DA$72&lt;=$D$22,$E$22*$B$22/12*(1+$F$22)^INT((Assumptions!DA$72-$C$22)/12),IF(Assumptions!DA$72&lt;=$D$22+RetailDowntime,0,1)*$E$22*$B$22/12*INDEX(Cum_RetailRent,1,Assumptions!DA$77)*RenewalRentFactor)))</f>
        <v/>
      </c>
      <c r="DB34" s="52">
        <f>IF(Assumptions!DB$74=0,0,IF(Assumptions!DB$72&lt;$C$22,0,IF(Assumptions!DB$72&lt;=$D$22,$E$22*$B$22/12*(1+$F$22)^INT((Assumptions!DB$72-$C$22)/12),IF(Assumptions!DB$72&lt;=$D$22+RetailDowntime,0,1)*$E$22*$B$22/12*INDEX(Cum_RetailRent,1,Assumptions!DB$77)*RenewalRentFactor)))</f>
        <v/>
      </c>
      <c r="DC34" s="52">
        <f>IF(Assumptions!DC$74=0,0,IF(Assumptions!DC$72&lt;$C$22,0,IF(Assumptions!DC$72&lt;=$D$22,$E$22*$B$22/12*(1+$F$22)^INT((Assumptions!DC$72-$C$22)/12),IF(Assumptions!DC$72&lt;=$D$22+RetailDowntime,0,1)*$E$22*$B$22/12*INDEX(Cum_RetailRent,1,Assumptions!DC$77)*RenewalRentFactor)))</f>
        <v/>
      </c>
      <c r="DD34" s="52">
        <f>IF(Assumptions!DD$74=0,0,IF(Assumptions!DD$72&lt;$C$22,0,IF(Assumptions!DD$72&lt;=$D$22,$E$22*$B$22/12*(1+$F$22)^INT((Assumptions!DD$72-$C$22)/12),IF(Assumptions!DD$72&lt;=$D$22+RetailDowntime,0,1)*$E$22*$B$22/12*INDEX(Cum_RetailRent,1,Assumptions!DD$77)*RenewalRentFactor)))</f>
        <v/>
      </c>
      <c r="DE34" s="52">
        <f>IF(Assumptions!DE$74=0,0,IF(Assumptions!DE$72&lt;$C$22,0,IF(Assumptions!DE$72&lt;=$D$22,$E$22*$B$22/12*(1+$F$22)^INT((Assumptions!DE$72-$C$22)/12),IF(Assumptions!DE$72&lt;=$D$22+RetailDowntime,0,1)*$E$22*$B$22/12*INDEX(Cum_RetailRent,1,Assumptions!DE$77)*RenewalRentFactor)))</f>
        <v/>
      </c>
      <c r="DF34" s="52">
        <f>IF(Assumptions!DF$74=0,0,IF(Assumptions!DF$72&lt;$C$22,0,IF(Assumptions!DF$72&lt;=$D$22,$E$22*$B$22/12*(1+$F$22)^INT((Assumptions!DF$72-$C$22)/12),IF(Assumptions!DF$72&lt;=$D$22+RetailDowntime,0,1)*$E$22*$B$22/12*INDEX(Cum_RetailRent,1,Assumptions!DF$77)*RenewalRentFactor)))</f>
        <v/>
      </c>
      <c r="DG34" s="52">
        <f>IF(Assumptions!DG$74=0,0,IF(Assumptions!DG$72&lt;$C$22,0,IF(Assumptions!DG$72&lt;=$D$22,$E$22*$B$22/12*(1+$F$22)^INT((Assumptions!DG$72-$C$22)/12),IF(Assumptions!DG$72&lt;=$D$22+RetailDowntime,0,1)*$E$22*$B$22/12*INDEX(Cum_RetailRent,1,Assumptions!DG$77)*RenewalRentFactor)))</f>
        <v/>
      </c>
      <c r="DH34" s="52">
        <f>IF(Assumptions!DH$74=0,0,IF(Assumptions!DH$72&lt;$C$22,0,IF(Assumptions!DH$72&lt;=$D$22,$E$22*$B$22/12*(1+$F$22)^INT((Assumptions!DH$72-$C$22)/12),IF(Assumptions!DH$72&lt;=$D$22+RetailDowntime,0,1)*$E$22*$B$22/12*INDEX(Cum_RetailRent,1,Assumptions!DH$77)*RenewalRentFactor)))</f>
        <v/>
      </c>
      <c r="DI34" s="52">
        <f>IF(Assumptions!DI$74=0,0,IF(Assumptions!DI$72&lt;$C$22,0,IF(Assumptions!DI$72&lt;=$D$22,$E$22*$B$22/12*(1+$F$22)^INT((Assumptions!DI$72-$C$22)/12),IF(Assumptions!DI$72&lt;=$D$22+RetailDowntime,0,1)*$E$22*$B$22/12*INDEX(Cum_RetailRent,1,Assumptions!DI$77)*RenewalRentFactor)))</f>
        <v/>
      </c>
      <c r="DJ34" s="52">
        <f>IF(Assumptions!DJ$74=0,0,IF(Assumptions!DJ$72&lt;$C$22,0,IF(Assumptions!DJ$72&lt;=$D$22,$E$22*$B$22/12*(1+$F$22)^INT((Assumptions!DJ$72-$C$22)/12),IF(Assumptions!DJ$72&lt;=$D$22+RetailDowntime,0,1)*$E$22*$B$22/12*INDEX(Cum_RetailRent,1,Assumptions!DJ$77)*RenewalRentFactor)))</f>
        <v/>
      </c>
      <c r="DK34" s="52">
        <f>IF(Assumptions!DK$74=0,0,IF(Assumptions!DK$72&lt;$C$22,0,IF(Assumptions!DK$72&lt;=$D$22,$E$22*$B$22/12*(1+$F$22)^INT((Assumptions!DK$72-$C$22)/12),IF(Assumptions!DK$72&lt;=$D$22+RetailDowntime,0,1)*$E$22*$B$22/12*INDEX(Cum_RetailRent,1,Assumptions!DK$77)*RenewalRentFactor)))</f>
        <v/>
      </c>
      <c r="DL34" s="52">
        <f>IF(Assumptions!DL$74=0,0,IF(Assumptions!DL$72&lt;$C$22,0,IF(Assumptions!DL$72&lt;=$D$22,$E$22*$B$22/12*(1+$F$22)^INT((Assumptions!DL$72-$C$22)/12),IF(Assumptions!DL$72&lt;=$D$22+RetailDowntime,0,1)*$E$22*$B$22/12*INDEX(Cum_RetailRent,1,Assumptions!DL$77)*RenewalRentFactor)))</f>
        <v/>
      </c>
      <c r="DM34" s="52">
        <f>IF(Assumptions!DM$74=0,0,IF(Assumptions!DM$72&lt;$C$22,0,IF(Assumptions!DM$72&lt;=$D$22,$E$22*$B$22/12*(1+$F$22)^INT((Assumptions!DM$72-$C$22)/12),IF(Assumptions!DM$72&lt;=$D$22+RetailDowntime,0,1)*$E$22*$B$22/12*INDEX(Cum_RetailRent,1,Assumptions!DM$77)*RenewalRentFactor)))</f>
        <v/>
      </c>
      <c r="DN34" s="52">
        <f>IF(Assumptions!DN$74=0,0,IF(Assumptions!DN$72&lt;$C$22,0,IF(Assumptions!DN$72&lt;=$D$22,$E$22*$B$22/12*(1+$F$22)^INT((Assumptions!DN$72-$C$22)/12),IF(Assumptions!DN$72&lt;=$D$22+RetailDowntime,0,1)*$E$22*$B$22/12*INDEX(Cum_RetailRent,1,Assumptions!DN$77)*RenewalRentFactor)))</f>
        <v/>
      </c>
      <c r="DO34" s="52">
        <f>IF(Assumptions!DO$74=0,0,IF(Assumptions!DO$72&lt;$C$22,0,IF(Assumptions!DO$72&lt;=$D$22,$E$22*$B$22/12*(1+$F$22)^INT((Assumptions!DO$72-$C$22)/12),IF(Assumptions!DO$72&lt;=$D$22+RetailDowntime,0,1)*$E$22*$B$22/12*INDEX(Cum_RetailRent,1,Assumptions!DO$77)*RenewalRentFactor)))</f>
        <v/>
      </c>
      <c r="DP34" s="52">
        <f>IF(Assumptions!DP$74=0,0,IF(Assumptions!DP$72&lt;$C$22,0,IF(Assumptions!DP$72&lt;=$D$22,$E$22*$B$22/12*(1+$F$22)^INT((Assumptions!DP$72-$C$22)/12),IF(Assumptions!DP$72&lt;=$D$22+RetailDowntime,0,1)*$E$22*$B$22/12*INDEX(Cum_RetailRent,1,Assumptions!DP$77)*RenewalRentFactor)))</f>
        <v/>
      </c>
      <c r="DQ34" s="52">
        <f>IF(Assumptions!DQ$74=0,0,IF(Assumptions!DQ$72&lt;$C$22,0,IF(Assumptions!DQ$72&lt;=$D$22,$E$22*$B$22/12*(1+$F$22)^INT((Assumptions!DQ$72-$C$22)/12),IF(Assumptions!DQ$72&lt;=$D$22+RetailDowntime,0,1)*$E$22*$B$22/12*INDEX(Cum_RetailRent,1,Assumptions!DQ$77)*RenewalRentFactor)))</f>
        <v/>
      </c>
      <c r="DR34" s="52">
        <f>IF(Assumptions!DR$74=0,0,IF(Assumptions!DR$72&lt;$C$22,0,IF(Assumptions!DR$72&lt;=$D$22,$E$22*$B$22/12*(1+$F$22)^INT((Assumptions!DR$72-$C$22)/12),IF(Assumptions!DR$72&lt;=$D$22+RetailDowntime,0,1)*$E$22*$B$22/12*INDEX(Cum_RetailRent,1,Assumptions!DR$77)*RenewalRentFactor)))</f>
        <v/>
      </c>
      <c r="DS34" s="52">
        <f>IF(Assumptions!DS$74=0,0,IF(Assumptions!DS$72&lt;$C$22,0,IF(Assumptions!DS$72&lt;=$D$22,$E$22*$B$22/12*(1+$F$22)^INT((Assumptions!DS$72-$C$22)/12),IF(Assumptions!DS$72&lt;=$D$22+RetailDowntime,0,1)*$E$22*$B$22/12*INDEX(Cum_RetailRent,1,Assumptions!DS$77)*RenewalRentFactor)))</f>
        <v/>
      </c>
      <c r="DT34" s="52">
        <f>IF(Assumptions!DT$74=0,0,IF(Assumptions!DT$72&lt;$C$22,0,IF(Assumptions!DT$72&lt;=$D$22,$E$22*$B$22/12*(1+$F$22)^INT((Assumptions!DT$72-$C$22)/12),IF(Assumptions!DT$72&lt;=$D$22+RetailDowntime,0,1)*$E$22*$B$22/12*INDEX(Cum_RetailRent,1,Assumptions!DT$77)*RenewalRentFactor)))</f>
        <v/>
      </c>
    </row>
    <row r="35">
      <c r="A35" s="10" t="inlineStr">
        <is>
          <t>Total base + steps + rollover ($/mo)</t>
        </is>
      </c>
      <c r="E35" s="52">
        <f>SUM(E29:E34)</f>
        <v/>
      </c>
      <c r="F35" s="52">
        <f>SUM(F29:F34)</f>
        <v/>
      </c>
      <c r="G35" s="52">
        <f>SUM(G29:G34)</f>
        <v/>
      </c>
      <c r="H35" s="52">
        <f>SUM(H29:H34)</f>
        <v/>
      </c>
      <c r="I35" s="52">
        <f>SUM(I29:I34)</f>
        <v/>
      </c>
      <c r="J35" s="52">
        <f>SUM(J29:J34)</f>
        <v/>
      </c>
      <c r="K35" s="52">
        <f>SUM(K29:K34)</f>
        <v/>
      </c>
      <c r="L35" s="52">
        <f>SUM(L29:L34)</f>
        <v/>
      </c>
      <c r="M35" s="52">
        <f>SUM(M29:M34)</f>
        <v/>
      </c>
      <c r="N35" s="52">
        <f>SUM(N29:N34)</f>
        <v/>
      </c>
      <c r="O35" s="52">
        <f>SUM(O29:O34)</f>
        <v/>
      </c>
      <c r="P35" s="52">
        <f>SUM(P29:P34)</f>
        <v/>
      </c>
      <c r="Q35" s="52">
        <f>SUM(Q29:Q34)</f>
        <v/>
      </c>
      <c r="R35" s="52">
        <f>SUM(R29:R34)</f>
        <v/>
      </c>
      <c r="S35" s="52">
        <f>SUM(S29:S34)</f>
        <v/>
      </c>
      <c r="T35" s="52">
        <f>SUM(T29:T34)</f>
        <v/>
      </c>
      <c r="U35" s="52">
        <f>SUM(U29:U34)</f>
        <v/>
      </c>
      <c r="V35" s="52">
        <f>SUM(V29:V34)</f>
        <v/>
      </c>
      <c r="W35" s="52">
        <f>SUM(W29:W34)</f>
        <v/>
      </c>
      <c r="X35" s="52">
        <f>SUM(X29:X34)</f>
        <v/>
      </c>
      <c r="Y35" s="52">
        <f>SUM(Y29:Y34)</f>
        <v/>
      </c>
      <c r="Z35" s="52">
        <f>SUM(Z29:Z34)</f>
        <v/>
      </c>
      <c r="AA35" s="52">
        <f>SUM(AA29:AA34)</f>
        <v/>
      </c>
      <c r="AB35" s="52">
        <f>SUM(AB29:AB34)</f>
        <v/>
      </c>
      <c r="AC35" s="52">
        <f>SUM(AC29:AC34)</f>
        <v/>
      </c>
      <c r="AD35" s="52">
        <f>SUM(AD29:AD34)</f>
        <v/>
      </c>
      <c r="AE35" s="52">
        <f>SUM(AE29:AE34)</f>
        <v/>
      </c>
      <c r="AF35" s="52">
        <f>SUM(AF29:AF34)</f>
        <v/>
      </c>
      <c r="AG35" s="52">
        <f>SUM(AG29:AG34)</f>
        <v/>
      </c>
      <c r="AH35" s="52">
        <f>SUM(AH29:AH34)</f>
        <v/>
      </c>
      <c r="AI35" s="52">
        <f>SUM(AI29:AI34)</f>
        <v/>
      </c>
      <c r="AJ35" s="52">
        <f>SUM(AJ29:AJ34)</f>
        <v/>
      </c>
      <c r="AK35" s="52">
        <f>SUM(AK29:AK34)</f>
        <v/>
      </c>
      <c r="AL35" s="52">
        <f>SUM(AL29:AL34)</f>
        <v/>
      </c>
      <c r="AM35" s="52">
        <f>SUM(AM29:AM34)</f>
        <v/>
      </c>
      <c r="AN35" s="52">
        <f>SUM(AN29:AN34)</f>
        <v/>
      </c>
      <c r="AO35" s="52">
        <f>SUM(AO29:AO34)</f>
        <v/>
      </c>
      <c r="AP35" s="52">
        <f>SUM(AP29:AP34)</f>
        <v/>
      </c>
      <c r="AQ35" s="52">
        <f>SUM(AQ29:AQ34)</f>
        <v/>
      </c>
      <c r="AR35" s="52">
        <f>SUM(AR29:AR34)</f>
        <v/>
      </c>
      <c r="AS35" s="52">
        <f>SUM(AS29:AS34)</f>
        <v/>
      </c>
      <c r="AT35" s="52">
        <f>SUM(AT29:AT34)</f>
        <v/>
      </c>
      <c r="AU35" s="52">
        <f>SUM(AU29:AU34)</f>
        <v/>
      </c>
      <c r="AV35" s="52">
        <f>SUM(AV29:AV34)</f>
        <v/>
      </c>
      <c r="AW35" s="52">
        <f>SUM(AW29:AW34)</f>
        <v/>
      </c>
      <c r="AX35" s="52">
        <f>SUM(AX29:AX34)</f>
        <v/>
      </c>
      <c r="AY35" s="52">
        <f>SUM(AY29:AY34)</f>
        <v/>
      </c>
      <c r="AZ35" s="52">
        <f>SUM(AZ29:AZ34)</f>
        <v/>
      </c>
      <c r="BA35" s="52">
        <f>SUM(BA29:BA34)</f>
        <v/>
      </c>
      <c r="BB35" s="52">
        <f>SUM(BB29:BB34)</f>
        <v/>
      </c>
      <c r="BC35" s="52">
        <f>SUM(BC29:BC34)</f>
        <v/>
      </c>
      <c r="BD35" s="52">
        <f>SUM(BD29:BD34)</f>
        <v/>
      </c>
      <c r="BE35" s="52">
        <f>SUM(BE29:BE34)</f>
        <v/>
      </c>
      <c r="BF35" s="52">
        <f>SUM(BF29:BF34)</f>
        <v/>
      </c>
      <c r="BG35" s="52">
        <f>SUM(BG29:BG34)</f>
        <v/>
      </c>
      <c r="BH35" s="52">
        <f>SUM(BH29:BH34)</f>
        <v/>
      </c>
      <c r="BI35" s="52">
        <f>SUM(BI29:BI34)</f>
        <v/>
      </c>
      <c r="BJ35" s="52">
        <f>SUM(BJ29:BJ34)</f>
        <v/>
      </c>
      <c r="BK35" s="52">
        <f>SUM(BK29:BK34)</f>
        <v/>
      </c>
      <c r="BL35" s="52">
        <f>SUM(BL29:BL34)</f>
        <v/>
      </c>
      <c r="BM35" s="52">
        <f>SUM(BM29:BM34)</f>
        <v/>
      </c>
      <c r="BN35" s="52">
        <f>SUM(BN29:BN34)</f>
        <v/>
      </c>
      <c r="BO35" s="52">
        <f>SUM(BO29:BO34)</f>
        <v/>
      </c>
      <c r="BP35" s="52">
        <f>SUM(BP29:BP34)</f>
        <v/>
      </c>
      <c r="BQ35" s="52">
        <f>SUM(BQ29:BQ34)</f>
        <v/>
      </c>
      <c r="BR35" s="52">
        <f>SUM(BR29:BR34)</f>
        <v/>
      </c>
      <c r="BS35" s="52">
        <f>SUM(BS29:BS34)</f>
        <v/>
      </c>
      <c r="BT35" s="52">
        <f>SUM(BT29:BT34)</f>
        <v/>
      </c>
      <c r="BU35" s="52">
        <f>SUM(BU29:BU34)</f>
        <v/>
      </c>
      <c r="BV35" s="52">
        <f>SUM(BV29:BV34)</f>
        <v/>
      </c>
      <c r="BW35" s="52">
        <f>SUM(BW29:BW34)</f>
        <v/>
      </c>
      <c r="BX35" s="52">
        <f>SUM(BX29:BX34)</f>
        <v/>
      </c>
      <c r="BY35" s="52">
        <f>SUM(BY29:BY34)</f>
        <v/>
      </c>
      <c r="BZ35" s="52">
        <f>SUM(BZ29:BZ34)</f>
        <v/>
      </c>
      <c r="CA35" s="52">
        <f>SUM(CA29:CA34)</f>
        <v/>
      </c>
      <c r="CB35" s="52">
        <f>SUM(CB29:CB34)</f>
        <v/>
      </c>
      <c r="CC35" s="52">
        <f>SUM(CC29:CC34)</f>
        <v/>
      </c>
      <c r="CD35" s="52">
        <f>SUM(CD29:CD34)</f>
        <v/>
      </c>
      <c r="CE35" s="52">
        <f>SUM(CE29:CE34)</f>
        <v/>
      </c>
      <c r="CF35" s="52">
        <f>SUM(CF29:CF34)</f>
        <v/>
      </c>
      <c r="CG35" s="52">
        <f>SUM(CG29:CG34)</f>
        <v/>
      </c>
      <c r="CH35" s="52">
        <f>SUM(CH29:CH34)</f>
        <v/>
      </c>
      <c r="CI35" s="52">
        <f>SUM(CI29:CI34)</f>
        <v/>
      </c>
      <c r="CJ35" s="52">
        <f>SUM(CJ29:CJ34)</f>
        <v/>
      </c>
      <c r="CK35" s="52">
        <f>SUM(CK29:CK34)</f>
        <v/>
      </c>
      <c r="CL35" s="52">
        <f>SUM(CL29:CL34)</f>
        <v/>
      </c>
      <c r="CM35" s="52">
        <f>SUM(CM29:CM34)</f>
        <v/>
      </c>
      <c r="CN35" s="52">
        <f>SUM(CN29:CN34)</f>
        <v/>
      </c>
      <c r="CO35" s="52">
        <f>SUM(CO29:CO34)</f>
        <v/>
      </c>
      <c r="CP35" s="52">
        <f>SUM(CP29:CP34)</f>
        <v/>
      </c>
      <c r="CQ35" s="52">
        <f>SUM(CQ29:CQ34)</f>
        <v/>
      </c>
      <c r="CR35" s="52">
        <f>SUM(CR29:CR34)</f>
        <v/>
      </c>
      <c r="CS35" s="52">
        <f>SUM(CS29:CS34)</f>
        <v/>
      </c>
      <c r="CT35" s="52">
        <f>SUM(CT29:CT34)</f>
        <v/>
      </c>
      <c r="CU35" s="52">
        <f>SUM(CU29:CU34)</f>
        <v/>
      </c>
      <c r="CV35" s="52">
        <f>SUM(CV29:CV34)</f>
        <v/>
      </c>
      <c r="CW35" s="52">
        <f>SUM(CW29:CW34)</f>
        <v/>
      </c>
      <c r="CX35" s="52">
        <f>SUM(CX29:CX34)</f>
        <v/>
      </c>
      <c r="CY35" s="52">
        <f>SUM(CY29:CY34)</f>
        <v/>
      </c>
      <c r="CZ35" s="52">
        <f>SUM(CZ29:CZ34)</f>
        <v/>
      </c>
      <c r="DA35" s="52">
        <f>SUM(DA29:DA34)</f>
        <v/>
      </c>
      <c r="DB35" s="52">
        <f>SUM(DB29:DB34)</f>
        <v/>
      </c>
      <c r="DC35" s="52">
        <f>SUM(DC29:DC34)</f>
        <v/>
      </c>
      <c r="DD35" s="52">
        <f>SUM(DD29:DD34)</f>
        <v/>
      </c>
      <c r="DE35" s="52">
        <f>SUM(DE29:DE34)</f>
        <v/>
      </c>
      <c r="DF35" s="52">
        <f>SUM(DF29:DF34)</f>
        <v/>
      </c>
      <c r="DG35" s="52">
        <f>SUM(DG29:DG34)</f>
        <v/>
      </c>
      <c r="DH35" s="52">
        <f>SUM(DH29:DH34)</f>
        <v/>
      </c>
      <c r="DI35" s="52">
        <f>SUM(DI29:DI34)</f>
        <v/>
      </c>
      <c r="DJ35" s="52">
        <f>SUM(DJ29:DJ34)</f>
        <v/>
      </c>
      <c r="DK35" s="52">
        <f>SUM(DK29:DK34)</f>
        <v/>
      </c>
      <c r="DL35" s="52">
        <f>SUM(DL29:DL34)</f>
        <v/>
      </c>
      <c r="DM35" s="52">
        <f>SUM(DM29:DM34)</f>
        <v/>
      </c>
      <c r="DN35" s="52">
        <f>SUM(DN29:DN34)</f>
        <v/>
      </c>
      <c r="DO35" s="52">
        <f>SUM(DO29:DO34)</f>
        <v/>
      </c>
      <c r="DP35" s="52">
        <f>SUM(DP29:DP34)</f>
        <v/>
      </c>
      <c r="DQ35" s="52">
        <f>SUM(DQ29:DQ34)</f>
        <v/>
      </c>
      <c r="DR35" s="52">
        <f>SUM(DR29:DR34)</f>
        <v/>
      </c>
      <c r="DS35" s="52">
        <f>SUM(DS29:DS34)</f>
        <v/>
      </c>
      <c r="DT35" s="52">
        <f>SUM(DT29:DT34)</f>
        <v/>
      </c>
    </row>
    <row r="36">
      <c r="A36" s="10" t="inlineStr">
        <is>
          <t>Percentage rent ($/mo)</t>
        </is>
      </c>
      <c r="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E$74</f>
        <v/>
      </c>
      <c r="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F$74</f>
        <v/>
      </c>
      <c r="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G$74</f>
        <v/>
      </c>
      <c r="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H$74</f>
        <v/>
      </c>
      <c r="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I$74</f>
        <v/>
      </c>
      <c r="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J$74</f>
        <v/>
      </c>
      <c r="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K$74</f>
        <v/>
      </c>
      <c r="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L$74</f>
        <v/>
      </c>
      <c r="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M$74</f>
        <v/>
      </c>
      <c r="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N$74</f>
        <v/>
      </c>
      <c r="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O$74</f>
        <v/>
      </c>
      <c r="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P$74</f>
        <v/>
      </c>
      <c r="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Q$74</f>
        <v/>
      </c>
      <c r="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R$74</f>
        <v/>
      </c>
      <c r="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S$74</f>
        <v/>
      </c>
      <c r="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T$74</f>
        <v/>
      </c>
      <c r="U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U$74</f>
        <v/>
      </c>
      <c r="V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V$74</f>
        <v/>
      </c>
      <c r="W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W$74</f>
        <v/>
      </c>
      <c r="X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X$74</f>
        <v/>
      </c>
      <c r="Y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Y$74</f>
        <v/>
      </c>
      <c r="Z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Z$74</f>
        <v/>
      </c>
      <c r="AA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A$74</f>
        <v/>
      </c>
      <c r="AB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B$74</f>
        <v/>
      </c>
      <c r="AC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C$74</f>
        <v/>
      </c>
      <c r="AD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D$74</f>
        <v/>
      </c>
      <c r="A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E$74</f>
        <v/>
      </c>
      <c r="A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F$74</f>
        <v/>
      </c>
      <c r="A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G$74</f>
        <v/>
      </c>
      <c r="A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H$74</f>
        <v/>
      </c>
      <c r="A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I$74</f>
        <v/>
      </c>
      <c r="A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J$74</f>
        <v/>
      </c>
      <c r="A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K$74</f>
        <v/>
      </c>
      <c r="A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L$74</f>
        <v/>
      </c>
      <c r="A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M$74</f>
        <v/>
      </c>
      <c r="A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N$74</f>
        <v/>
      </c>
      <c r="A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O$74</f>
        <v/>
      </c>
      <c r="A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P$74</f>
        <v/>
      </c>
      <c r="A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Q$74</f>
        <v/>
      </c>
      <c r="A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R$74</f>
        <v/>
      </c>
      <c r="A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S$74</f>
        <v/>
      </c>
      <c r="A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T$74</f>
        <v/>
      </c>
      <c r="AU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U$74</f>
        <v/>
      </c>
      <c r="AV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V$74</f>
        <v/>
      </c>
      <c r="AW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W$74</f>
        <v/>
      </c>
      <c r="AX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X$74</f>
        <v/>
      </c>
      <c r="AY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Y$74</f>
        <v/>
      </c>
      <c r="AZ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AZ$74</f>
        <v/>
      </c>
      <c r="BA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A$74</f>
        <v/>
      </c>
      <c r="BB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B$74</f>
        <v/>
      </c>
      <c r="BC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C$74</f>
        <v/>
      </c>
      <c r="BD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D$74</f>
        <v/>
      </c>
      <c r="B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E$74</f>
        <v/>
      </c>
      <c r="B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F$74</f>
        <v/>
      </c>
      <c r="B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G$74</f>
        <v/>
      </c>
      <c r="B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H$74</f>
        <v/>
      </c>
      <c r="B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I$74</f>
        <v/>
      </c>
      <c r="B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J$74</f>
        <v/>
      </c>
      <c r="B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K$74</f>
        <v/>
      </c>
      <c r="B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L$74</f>
        <v/>
      </c>
      <c r="B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M$74</f>
        <v/>
      </c>
      <c r="B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N$74</f>
        <v/>
      </c>
      <c r="B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O$74</f>
        <v/>
      </c>
      <c r="B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P$74</f>
        <v/>
      </c>
      <c r="B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Q$74</f>
        <v/>
      </c>
      <c r="B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R$74</f>
        <v/>
      </c>
      <c r="B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S$74</f>
        <v/>
      </c>
      <c r="B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T$74</f>
        <v/>
      </c>
      <c r="BU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U$74</f>
        <v/>
      </c>
      <c r="BV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V$74</f>
        <v/>
      </c>
      <c r="BW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W$74</f>
        <v/>
      </c>
      <c r="BX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X$74</f>
        <v/>
      </c>
      <c r="BY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Y$74</f>
        <v/>
      </c>
      <c r="BZ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BZ$74</f>
        <v/>
      </c>
      <c r="CA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A$74</f>
        <v/>
      </c>
      <c r="CB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B$74</f>
        <v/>
      </c>
      <c r="CC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C$74</f>
        <v/>
      </c>
      <c r="CD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D$74</f>
        <v/>
      </c>
      <c r="C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E$74</f>
        <v/>
      </c>
      <c r="C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F$74</f>
        <v/>
      </c>
      <c r="C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G$74</f>
        <v/>
      </c>
      <c r="C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H$74</f>
        <v/>
      </c>
      <c r="C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I$74</f>
        <v/>
      </c>
      <c r="C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J$74</f>
        <v/>
      </c>
      <c r="C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K$74</f>
        <v/>
      </c>
      <c r="C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L$74</f>
        <v/>
      </c>
      <c r="C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M$74</f>
        <v/>
      </c>
      <c r="C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N$74</f>
        <v/>
      </c>
      <c r="C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O$74</f>
        <v/>
      </c>
      <c r="C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P$74</f>
        <v/>
      </c>
      <c r="C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Q$74</f>
        <v/>
      </c>
      <c r="C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R$74</f>
        <v/>
      </c>
      <c r="C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S$74</f>
        <v/>
      </c>
      <c r="C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T$74</f>
        <v/>
      </c>
      <c r="CU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U$74</f>
        <v/>
      </c>
      <c r="CV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V$74</f>
        <v/>
      </c>
      <c r="CW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W$74</f>
        <v/>
      </c>
      <c r="CX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X$74</f>
        <v/>
      </c>
      <c r="CY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Y$74</f>
        <v/>
      </c>
      <c r="CZ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CZ$74</f>
        <v/>
      </c>
      <c r="DA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A$74</f>
        <v/>
      </c>
      <c r="DB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B$74</f>
        <v/>
      </c>
      <c r="DC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C$74</f>
        <v/>
      </c>
      <c r="DD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D$74</f>
        <v/>
      </c>
      <c r="DE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E$74</f>
        <v/>
      </c>
      <c r="DF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F$74</f>
        <v/>
      </c>
      <c r="DG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G$74</f>
        <v/>
      </c>
      <c r="DH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H$74</f>
        <v/>
      </c>
      <c r="DI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I$74</f>
        <v/>
      </c>
      <c r="DJ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J$74</f>
        <v/>
      </c>
      <c r="DK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K$74</f>
        <v/>
      </c>
      <c r="DL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L$74</f>
        <v/>
      </c>
      <c r="DM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M$74</f>
        <v/>
      </c>
      <c r="DN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N$74</f>
        <v/>
      </c>
      <c r="DO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O$74</f>
        <v/>
      </c>
      <c r="DP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P$74</f>
        <v/>
      </c>
      <c r="DQ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Q$74</f>
        <v/>
      </c>
      <c r="DR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R$74</f>
        <v/>
      </c>
      <c r="DS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S$74</f>
        <v/>
      </c>
      <c r="DT36" s="52">
        <f>(IF($I$17=0,0,MAX(0,$H$17*$B$17-($E$17*$B$17/$I$17))*$I$17/12)+IF($I$18=0,0,MAX(0,$H$18*$B$18-($E$18*$B$18/$I$18))*$I$18/12)+IF($I$19=0,0,MAX(0,$H$19*$B$19-($E$19*$B$19/$I$19))*$I$19/12)+IF($I$20=0,0,MAX(0,$H$20*$B$20-($E$20*$B$20/$I$20))*$I$20/12)+IF($I$21=0,0,MAX(0,$H$21*$B$21-($E$21*$B$21/$I$21))*$I$21/12)+IF($I$22=0,0,MAX(0,$H$22*$B$22-($E$22*$B$22/$I$22))*$I$22/12))*Assumptions!DT$74</f>
        <v/>
      </c>
    </row>
    <row r="37">
      <c r="A37" s="10" t="inlineStr">
        <is>
          <t>Recoveries ($/mo)</t>
        </is>
      </c>
      <c r="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E$77)-1),INDEX(Cum_OpEx,1,Assumptions!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E$77)-1),INDEX(Cum_OpEx,1,Assumptions!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E$77)-1),INDEX(Cum_OpEx,1,Assumptions!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E$77)-1),INDEX(Cum_OpEx,1,Assumptions!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E$77)-1),INDEX(Cum_OpEx,1,Assumptions!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E$77)-1),INDEX(Cum_OpEx,1,Assumptions!E$77)))*Assumptions!E$74</f>
        <v/>
      </c>
      <c r="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F$77)-1),INDEX(Cum_OpEx,1,Assumptions!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F$77)-1),INDEX(Cum_OpEx,1,Assumptions!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F$77)-1),INDEX(Cum_OpEx,1,Assumptions!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F$77)-1),INDEX(Cum_OpEx,1,Assumptions!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F$77)-1),INDEX(Cum_OpEx,1,Assumptions!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F$77)-1),INDEX(Cum_OpEx,1,Assumptions!F$77)))*Assumptions!F$74</f>
        <v/>
      </c>
      <c r="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G$77)-1),INDEX(Cum_OpEx,1,Assumptions!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G$77)-1),INDEX(Cum_OpEx,1,Assumptions!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G$77)-1),INDEX(Cum_OpEx,1,Assumptions!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G$77)-1),INDEX(Cum_OpEx,1,Assumptions!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G$77)-1),INDEX(Cum_OpEx,1,Assumptions!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G$77)-1),INDEX(Cum_OpEx,1,Assumptions!G$77)))*Assumptions!G$74</f>
        <v/>
      </c>
      <c r="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H$77)-1),INDEX(Cum_OpEx,1,Assumptions!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H$77)-1),INDEX(Cum_OpEx,1,Assumptions!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H$77)-1),INDEX(Cum_OpEx,1,Assumptions!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H$77)-1),INDEX(Cum_OpEx,1,Assumptions!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H$77)-1),INDEX(Cum_OpEx,1,Assumptions!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H$77)-1),INDEX(Cum_OpEx,1,Assumptions!H$77)))*Assumptions!H$74</f>
        <v/>
      </c>
      <c r="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I$77)-1),INDEX(Cum_OpEx,1,Assumptions!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I$77)-1),INDEX(Cum_OpEx,1,Assumptions!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I$77)-1),INDEX(Cum_OpEx,1,Assumptions!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I$77)-1),INDEX(Cum_OpEx,1,Assumptions!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I$77)-1),INDEX(Cum_OpEx,1,Assumptions!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I$77)-1),INDEX(Cum_OpEx,1,Assumptions!I$77)))*Assumptions!I$74</f>
        <v/>
      </c>
      <c r="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J$77)-1),INDEX(Cum_OpEx,1,Assumptions!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J$77)-1),INDEX(Cum_OpEx,1,Assumptions!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J$77)-1),INDEX(Cum_OpEx,1,Assumptions!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J$77)-1),INDEX(Cum_OpEx,1,Assumptions!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J$77)-1),INDEX(Cum_OpEx,1,Assumptions!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J$77)-1),INDEX(Cum_OpEx,1,Assumptions!J$77)))*Assumptions!J$74</f>
        <v/>
      </c>
      <c r="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K$77)-1),INDEX(Cum_OpEx,1,Assumptions!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K$77)-1),INDEX(Cum_OpEx,1,Assumptions!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K$77)-1),INDEX(Cum_OpEx,1,Assumptions!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K$77)-1),INDEX(Cum_OpEx,1,Assumptions!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K$77)-1),INDEX(Cum_OpEx,1,Assumptions!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K$77)-1),INDEX(Cum_OpEx,1,Assumptions!K$77)))*Assumptions!K$74</f>
        <v/>
      </c>
      <c r="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L$77)-1),INDEX(Cum_OpEx,1,Assumptions!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L$77)-1),INDEX(Cum_OpEx,1,Assumptions!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L$77)-1),INDEX(Cum_OpEx,1,Assumptions!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L$77)-1),INDEX(Cum_OpEx,1,Assumptions!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L$77)-1),INDEX(Cum_OpEx,1,Assumptions!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L$77)-1),INDEX(Cum_OpEx,1,Assumptions!L$77)))*Assumptions!L$74</f>
        <v/>
      </c>
      <c r="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M$77)-1),INDEX(Cum_OpEx,1,Assumptions!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M$77)-1),INDEX(Cum_OpEx,1,Assumptions!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M$77)-1),INDEX(Cum_OpEx,1,Assumptions!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M$77)-1),INDEX(Cum_OpEx,1,Assumptions!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M$77)-1),INDEX(Cum_OpEx,1,Assumptions!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M$77)-1),INDEX(Cum_OpEx,1,Assumptions!M$77)))*Assumptions!M$74</f>
        <v/>
      </c>
      <c r="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N$77)-1),INDEX(Cum_OpEx,1,Assumptions!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N$77)-1),INDEX(Cum_OpEx,1,Assumptions!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N$77)-1),INDEX(Cum_OpEx,1,Assumptions!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N$77)-1),INDEX(Cum_OpEx,1,Assumptions!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N$77)-1),INDEX(Cum_OpEx,1,Assumptions!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N$77)-1),INDEX(Cum_OpEx,1,Assumptions!N$77)))*Assumptions!N$74</f>
        <v/>
      </c>
      <c r="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O$77)-1),INDEX(Cum_OpEx,1,Assumptions!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O$77)-1),INDEX(Cum_OpEx,1,Assumptions!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O$77)-1),INDEX(Cum_OpEx,1,Assumptions!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O$77)-1),INDEX(Cum_OpEx,1,Assumptions!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O$77)-1),INDEX(Cum_OpEx,1,Assumptions!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O$77)-1),INDEX(Cum_OpEx,1,Assumptions!O$77)))*Assumptions!O$74</f>
        <v/>
      </c>
      <c r="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P$77)-1),INDEX(Cum_OpEx,1,Assumptions!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P$77)-1),INDEX(Cum_OpEx,1,Assumptions!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P$77)-1),INDEX(Cum_OpEx,1,Assumptions!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P$77)-1),INDEX(Cum_OpEx,1,Assumptions!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P$77)-1),INDEX(Cum_OpEx,1,Assumptions!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P$77)-1),INDEX(Cum_OpEx,1,Assumptions!P$77)))*Assumptions!P$74</f>
        <v/>
      </c>
      <c r="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Q$77)-1),INDEX(Cum_OpEx,1,Assumptions!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Q$77)-1),INDEX(Cum_OpEx,1,Assumptions!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Q$77)-1),INDEX(Cum_OpEx,1,Assumptions!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Q$77)-1),INDEX(Cum_OpEx,1,Assumptions!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Q$77)-1),INDEX(Cum_OpEx,1,Assumptions!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Q$77)-1),INDEX(Cum_OpEx,1,Assumptions!Q$77)))*Assumptions!Q$74</f>
        <v/>
      </c>
      <c r="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R$77)-1),INDEX(Cum_OpEx,1,Assumptions!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R$77)-1),INDEX(Cum_OpEx,1,Assumptions!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R$77)-1),INDEX(Cum_OpEx,1,Assumptions!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R$77)-1),INDEX(Cum_OpEx,1,Assumptions!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R$77)-1),INDEX(Cum_OpEx,1,Assumptions!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R$77)-1),INDEX(Cum_OpEx,1,Assumptions!R$77)))*Assumptions!R$74</f>
        <v/>
      </c>
      <c r="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S$77)-1),INDEX(Cum_OpEx,1,Assumptions!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S$77)-1),INDEX(Cum_OpEx,1,Assumptions!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S$77)-1),INDEX(Cum_OpEx,1,Assumptions!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S$77)-1),INDEX(Cum_OpEx,1,Assumptions!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S$77)-1),INDEX(Cum_OpEx,1,Assumptions!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S$77)-1),INDEX(Cum_OpEx,1,Assumptions!S$77)))*Assumptions!S$74</f>
        <v/>
      </c>
      <c r="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T$77)-1),INDEX(Cum_OpEx,1,Assumptions!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T$77)-1),INDEX(Cum_OpEx,1,Assumptions!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T$77)-1),INDEX(Cum_OpEx,1,Assumptions!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T$77)-1),INDEX(Cum_OpEx,1,Assumptions!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T$77)-1),INDEX(Cum_OpEx,1,Assumptions!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T$77)-1),INDEX(Cum_OpEx,1,Assumptions!T$77)))*Assumptions!T$74</f>
        <v/>
      </c>
      <c r="U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U$77)-1),INDEX(Cum_OpEx,1,Assumptions!U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U$77)-1),INDEX(Cum_OpEx,1,Assumptions!U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U$77)-1),INDEX(Cum_OpEx,1,Assumptions!U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U$77)-1),INDEX(Cum_OpEx,1,Assumptions!U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U$77)-1),INDEX(Cum_OpEx,1,Assumptions!U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U$77)-1),INDEX(Cum_OpEx,1,Assumptions!U$77)))*Assumptions!U$74</f>
        <v/>
      </c>
      <c r="V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V$77)-1),INDEX(Cum_OpEx,1,Assumptions!V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V$77)-1),INDEX(Cum_OpEx,1,Assumptions!V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V$77)-1),INDEX(Cum_OpEx,1,Assumptions!V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V$77)-1),INDEX(Cum_OpEx,1,Assumptions!V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V$77)-1),INDEX(Cum_OpEx,1,Assumptions!V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V$77)-1),INDEX(Cum_OpEx,1,Assumptions!V$77)))*Assumptions!V$74</f>
        <v/>
      </c>
      <c r="W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W$77)-1),INDEX(Cum_OpEx,1,Assumptions!W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W$77)-1),INDEX(Cum_OpEx,1,Assumptions!W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W$77)-1),INDEX(Cum_OpEx,1,Assumptions!W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W$77)-1),INDEX(Cum_OpEx,1,Assumptions!W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W$77)-1),INDEX(Cum_OpEx,1,Assumptions!W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W$77)-1),INDEX(Cum_OpEx,1,Assumptions!W$77)))*Assumptions!W$74</f>
        <v/>
      </c>
      <c r="X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X$77)-1),INDEX(Cum_OpEx,1,Assumptions!X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X$77)-1),INDEX(Cum_OpEx,1,Assumptions!X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X$77)-1),INDEX(Cum_OpEx,1,Assumptions!X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X$77)-1),INDEX(Cum_OpEx,1,Assumptions!X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X$77)-1),INDEX(Cum_OpEx,1,Assumptions!X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X$77)-1),INDEX(Cum_OpEx,1,Assumptions!X$77)))*Assumptions!X$74</f>
        <v/>
      </c>
      <c r="Y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Y$77)-1),INDEX(Cum_OpEx,1,Assumptions!Y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Y$77)-1),INDEX(Cum_OpEx,1,Assumptions!Y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Y$77)-1),INDEX(Cum_OpEx,1,Assumptions!Y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Y$77)-1),INDEX(Cum_OpEx,1,Assumptions!Y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Y$77)-1),INDEX(Cum_OpEx,1,Assumptions!Y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Y$77)-1),INDEX(Cum_OpEx,1,Assumptions!Y$77)))*Assumptions!Y$74</f>
        <v/>
      </c>
      <c r="Z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Z$77)-1),INDEX(Cum_OpEx,1,Assumptions!Z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Z$77)-1),INDEX(Cum_OpEx,1,Assumptions!Z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Z$77)-1),INDEX(Cum_OpEx,1,Assumptions!Z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Z$77)-1),INDEX(Cum_OpEx,1,Assumptions!Z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Z$77)-1),INDEX(Cum_OpEx,1,Assumptions!Z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Z$77)-1),INDEX(Cum_OpEx,1,Assumptions!Z$77)))*Assumptions!Z$74</f>
        <v/>
      </c>
      <c r="AA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A$77)-1),INDEX(Cum_OpEx,1,Assumptions!AA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A$77)-1),INDEX(Cum_OpEx,1,Assumptions!AA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A$77)-1),INDEX(Cum_OpEx,1,Assumptions!AA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A$77)-1),INDEX(Cum_OpEx,1,Assumptions!AA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A$77)-1),INDEX(Cum_OpEx,1,Assumptions!AA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A$77)-1),INDEX(Cum_OpEx,1,Assumptions!AA$77)))*Assumptions!AA$74</f>
        <v/>
      </c>
      <c r="AB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B$77)-1),INDEX(Cum_OpEx,1,Assumptions!AB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B$77)-1),INDEX(Cum_OpEx,1,Assumptions!AB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B$77)-1),INDEX(Cum_OpEx,1,Assumptions!AB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B$77)-1),INDEX(Cum_OpEx,1,Assumptions!AB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B$77)-1),INDEX(Cum_OpEx,1,Assumptions!AB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B$77)-1),INDEX(Cum_OpEx,1,Assumptions!AB$77)))*Assumptions!AB$74</f>
        <v/>
      </c>
      <c r="AC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C$77)-1),INDEX(Cum_OpEx,1,Assumptions!AC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C$77)-1),INDEX(Cum_OpEx,1,Assumptions!AC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C$77)-1),INDEX(Cum_OpEx,1,Assumptions!AC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C$77)-1),INDEX(Cum_OpEx,1,Assumptions!AC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C$77)-1),INDEX(Cum_OpEx,1,Assumptions!AC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C$77)-1),INDEX(Cum_OpEx,1,Assumptions!AC$77)))*Assumptions!AC$74</f>
        <v/>
      </c>
      <c r="AD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D$77)-1),INDEX(Cum_OpEx,1,Assumptions!AD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D$77)-1),INDEX(Cum_OpEx,1,Assumptions!AD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D$77)-1),INDEX(Cum_OpEx,1,Assumptions!AD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D$77)-1),INDEX(Cum_OpEx,1,Assumptions!AD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D$77)-1),INDEX(Cum_OpEx,1,Assumptions!AD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D$77)-1),INDEX(Cum_OpEx,1,Assumptions!AD$77)))*Assumptions!AD$74</f>
        <v/>
      </c>
      <c r="A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E$77)-1),INDEX(Cum_OpEx,1,Assumptions!A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E$77)-1),INDEX(Cum_OpEx,1,Assumptions!A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E$77)-1),INDEX(Cum_OpEx,1,Assumptions!A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E$77)-1),INDEX(Cum_OpEx,1,Assumptions!A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E$77)-1),INDEX(Cum_OpEx,1,Assumptions!A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E$77)-1),INDEX(Cum_OpEx,1,Assumptions!AE$77)))*Assumptions!AE$74</f>
        <v/>
      </c>
      <c r="A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F$77)-1),INDEX(Cum_OpEx,1,Assumptions!A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F$77)-1),INDEX(Cum_OpEx,1,Assumptions!A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F$77)-1),INDEX(Cum_OpEx,1,Assumptions!A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F$77)-1),INDEX(Cum_OpEx,1,Assumptions!A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F$77)-1),INDEX(Cum_OpEx,1,Assumptions!A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F$77)-1),INDEX(Cum_OpEx,1,Assumptions!AF$77)))*Assumptions!AF$74</f>
        <v/>
      </c>
      <c r="A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G$77)-1),INDEX(Cum_OpEx,1,Assumptions!A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G$77)-1),INDEX(Cum_OpEx,1,Assumptions!A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G$77)-1),INDEX(Cum_OpEx,1,Assumptions!A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G$77)-1),INDEX(Cum_OpEx,1,Assumptions!A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G$77)-1),INDEX(Cum_OpEx,1,Assumptions!A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G$77)-1),INDEX(Cum_OpEx,1,Assumptions!AG$77)))*Assumptions!AG$74</f>
        <v/>
      </c>
      <c r="A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H$77)-1),INDEX(Cum_OpEx,1,Assumptions!A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H$77)-1),INDEX(Cum_OpEx,1,Assumptions!A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H$77)-1),INDEX(Cum_OpEx,1,Assumptions!A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H$77)-1),INDEX(Cum_OpEx,1,Assumptions!A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H$77)-1),INDEX(Cum_OpEx,1,Assumptions!A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H$77)-1),INDEX(Cum_OpEx,1,Assumptions!AH$77)))*Assumptions!AH$74</f>
        <v/>
      </c>
      <c r="A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I$77)-1),INDEX(Cum_OpEx,1,Assumptions!A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I$77)-1),INDEX(Cum_OpEx,1,Assumptions!A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I$77)-1),INDEX(Cum_OpEx,1,Assumptions!A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I$77)-1),INDEX(Cum_OpEx,1,Assumptions!A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I$77)-1),INDEX(Cum_OpEx,1,Assumptions!A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I$77)-1),INDEX(Cum_OpEx,1,Assumptions!AI$77)))*Assumptions!AI$74</f>
        <v/>
      </c>
      <c r="A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J$77)-1),INDEX(Cum_OpEx,1,Assumptions!A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J$77)-1),INDEX(Cum_OpEx,1,Assumptions!A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J$77)-1),INDEX(Cum_OpEx,1,Assumptions!A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J$77)-1),INDEX(Cum_OpEx,1,Assumptions!A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J$77)-1),INDEX(Cum_OpEx,1,Assumptions!A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J$77)-1),INDEX(Cum_OpEx,1,Assumptions!AJ$77)))*Assumptions!AJ$74</f>
        <v/>
      </c>
      <c r="A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K$77)-1),INDEX(Cum_OpEx,1,Assumptions!A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K$77)-1),INDEX(Cum_OpEx,1,Assumptions!A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K$77)-1),INDEX(Cum_OpEx,1,Assumptions!A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K$77)-1),INDEX(Cum_OpEx,1,Assumptions!A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K$77)-1),INDEX(Cum_OpEx,1,Assumptions!A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K$77)-1),INDEX(Cum_OpEx,1,Assumptions!AK$77)))*Assumptions!AK$74</f>
        <v/>
      </c>
      <c r="A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L$77)-1),INDEX(Cum_OpEx,1,Assumptions!A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L$77)-1),INDEX(Cum_OpEx,1,Assumptions!A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L$77)-1),INDEX(Cum_OpEx,1,Assumptions!A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L$77)-1),INDEX(Cum_OpEx,1,Assumptions!A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L$77)-1),INDEX(Cum_OpEx,1,Assumptions!A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L$77)-1),INDEX(Cum_OpEx,1,Assumptions!AL$77)))*Assumptions!AL$74</f>
        <v/>
      </c>
      <c r="A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M$77)-1),INDEX(Cum_OpEx,1,Assumptions!A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M$77)-1),INDEX(Cum_OpEx,1,Assumptions!A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M$77)-1),INDEX(Cum_OpEx,1,Assumptions!A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M$77)-1),INDEX(Cum_OpEx,1,Assumptions!A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M$77)-1),INDEX(Cum_OpEx,1,Assumptions!A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M$77)-1),INDEX(Cum_OpEx,1,Assumptions!AM$77)))*Assumptions!AM$74</f>
        <v/>
      </c>
      <c r="A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N$77)-1),INDEX(Cum_OpEx,1,Assumptions!A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N$77)-1),INDEX(Cum_OpEx,1,Assumptions!A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N$77)-1),INDEX(Cum_OpEx,1,Assumptions!A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N$77)-1),INDEX(Cum_OpEx,1,Assumptions!A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N$77)-1),INDEX(Cum_OpEx,1,Assumptions!A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N$77)-1),INDEX(Cum_OpEx,1,Assumptions!AN$77)))*Assumptions!AN$74</f>
        <v/>
      </c>
      <c r="A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O$77)-1),INDEX(Cum_OpEx,1,Assumptions!A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O$77)-1),INDEX(Cum_OpEx,1,Assumptions!A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O$77)-1),INDEX(Cum_OpEx,1,Assumptions!A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O$77)-1),INDEX(Cum_OpEx,1,Assumptions!A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O$77)-1),INDEX(Cum_OpEx,1,Assumptions!A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O$77)-1),INDEX(Cum_OpEx,1,Assumptions!AO$77)))*Assumptions!AO$74</f>
        <v/>
      </c>
      <c r="A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P$77)-1),INDEX(Cum_OpEx,1,Assumptions!A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P$77)-1),INDEX(Cum_OpEx,1,Assumptions!A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P$77)-1),INDEX(Cum_OpEx,1,Assumptions!A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P$77)-1),INDEX(Cum_OpEx,1,Assumptions!A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P$77)-1),INDEX(Cum_OpEx,1,Assumptions!A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P$77)-1),INDEX(Cum_OpEx,1,Assumptions!AP$77)))*Assumptions!AP$74</f>
        <v/>
      </c>
      <c r="A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Q$77)-1),INDEX(Cum_OpEx,1,Assumptions!A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Q$77)-1),INDEX(Cum_OpEx,1,Assumptions!A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Q$77)-1),INDEX(Cum_OpEx,1,Assumptions!A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Q$77)-1),INDEX(Cum_OpEx,1,Assumptions!A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Q$77)-1),INDEX(Cum_OpEx,1,Assumptions!A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Q$77)-1),INDEX(Cum_OpEx,1,Assumptions!AQ$77)))*Assumptions!AQ$74</f>
        <v/>
      </c>
      <c r="A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R$77)-1),INDEX(Cum_OpEx,1,Assumptions!A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R$77)-1),INDEX(Cum_OpEx,1,Assumptions!A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R$77)-1),INDEX(Cum_OpEx,1,Assumptions!A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R$77)-1),INDEX(Cum_OpEx,1,Assumptions!A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R$77)-1),INDEX(Cum_OpEx,1,Assumptions!A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R$77)-1),INDEX(Cum_OpEx,1,Assumptions!AR$77)))*Assumptions!AR$74</f>
        <v/>
      </c>
      <c r="A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S$77)-1),INDEX(Cum_OpEx,1,Assumptions!A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S$77)-1),INDEX(Cum_OpEx,1,Assumptions!A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S$77)-1),INDEX(Cum_OpEx,1,Assumptions!A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S$77)-1),INDEX(Cum_OpEx,1,Assumptions!A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S$77)-1),INDEX(Cum_OpEx,1,Assumptions!A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S$77)-1),INDEX(Cum_OpEx,1,Assumptions!AS$77)))*Assumptions!AS$74</f>
        <v/>
      </c>
      <c r="A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T$77)-1),INDEX(Cum_OpEx,1,Assumptions!A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T$77)-1),INDEX(Cum_OpEx,1,Assumptions!A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T$77)-1),INDEX(Cum_OpEx,1,Assumptions!A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T$77)-1),INDEX(Cum_OpEx,1,Assumptions!A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T$77)-1),INDEX(Cum_OpEx,1,Assumptions!A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T$77)-1),INDEX(Cum_OpEx,1,Assumptions!AT$77)))*Assumptions!AT$74</f>
        <v/>
      </c>
      <c r="AU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U$77)-1),INDEX(Cum_OpEx,1,Assumptions!AU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U$77)-1),INDEX(Cum_OpEx,1,Assumptions!AU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U$77)-1),INDEX(Cum_OpEx,1,Assumptions!AU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U$77)-1),INDEX(Cum_OpEx,1,Assumptions!AU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U$77)-1),INDEX(Cum_OpEx,1,Assumptions!AU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U$77)-1),INDEX(Cum_OpEx,1,Assumptions!AU$77)))*Assumptions!AU$74</f>
        <v/>
      </c>
      <c r="AV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V$77)-1),INDEX(Cum_OpEx,1,Assumptions!AV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V$77)-1),INDEX(Cum_OpEx,1,Assumptions!AV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V$77)-1),INDEX(Cum_OpEx,1,Assumptions!AV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V$77)-1),INDEX(Cum_OpEx,1,Assumptions!AV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V$77)-1),INDEX(Cum_OpEx,1,Assumptions!AV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V$77)-1),INDEX(Cum_OpEx,1,Assumptions!AV$77)))*Assumptions!AV$74</f>
        <v/>
      </c>
      <c r="AW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W$77)-1),INDEX(Cum_OpEx,1,Assumptions!AW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W$77)-1),INDEX(Cum_OpEx,1,Assumptions!AW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W$77)-1),INDEX(Cum_OpEx,1,Assumptions!AW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W$77)-1),INDEX(Cum_OpEx,1,Assumptions!AW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W$77)-1),INDEX(Cum_OpEx,1,Assumptions!AW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W$77)-1),INDEX(Cum_OpEx,1,Assumptions!AW$77)))*Assumptions!AW$74</f>
        <v/>
      </c>
      <c r="AX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X$77)-1),INDEX(Cum_OpEx,1,Assumptions!AX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X$77)-1),INDEX(Cum_OpEx,1,Assumptions!AX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X$77)-1),INDEX(Cum_OpEx,1,Assumptions!AX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X$77)-1),INDEX(Cum_OpEx,1,Assumptions!AX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X$77)-1),INDEX(Cum_OpEx,1,Assumptions!AX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X$77)-1),INDEX(Cum_OpEx,1,Assumptions!AX$77)))*Assumptions!AX$74</f>
        <v/>
      </c>
      <c r="AY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Y$77)-1),INDEX(Cum_OpEx,1,Assumptions!AY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Y$77)-1),INDEX(Cum_OpEx,1,Assumptions!AY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Y$77)-1),INDEX(Cum_OpEx,1,Assumptions!AY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Y$77)-1),INDEX(Cum_OpEx,1,Assumptions!AY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Y$77)-1),INDEX(Cum_OpEx,1,Assumptions!AY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Y$77)-1),INDEX(Cum_OpEx,1,Assumptions!AY$77)))*Assumptions!AY$74</f>
        <v/>
      </c>
      <c r="AZ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AZ$77)-1),INDEX(Cum_OpEx,1,Assumptions!AZ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AZ$77)-1),INDEX(Cum_OpEx,1,Assumptions!AZ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AZ$77)-1),INDEX(Cum_OpEx,1,Assumptions!AZ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AZ$77)-1),INDEX(Cum_OpEx,1,Assumptions!AZ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AZ$77)-1),INDEX(Cum_OpEx,1,Assumptions!AZ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AZ$77)-1),INDEX(Cum_OpEx,1,Assumptions!AZ$77)))*Assumptions!AZ$74</f>
        <v/>
      </c>
      <c r="BA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A$77)-1),INDEX(Cum_OpEx,1,Assumptions!BA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A$77)-1),INDEX(Cum_OpEx,1,Assumptions!BA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A$77)-1),INDEX(Cum_OpEx,1,Assumptions!BA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A$77)-1),INDEX(Cum_OpEx,1,Assumptions!BA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A$77)-1),INDEX(Cum_OpEx,1,Assumptions!BA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A$77)-1),INDEX(Cum_OpEx,1,Assumptions!BA$77)))*Assumptions!BA$74</f>
        <v/>
      </c>
      <c r="BB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B$77)-1),INDEX(Cum_OpEx,1,Assumptions!BB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B$77)-1),INDEX(Cum_OpEx,1,Assumptions!BB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B$77)-1),INDEX(Cum_OpEx,1,Assumptions!BB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B$77)-1),INDEX(Cum_OpEx,1,Assumptions!BB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B$77)-1),INDEX(Cum_OpEx,1,Assumptions!BB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B$77)-1),INDEX(Cum_OpEx,1,Assumptions!BB$77)))*Assumptions!BB$74</f>
        <v/>
      </c>
      <c r="BC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C$77)-1),INDEX(Cum_OpEx,1,Assumptions!BC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C$77)-1),INDEX(Cum_OpEx,1,Assumptions!BC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C$77)-1),INDEX(Cum_OpEx,1,Assumptions!BC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C$77)-1),INDEX(Cum_OpEx,1,Assumptions!BC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C$77)-1),INDEX(Cum_OpEx,1,Assumptions!BC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C$77)-1),INDEX(Cum_OpEx,1,Assumptions!BC$77)))*Assumptions!BC$74</f>
        <v/>
      </c>
      <c r="BD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D$77)-1),INDEX(Cum_OpEx,1,Assumptions!BD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D$77)-1),INDEX(Cum_OpEx,1,Assumptions!BD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D$77)-1),INDEX(Cum_OpEx,1,Assumptions!BD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D$77)-1),INDEX(Cum_OpEx,1,Assumptions!BD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D$77)-1),INDEX(Cum_OpEx,1,Assumptions!BD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D$77)-1),INDEX(Cum_OpEx,1,Assumptions!BD$77)))*Assumptions!BD$74</f>
        <v/>
      </c>
      <c r="B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E$77)-1),INDEX(Cum_OpEx,1,Assumptions!B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E$77)-1),INDEX(Cum_OpEx,1,Assumptions!B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E$77)-1),INDEX(Cum_OpEx,1,Assumptions!B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E$77)-1),INDEX(Cum_OpEx,1,Assumptions!B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E$77)-1),INDEX(Cum_OpEx,1,Assumptions!B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E$77)-1),INDEX(Cum_OpEx,1,Assumptions!BE$77)))*Assumptions!BE$74</f>
        <v/>
      </c>
      <c r="B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F$77)-1),INDEX(Cum_OpEx,1,Assumptions!B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F$77)-1),INDEX(Cum_OpEx,1,Assumptions!B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F$77)-1),INDEX(Cum_OpEx,1,Assumptions!B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F$77)-1),INDEX(Cum_OpEx,1,Assumptions!B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F$77)-1),INDEX(Cum_OpEx,1,Assumptions!B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F$77)-1),INDEX(Cum_OpEx,1,Assumptions!BF$77)))*Assumptions!BF$74</f>
        <v/>
      </c>
      <c r="B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G$77)-1),INDEX(Cum_OpEx,1,Assumptions!B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G$77)-1),INDEX(Cum_OpEx,1,Assumptions!B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G$77)-1),INDEX(Cum_OpEx,1,Assumptions!B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G$77)-1),INDEX(Cum_OpEx,1,Assumptions!B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G$77)-1),INDEX(Cum_OpEx,1,Assumptions!B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G$77)-1),INDEX(Cum_OpEx,1,Assumptions!BG$77)))*Assumptions!BG$74</f>
        <v/>
      </c>
      <c r="B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H$77)-1),INDEX(Cum_OpEx,1,Assumptions!B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H$77)-1),INDEX(Cum_OpEx,1,Assumptions!B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H$77)-1),INDEX(Cum_OpEx,1,Assumptions!B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H$77)-1),INDEX(Cum_OpEx,1,Assumptions!B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H$77)-1),INDEX(Cum_OpEx,1,Assumptions!B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H$77)-1),INDEX(Cum_OpEx,1,Assumptions!BH$77)))*Assumptions!BH$74</f>
        <v/>
      </c>
      <c r="B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I$77)-1),INDEX(Cum_OpEx,1,Assumptions!B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I$77)-1),INDEX(Cum_OpEx,1,Assumptions!B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I$77)-1),INDEX(Cum_OpEx,1,Assumptions!B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I$77)-1),INDEX(Cum_OpEx,1,Assumptions!B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I$77)-1),INDEX(Cum_OpEx,1,Assumptions!B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I$77)-1),INDEX(Cum_OpEx,1,Assumptions!BI$77)))*Assumptions!BI$74</f>
        <v/>
      </c>
      <c r="B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J$77)-1),INDEX(Cum_OpEx,1,Assumptions!B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J$77)-1),INDEX(Cum_OpEx,1,Assumptions!B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J$77)-1),INDEX(Cum_OpEx,1,Assumptions!B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J$77)-1),INDEX(Cum_OpEx,1,Assumptions!B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J$77)-1),INDEX(Cum_OpEx,1,Assumptions!B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J$77)-1),INDEX(Cum_OpEx,1,Assumptions!BJ$77)))*Assumptions!BJ$74</f>
        <v/>
      </c>
      <c r="B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K$77)-1),INDEX(Cum_OpEx,1,Assumptions!B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K$77)-1),INDEX(Cum_OpEx,1,Assumptions!B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K$77)-1),INDEX(Cum_OpEx,1,Assumptions!B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K$77)-1),INDEX(Cum_OpEx,1,Assumptions!B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K$77)-1),INDEX(Cum_OpEx,1,Assumptions!B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K$77)-1),INDEX(Cum_OpEx,1,Assumptions!BK$77)))*Assumptions!BK$74</f>
        <v/>
      </c>
      <c r="B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L$77)-1),INDEX(Cum_OpEx,1,Assumptions!B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L$77)-1),INDEX(Cum_OpEx,1,Assumptions!B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L$77)-1),INDEX(Cum_OpEx,1,Assumptions!B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L$77)-1),INDEX(Cum_OpEx,1,Assumptions!B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L$77)-1),INDEX(Cum_OpEx,1,Assumptions!B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L$77)-1),INDEX(Cum_OpEx,1,Assumptions!BL$77)))*Assumptions!BL$74</f>
        <v/>
      </c>
      <c r="B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M$77)-1),INDEX(Cum_OpEx,1,Assumptions!B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M$77)-1),INDEX(Cum_OpEx,1,Assumptions!B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M$77)-1),INDEX(Cum_OpEx,1,Assumptions!B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M$77)-1),INDEX(Cum_OpEx,1,Assumptions!B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M$77)-1),INDEX(Cum_OpEx,1,Assumptions!B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M$77)-1),INDEX(Cum_OpEx,1,Assumptions!BM$77)))*Assumptions!BM$74</f>
        <v/>
      </c>
      <c r="B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N$77)-1),INDEX(Cum_OpEx,1,Assumptions!B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N$77)-1),INDEX(Cum_OpEx,1,Assumptions!B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N$77)-1),INDEX(Cum_OpEx,1,Assumptions!B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N$77)-1),INDEX(Cum_OpEx,1,Assumptions!B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N$77)-1),INDEX(Cum_OpEx,1,Assumptions!B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N$77)-1),INDEX(Cum_OpEx,1,Assumptions!BN$77)))*Assumptions!BN$74</f>
        <v/>
      </c>
      <c r="B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O$77)-1),INDEX(Cum_OpEx,1,Assumptions!B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O$77)-1),INDEX(Cum_OpEx,1,Assumptions!B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O$77)-1),INDEX(Cum_OpEx,1,Assumptions!B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O$77)-1),INDEX(Cum_OpEx,1,Assumptions!B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O$77)-1),INDEX(Cum_OpEx,1,Assumptions!B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O$77)-1),INDEX(Cum_OpEx,1,Assumptions!BO$77)))*Assumptions!BO$74</f>
        <v/>
      </c>
      <c r="B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P$77)-1),INDEX(Cum_OpEx,1,Assumptions!B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P$77)-1),INDEX(Cum_OpEx,1,Assumptions!B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P$77)-1),INDEX(Cum_OpEx,1,Assumptions!B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P$77)-1),INDEX(Cum_OpEx,1,Assumptions!B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P$77)-1),INDEX(Cum_OpEx,1,Assumptions!B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P$77)-1),INDEX(Cum_OpEx,1,Assumptions!BP$77)))*Assumptions!BP$74</f>
        <v/>
      </c>
      <c r="B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Q$77)-1),INDEX(Cum_OpEx,1,Assumptions!B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Q$77)-1),INDEX(Cum_OpEx,1,Assumptions!B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Q$77)-1),INDEX(Cum_OpEx,1,Assumptions!B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Q$77)-1),INDEX(Cum_OpEx,1,Assumptions!B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Q$77)-1),INDEX(Cum_OpEx,1,Assumptions!B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Q$77)-1),INDEX(Cum_OpEx,1,Assumptions!BQ$77)))*Assumptions!BQ$74</f>
        <v/>
      </c>
      <c r="B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R$77)-1),INDEX(Cum_OpEx,1,Assumptions!B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R$77)-1),INDEX(Cum_OpEx,1,Assumptions!B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R$77)-1),INDEX(Cum_OpEx,1,Assumptions!B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R$77)-1),INDEX(Cum_OpEx,1,Assumptions!B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R$77)-1),INDEX(Cum_OpEx,1,Assumptions!B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R$77)-1),INDEX(Cum_OpEx,1,Assumptions!BR$77)))*Assumptions!BR$74</f>
        <v/>
      </c>
      <c r="B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S$77)-1),INDEX(Cum_OpEx,1,Assumptions!B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S$77)-1),INDEX(Cum_OpEx,1,Assumptions!B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S$77)-1),INDEX(Cum_OpEx,1,Assumptions!B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S$77)-1),INDEX(Cum_OpEx,1,Assumptions!B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S$77)-1),INDEX(Cum_OpEx,1,Assumptions!B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S$77)-1),INDEX(Cum_OpEx,1,Assumptions!BS$77)))*Assumptions!BS$74</f>
        <v/>
      </c>
      <c r="B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T$77)-1),INDEX(Cum_OpEx,1,Assumptions!B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T$77)-1),INDEX(Cum_OpEx,1,Assumptions!B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T$77)-1),INDEX(Cum_OpEx,1,Assumptions!B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T$77)-1),INDEX(Cum_OpEx,1,Assumptions!B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T$77)-1),INDEX(Cum_OpEx,1,Assumptions!B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T$77)-1),INDEX(Cum_OpEx,1,Assumptions!BT$77)))*Assumptions!BT$74</f>
        <v/>
      </c>
      <c r="BU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U$77)-1),INDEX(Cum_OpEx,1,Assumptions!BU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U$77)-1),INDEX(Cum_OpEx,1,Assumptions!BU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U$77)-1),INDEX(Cum_OpEx,1,Assumptions!BU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U$77)-1),INDEX(Cum_OpEx,1,Assumptions!BU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U$77)-1),INDEX(Cum_OpEx,1,Assumptions!BU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U$77)-1),INDEX(Cum_OpEx,1,Assumptions!BU$77)))*Assumptions!BU$74</f>
        <v/>
      </c>
      <c r="BV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V$77)-1),INDEX(Cum_OpEx,1,Assumptions!BV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V$77)-1),INDEX(Cum_OpEx,1,Assumptions!BV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V$77)-1),INDEX(Cum_OpEx,1,Assumptions!BV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V$77)-1),INDEX(Cum_OpEx,1,Assumptions!BV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V$77)-1),INDEX(Cum_OpEx,1,Assumptions!BV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V$77)-1),INDEX(Cum_OpEx,1,Assumptions!BV$77)))*Assumptions!BV$74</f>
        <v/>
      </c>
      <c r="BW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W$77)-1),INDEX(Cum_OpEx,1,Assumptions!BW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W$77)-1),INDEX(Cum_OpEx,1,Assumptions!BW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W$77)-1),INDEX(Cum_OpEx,1,Assumptions!BW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W$77)-1),INDEX(Cum_OpEx,1,Assumptions!BW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W$77)-1),INDEX(Cum_OpEx,1,Assumptions!BW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W$77)-1),INDEX(Cum_OpEx,1,Assumptions!BW$77)))*Assumptions!BW$74</f>
        <v/>
      </c>
      <c r="BX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X$77)-1),INDEX(Cum_OpEx,1,Assumptions!BX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X$77)-1),INDEX(Cum_OpEx,1,Assumptions!BX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X$77)-1),INDEX(Cum_OpEx,1,Assumptions!BX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X$77)-1),INDEX(Cum_OpEx,1,Assumptions!BX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X$77)-1),INDEX(Cum_OpEx,1,Assumptions!BX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X$77)-1),INDEX(Cum_OpEx,1,Assumptions!BX$77)))*Assumptions!BX$74</f>
        <v/>
      </c>
      <c r="BY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Y$77)-1),INDEX(Cum_OpEx,1,Assumptions!BY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Y$77)-1),INDEX(Cum_OpEx,1,Assumptions!BY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Y$77)-1),INDEX(Cum_OpEx,1,Assumptions!BY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Y$77)-1),INDEX(Cum_OpEx,1,Assumptions!BY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Y$77)-1),INDEX(Cum_OpEx,1,Assumptions!BY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Y$77)-1),INDEX(Cum_OpEx,1,Assumptions!BY$77)))*Assumptions!BY$74</f>
        <v/>
      </c>
      <c r="BZ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BZ$77)-1),INDEX(Cum_OpEx,1,Assumptions!BZ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BZ$77)-1),INDEX(Cum_OpEx,1,Assumptions!BZ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BZ$77)-1),INDEX(Cum_OpEx,1,Assumptions!BZ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BZ$77)-1),INDEX(Cum_OpEx,1,Assumptions!BZ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BZ$77)-1),INDEX(Cum_OpEx,1,Assumptions!BZ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BZ$77)-1),INDEX(Cum_OpEx,1,Assumptions!BZ$77)))*Assumptions!BZ$74</f>
        <v/>
      </c>
      <c r="CA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A$77)-1),INDEX(Cum_OpEx,1,Assumptions!CA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A$77)-1),INDEX(Cum_OpEx,1,Assumptions!CA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A$77)-1),INDEX(Cum_OpEx,1,Assumptions!CA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A$77)-1),INDEX(Cum_OpEx,1,Assumptions!CA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A$77)-1),INDEX(Cum_OpEx,1,Assumptions!CA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A$77)-1),INDEX(Cum_OpEx,1,Assumptions!CA$77)))*Assumptions!CA$74</f>
        <v/>
      </c>
      <c r="CB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B$77)-1),INDEX(Cum_OpEx,1,Assumptions!CB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B$77)-1),INDEX(Cum_OpEx,1,Assumptions!CB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B$77)-1),INDEX(Cum_OpEx,1,Assumptions!CB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B$77)-1),INDEX(Cum_OpEx,1,Assumptions!CB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B$77)-1),INDEX(Cum_OpEx,1,Assumptions!CB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B$77)-1),INDEX(Cum_OpEx,1,Assumptions!CB$77)))*Assumptions!CB$74</f>
        <v/>
      </c>
      <c r="CC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C$77)-1),INDEX(Cum_OpEx,1,Assumptions!CC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C$77)-1),INDEX(Cum_OpEx,1,Assumptions!CC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C$77)-1),INDEX(Cum_OpEx,1,Assumptions!CC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C$77)-1),INDEX(Cum_OpEx,1,Assumptions!CC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C$77)-1),INDEX(Cum_OpEx,1,Assumptions!CC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C$77)-1),INDEX(Cum_OpEx,1,Assumptions!CC$77)))*Assumptions!CC$74</f>
        <v/>
      </c>
      <c r="CD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D$77)-1),INDEX(Cum_OpEx,1,Assumptions!CD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D$77)-1),INDEX(Cum_OpEx,1,Assumptions!CD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D$77)-1),INDEX(Cum_OpEx,1,Assumptions!CD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D$77)-1),INDEX(Cum_OpEx,1,Assumptions!CD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D$77)-1),INDEX(Cum_OpEx,1,Assumptions!CD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D$77)-1),INDEX(Cum_OpEx,1,Assumptions!CD$77)))*Assumptions!CD$74</f>
        <v/>
      </c>
      <c r="C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E$77)-1),INDEX(Cum_OpEx,1,Assumptions!C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E$77)-1),INDEX(Cum_OpEx,1,Assumptions!C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E$77)-1),INDEX(Cum_OpEx,1,Assumptions!C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E$77)-1),INDEX(Cum_OpEx,1,Assumptions!C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E$77)-1),INDEX(Cum_OpEx,1,Assumptions!C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E$77)-1),INDEX(Cum_OpEx,1,Assumptions!CE$77)))*Assumptions!CE$74</f>
        <v/>
      </c>
      <c r="C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F$77)-1),INDEX(Cum_OpEx,1,Assumptions!C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F$77)-1),INDEX(Cum_OpEx,1,Assumptions!C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F$77)-1),INDEX(Cum_OpEx,1,Assumptions!C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F$77)-1),INDEX(Cum_OpEx,1,Assumptions!C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F$77)-1),INDEX(Cum_OpEx,1,Assumptions!C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F$77)-1),INDEX(Cum_OpEx,1,Assumptions!CF$77)))*Assumptions!CF$74</f>
        <v/>
      </c>
      <c r="C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G$77)-1),INDEX(Cum_OpEx,1,Assumptions!C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G$77)-1),INDEX(Cum_OpEx,1,Assumptions!C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G$77)-1),INDEX(Cum_OpEx,1,Assumptions!C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G$77)-1),INDEX(Cum_OpEx,1,Assumptions!C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G$77)-1),INDEX(Cum_OpEx,1,Assumptions!C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G$77)-1),INDEX(Cum_OpEx,1,Assumptions!CG$77)))*Assumptions!CG$74</f>
        <v/>
      </c>
      <c r="C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H$77)-1),INDEX(Cum_OpEx,1,Assumptions!C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H$77)-1),INDEX(Cum_OpEx,1,Assumptions!C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H$77)-1),INDEX(Cum_OpEx,1,Assumptions!C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H$77)-1),INDEX(Cum_OpEx,1,Assumptions!C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H$77)-1),INDEX(Cum_OpEx,1,Assumptions!C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H$77)-1),INDEX(Cum_OpEx,1,Assumptions!CH$77)))*Assumptions!CH$74</f>
        <v/>
      </c>
      <c r="C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I$77)-1),INDEX(Cum_OpEx,1,Assumptions!C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I$77)-1),INDEX(Cum_OpEx,1,Assumptions!C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I$77)-1),INDEX(Cum_OpEx,1,Assumptions!C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I$77)-1),INDEX(Cum_OpEx,1,Assumptions!C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I$77)-1),INDEX(Cum_OpEx,1,Assumptions!C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I$77)-1),INDEX(Cum_OpEx,1,Assumptions!CI$77)))*Assumptions!CI$74</f>
        <v/>
      </c>
      <c r="C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J$77)-1),INDEX(Cum_OpEx,1,Assumptions!C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J$77)-1),INDEX(Cum_OpEx,1,Assumptions!C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J$77)-1),INDEX(Cum_OpEx,1,Assumptions!C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J$77)-1),INDEX(Cum_OpEx,1,Assumptions!C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J$77)-1),INDEX(Cum_OpEx,1,Assumptions!C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J$77)-1),INDEX(Cum_OpEx,1,Assumptions!CJ$77)))*Assumptions!CJ$74</f>
        <v/>
      </c>
      <c r="C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K$77)-1),INDEX(Cum_OpEx,1,Assumptions!C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K$77)-1),INDEX(Cum_OpEx,1,Assumptions!C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K$77)-1),INDEX(Cum_OpEx,1,Assumptions!C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K$77)-1),INDEX(Cum_OpEx,1,Assumptions!C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K$77)-1),INDEX(Cum_OpEx,1,Assumptions!C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K$77)-1),INDEX(Cum_OpEx,1,Assumptions!CK$77)))*Assumptions!CK$74</f>
        <v/>
      </c>
      <c r="C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L$77)-1),INDEX(Cum_OpEx,1,Assumptions!C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L$77)-1),INDEX(Cum_OpEx,1,Assumptions!C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L$77)-1),INDEX(Cum_OpEx,1,Assumptions!C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L$77)-1),INDEX(Cum_OpEx,1,Assumptions!C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L$77)-1),INDEX(Cum_OpEx,1,Assumptions!C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L$77)-1),INDEX(Cum_OpEx,1,Assumptions!CL$77)))*Assumptions!CL$74</f>
        <v/>
      </c>
      <c r="C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M$77)-1),INDEX(Cum_OpEx,1,Assumptions!C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M$77)-1),INDEX(Cum_OpEx,1,Assumptions!C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M$77)-1),INDEX(Cum_OpEx,1,Assumptions!C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M$77)-1),INDEX(Cum_OpEx,1,Assumptions!C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M$77)-1),INDEX(Cum_OpEx,1,Assumptions!C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M$77)-1),INDEX(Cum_OpEx,1,Assumptions!CM$77)))*Assumptions!CM$74</f>
        <v/>
      </c>
      <c r="C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N$77)-1),INDEX(Cum_OpEx,1,Assumptions!C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N$77)-1),INDEX(Cum_OpEx,1,Assumptions!C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N$77)-1),INDEX(Cum_OpEx,1,Assumptions!C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N$77)-1),INDEX(Cum_OpEx,1,Assumptions!C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N$77)-1),INDEX(Cum_OpEx,1,Assumptions!C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N$77)-1),INDEX(Cum_OpEx,1,Assumptions!CN$77)))*Assumptions!CN$74</f>
        <v/>
      </c>
      <c r="C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O$77)-1),INDEX(Cum_OpEx,1,Assumptions!C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O$77)-1),INDEX(Cum_OpEx,1,Assumptions!C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O$77)-1),INDEX(Cum_OpEx,1,Assumptions!C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O$77)-1),INDEX(Cum_OpEx,1,Assumptions!C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O$77)-1),INDEX(Cum_OpEx,1,Assumptions!C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O$77)-1),INDEX(Cum_OpEx,1,Assumptions!CO$77)))*Assumptions!CO$74</f>
        <v/>
      </c>
      <c r="C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P$77)-1),INDEX(Cum_OpEx,1,Assumptions!C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P$77)-1),INDEX(Cum_OpEx,1,Assumptions!C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P$77)-1),INDEX(Cum_OpEx,1,Assumptions!C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P$77)-1),INDEX(Cum_OpEx,1,Assumptions!C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P$77)-1),INDEX(Cum_OpEx,1,Assumptions!C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P$77)-1),INDEX(Cum_OpEx,1,Assumptions!CP$77)))*Assumptions!CP$74</f>
        <v/>
      </c>
      <c r="C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Q$77)-1),INDEX(Cum_OpEx,1,Assumptions!C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Q$77)-1),INDEX(Cum_OpEx,1,Assumptions!C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Q$77)-1),INDEX(Cum_OpEx,1,Assumptions!C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Q$77)-1),INDEX(Cum_OpEx,1,Assumptions!C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Q$77)-1),INDEX(Cum_OpEx,1,Assumptions!C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Q$77)-1),INDEX(Cum_OpEx,1,Assumptions!CQ$77)))*Assumptions!CQ$74</f>
        <v/>
      </c>
      <c r="C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R$77)-1),INDEX(Cum_OpEx,1,Assumptions!C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R$77)-1),INDEX(Cum_OpEx,1,Assumptions!C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R$77)-1),INDEX(Cum_OpEx,1,Assumptions!C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R$77)-1),INDEX(Cum_OpEx,1,Assumptions!C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R$77)-1),INDEX(Cum_OpEx,1,Assumptions!C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R$77)-1),INDEX(Cum_OpEx,1,Assumptions!CR$77)))*Assumptions!CR$74</f>
        <v/>
      </c>
      <c r="C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S$77)-1),INDEX(Cum_OpEx,1,Assumptions!C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S$77)-1),INDEX(Cum_OpEx,1,Assumptions!C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S$77)-1),INDEX(Cum_OpEx,1,Assumptions!C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S$77)-1),INDEX(Cum_OpEx,1,Assumptions!C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S$77)-1),INDEX(Cum_OpEx,1,Assumptions!C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S$77)-1),INDEX(Cum_OpEx,1,Assumptions!CS$77)))*Assumptions!CS$74</f>
        <v/>
      </c>
      <c r="C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T$77)-1),INDEX(Cum_OpEx,1,Assumptions!C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T$77)-1),INDEX(Cum_OpEx,1,Assumptions!C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T$77)-1),INDEX(Cum_OpEx,1,Assumptions!C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T$77)-1),INDEX(Cum_OpEx,1,Assumptions!C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T$77)-1),INDEX(Cum_OpEx,1,Assumptions!C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T$77)-1),INDEX(Cum_OpEx,1,Assumptions!CT$77)))*Assumptions!CT$74</f>
        <v/>
      </c>
      <c r="CU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U$77)-1),INDEX(Cum_OpEx,1,Assumptions!CU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U$77)-1),INDEX(Cum_OpEx,1,Assumptions!CU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U$77)-1),INDEX(Cum_OpEx,1,Assumptions!CU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U$77)-1),INDEX(Cum_OpEx,1,Assumptions!CU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U$77)-1),INDEX(Cum_OpEx,1,Assumptions!CU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U$77)-1),INDEX(Cum_OpEx,1,Assumptions!CU$77)))*Assumptions!CU$74</f>
        <v/>
      </c>
      <c r="CV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V$77)-1),INDEX(Cum_OpEx,1,Assumptions!CV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V$77)-1),INDEX(Cum_OpEx,1,Assumptions!CV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V$77)-1),INDEX(Cum_OpEx,1,Assumptions!CV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V$77)-1),INDEX(Cum_OpEx,1,Assumptions!CV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V$77)-1),INDEX(Cum_OpEx,1,Assumptions!CV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V$77)-1),INDEX(Cum_OpEx,1,Assumptions!CV$77)))*Assumptions!CV$74</f>
        <v/>
      </c>
      <c r="CW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W$77)-1),INDEX(Cum_OpEx,1,Assumptions!CW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W$77)-1),INDEX(Cum_OpEx,1,Assumptions!CW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W$77)-1),INDEX(Cum_OpEx,1,Assumptions!CW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W$77)-1),INDEX(Cum_OpEx,1,Assumptions!CW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W$77)-1),INDEX(Cum_OpEx,1,Assumptions!CW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W$77)-1),INDEX(Cum_OpEx,1,Assumptions!CW$77)))*Assumptions!CW$74</f>
        <v/>
      </c>
      <c r="CX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X$77)-1),INDEX(Cum_OpEx,1,Assumptions!CX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X$77)-1),INDEX(Cum_OpEx,1,Assumptions!CX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X$77)-1),INDEX(Cum_OpEx,1,Assumptions!CX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X$77)-1),INDEX(Cum_OpEx,1,Assumptions!CX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X$77)-1),INDEX(Cum_OpEx,1,Assumptions!CX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X$77)-1),INDEX(Cum_OpEx,1,Assumptions!CX$77)))*Assumptions!CX$74</f>
        <v/>
      </c>
      <c r="CY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Y$77)-1),INDEX(Cum_OpEx,1,Assumptions!CY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Y$77)-1),INDEX(Cum_OpEx,1,Assumptions!CY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Y$77)-1),INDEX(Cum_OpEx,1,Assumptions!CY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Y$77)-1),INDEX(Cum_OpEx,1,Assumptions!CY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Y$77)-1),INDEX(Cum_OpEx,1,Assumptions!CY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Y$77)-1),INDEX(Cum_OpEx,1,Assumptions!CY$77)))*Assumptions!CY$74</f>
        <v/>
      </c>
      <c r="CZ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CZ$77)-1),INDEX(Cum_OpEx,1,Assumptions!CZ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CZ$77)-1),INDEX(Cum_OpEx,1,Assumptions!CZ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CZ$77)-1),INDEX(Cum_OpEx,1,Assumptions!CZ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CZ$77)-1),INDEX(Cum_OpEx,1,Assumptions!CZ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CZ$77)-1),INDEX(Cum_OpEx,1,Assumptions!CZ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CZ$77)-1),INDEX(Cum_OpEx,1,Assumptions!CZ$77)))*Assumptions!CZ$74</f>
        <v/>
      </c>
      <c r="DA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A$77)-1),INDEX(Cum_OpEx,1,Assumptions!DA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A$77)-1),INDEX(Cum_OpEx,1,Assumptions!DA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A$77)-1),INDEX(Cum_OpEx,1,Assumptions!DA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A$77)-1),INDEX(Cum_OpEx,1,Assumptions!DA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A$77)-1),INDEX(Cum_OpEx,1,Assumptions!DA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A$77)-1),INDEX(Cum_OpEx,1,Assumptions!DA$77)))*Assumptions!DA$74</f>
        <v/>
      </c>
      <c r="DB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B$77)-1),INDEX(Cum_OpEx,1,Assumptions!DB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B$77)-1),INDEX(Cum_OpEx,1,Assumptions!DB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B$77)-1),INDEX(Cum_OpEx,1,Assumptions!DB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B$77)-1),INDEX(Cum_OpEx,1,Assumptions!DB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B$77)-1),INDEX(Cum_OpEx,1,Assumptions!DB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B$77)-1),INDEX(Cum_OpEx,1,Assumptions!DB$77)))*Assumptions!DB$74</f>
        <v/>
      </c>
      <c r="DC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C$77)-1),INDEX(Cum_OpEx,1,Assumptions!DC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C$77)-1),INDEX(Cum_OpEx,1,Assumptions!DC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C$77)-1),INDEX(Cum_OpEx,1,Assumptions!DC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C$77)-1),INDEX(Cum_OpEx,1,Assumptions!DC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C$77)-1),INDEX(Cum_OpEx,1,Assumptions!DC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C$77)-1),INDEX(Cum_OpEx,1,Assumptions!DC$77)))*Assumptions!DC$74</f>
        <v/>
      </c>
      <c r="DD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D$77)-1),INDEX(Cum_OpEx,1,Assumptions!DD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D$77)-1),INDEX(Cum_OpEx,1,Assumptions!DD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D$77)-1),INDEX(Cum_OpEx,1,Assumptions!DD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D$77)-1),INDEX(Cum_OpEx,1,Assumptions!DD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D$77)-1),INDEX(Cum_OpEx,1,Assumptions!DD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D$77)-1),INDEX(Cum_OpEx,1,Assumptions!DD$77)))*Assumptions!DD$74</f>
        <v/>
      </c>
      <c r="DE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E$77)-1),INDEX(Cum_OpEx,1,Assumptions!DE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E$77)-1),INDEX(Cum_OpEx,1,Assumptions!DE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E$77)-1),INDEX(Cum_OpEx,1,Assumptions!DE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E$77)-1),INDEX(Cum_OpEx,1,Assumptions!DE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E$77)-1),INDEX(Cum_OpEx,1,Assumptions!DE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E$77)-1),INDEX(Cum_OpEx,1,Assumptions!DE$77)))*Assumptions!DE$74</f>
        <v/>
      </c>
      <c r="DF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F$77)-1),INDEX(Cum_OpEx,1,Assumptions!DF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F$77)-1),INDEX(Cum_OpEx,1,Assumptions!DF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F$77)-1),INDEX(Cum_OpEx,1,Assumptions!DF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F$77)-1),INDEX(Cum_OpEx,1,Assumptions!DF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F$77)-1),INDEX(Cum_OpEx,1,Assumptions!DF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F$77)-1),INDEX(Cum_OpEx,1,Assumptions!DF$77)))*Assumptions!DF$74</f>
        <v/>
      </c>
      <c r="DG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G$77)-1),INDEX(Cum_OpEx,1,Assumptions!DG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G$77)-1),INDEX(Cum_OpEx,1,Assumptions!DG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G$77)-1),INDEX(Cum_OpEx,1,Assumptions!DG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G$77)-1),INDEX(Cum_OpEx,1,Assumptions!DG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G$77)-1),INDEX(Cum_OpEx,1,Assumptions!DG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G$77)-1),INDEX(Cum_OpEx,1,Assumptions!DG$77)))*Assumptions!DG$74</f>
        <v/>
      </c>
      <c r="DH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H$77)-1),INDEX(Cum_OpEx,1,Assumptions!DH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H$77)-1),INDEX(Cum_OpEx,1,Assumptions!DH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H$77)-1),INDEX(Cum_OpEx,1,Assumptions!DH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H$77)-1),INDEX(Cum_OpEx,1,Assumptions!DH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H$77)-1),INDEX(Cum_OpEx,1,Assumptions!DH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H$77)-1),INDEX(Cum_OpEx,1,Assumptions!DH$77)))*Assumptions!DH$74</f>
        <v/>
      </c>
      <c r="DI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I$77)-1),INDEX(Cum_OpEx,1,Assumptions!DI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I$77)-1),INDEX(Cum_OpEx,1,Assumptions!DI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I$77)-1),INDEX(Cum_OpEx,1,Assumptions!DI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I$77)-1),INDEX(Cum_OpEx,1,Assumptions!DI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I$77)-1),INDEX(Cum_OpEx,1,Assumptions!DI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I$77)-1),INDEX(Cum_OpEx,1,Assumptions!DI$77)))*Assumptions!DI$74</f>
        <v/>
      </c>
      <c r="DJ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J$77)-1),INDEX(Cum_OpEx,1,Assumptions!DJ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J$77)-1),INDEX(Cum_OpEx,1,Assumptions!DJ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J$77)-1),INDEX(Cum_OpEx,1,Assumptions!DJ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J$77)-1),INDEX(Cum_OpEx,1,Assumptions!DJ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J$77)-1),INDEX(Cum_OpEx,1,Assumptions!DJ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J$77)-1),INDEX(Cum_OpEx,1,Assumptions!DJ$77)))*Assumptions!DJ$74</f>
        <v/>
      </c>
      <c r="DK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K$77)-1),INDEX(Cum_OpEx,1,Assumptions!DK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K$77)-1),INDEX(Cum_OpEx,1,Assumptions!DK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K$77)-1),INDEX(Cum_OpEx,1,Assumptions!DK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K$77)-1),INDEX(Cum_OpEx,1,Assumptions!DK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K$77)-1),INDEX(Cum_OpEx,1,Assumptions!DK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K$77)-1),INDEX(Cum_OpEx,1,Assumptions!DK$77)))*Assumptions!DK$74</f>
        <v/>
      </c>
      <c r="DL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L$77)-1),INDEX(Cum_OpEx,1,Assumptions!DL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L$77)-1),INDEX(Cum_OpEx,1,Assumptions!DL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L$77)-1),INDEX(Cum_OpEx,1,Assumptions!DL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L$77)-1),INDEX(Cum_OpEx,1,Assumptions!DL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L$77)-1),INDEX(Cum_OpEx,1,Assumptions!DL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L$77)-1),INDEX(Cum_OpEx,1,Assumptions!DL$77)))*Assumptions!DL$74</f>
        <v/>
      </c>
      <c r="DM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M$77)-1),INDEX(Cum_OpEx,1,Assumptions!DM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M$77)-1),INDEX(Cum_OpEx,1,Assumptions!DM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M$77)-1),INDEX(Cum_OpEx,1,Assumptions!DM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M$77)-1),INDEX(Cum_OpEx,1,Assumptions!DM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M$77)-1),INDEX(Cum_OpEx,1,Assumptions!DM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M$77)-1),INDEX(Cum_OpEx,1,Assumptions!DM$77)))*Assumptions!DM$74</f>
        <v/>
      </c>
      <c r="DN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N$77)-1),INDEX(Cum_OpEx,1,Assumptions!DN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N$77)-1),INDEX(Cum_OpEx,1,Assumptions!DN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N$77)-1),INDEX(Cum_OpEx,1,Assumptions!DN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N$77)-1),INDEX(Cum_OpEx,1,Assumptions!DN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N$77)-1),INDEX(Cum_OpEx,1,Assumptions!DN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N$77)-1),INDEX(Cum_OpEx,1,Assumptions!DN$77)))*Assumptions!DN$74</f>
        <v/>
      </c>
      <c r="DO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O$77)-1),INDEX(Cum_OpEx,1,Assumptions!DO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O$77)-1),INDEX(Cum_OpEx,1,Assumptions!DO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O$77)-1),INDEX(Cum_OpEx,1,Assumptions!DO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O$77)-1),INDEX(Cum_OpEx,1,Assumptions!DO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O$77)-1),INDEX(Cum_OpEx,1,Assumptions!DO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O$77)-1),INDEX(Cum_OpEx,1,Assumptions!DO$77)))*Assumptions!DO$74</f>
        <v/>
      </c>
      <c r="DP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P$77)-1),INDEX(Cum_OpEx,1,Assumptions!DP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P$77)-1),INDEX(Cum_OpEx,1,Assumptions!DP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P$77)-1),INDEX(Cum_OpEx,1,Assumptions!DP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P$77)-1),INDEX(Cum_OpEx,1,Assumptions!DP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P$77)-1),INDEX(Cum_OpEx,1,Assumptions!DP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P$77)-1),INDEX(Cum_OpEx,1,Assumptions!DP$77)))*Assumptions!DP$74</f>
        <v/>
      </c>
      <c r="DQ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Q$77)-1),INDEX(Cum_OpEx,1,Assumptions!DQ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Q$77)-1),INDEX(Cum_OpEx,1,Assumptions!DQ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Q$77)-1),INDEX(Cum_OpEx,1,Assumptions!DQ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Q$77)-1),INDEX(Cum_OpEx,1,Assumptions!DQ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Q$77)-1),INDEX(Cum_OpEx,1,Assumptions!DQ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Q$77)-1),INDEX(Cum_OpEx,1,Assumptions!DQ$77)))*Assumptions!DQ$74</f>
        <v/>
      </c>
      <c r="DR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R$77)-1),INDEX(Cum_OpEx,1,Assumptions!DR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R$77)-1),INDEX(Cum_OpEx,1,Assumptions!DR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R$77)-1),INDEX(Cum_OpEx,1,Assumptions!DR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R$77)-1),INDEX(Cum_OpEx,1,Assumptions!DR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R$77)-1),INDEX(Cum_OpEx,1,Assumptions!DR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R$77)-1),INDEX(Cum_OpEx,1,Assumptions!DR$77)))*Assumptions!DR$74</f>
        <v/>
      </c>
      <c r="DS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S$77)-1),INDEX(Cum_OpEx,1,Assumptions!DS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S$77)-1),INDEX(Cum_OpEx,1,Assumptions!DS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S$77)-1),INDEX(Cum_OpEx,1,Assumptions!DS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S$77)-1),INDEX(Cum_OpEx,1,Assumptions!DS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S$77)-1),INDEX(Cum_OpEx,1,Assumptions!DS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S$77)-1),INDEX(Cum_OpEx,1,Assumptions!DS$77)))*Assumptions!DS$74</f>
        <v/>
      </c>
      <c r="DT37" s="52">
        <f>((VLOOKUP($G$17,RecovMatrix,2,FALSE)*RecovCAM+VLOOKUP($G$17,RecovMatrix,3,FALSE)*RecovTax+VLOOKUP($G$17,RecovMatrix,4,FALSE)*RecovIns)*$B$17/12*IF(GrossUpOn="On",1/(1-RetailGenVacancy),1)*(1+IF(AdminFeeOn="On",AdminFeePct,0))*IF(VLOOKUP($G$17,RecovMatrix,5,FALSE)=1,MAX(0,INDEX(Cum_OpEx,1,Assumptions!DT$77)-1),INDEX(Cum_OpEx,1,Assumptions!DT$77))+(VLOOKUP($G$18,RecovMatrix,2,FALSE)*RecovCAM+VLOOKUP($G$18,RecovMatrix,3,FALSE)*RecovTax+VLOOKUP($G$18,RecovMatrix,4,FALSE)*RecovIns)*$B$18/12*IF(GrossUpOn="On",1/(1-RetailGenVacancy),1)*(1+IF(AdminFeeOn="On",AdminFeePct,0))*IF(VLOOKUP($G$18,RecovMatrix,5,FALSE)=1,MAX(0,INDEX(Cum_OpEx,1,Assumptions!DT$77)-1),INDEX(Cum_OpEx,1,Assumptions!DT$77))+(VLOOKUP($G$19,RecovMatrix,2,FALSE)*RecovCAM+VLOOKUP($G$19,RecovMatrix,3,FALSE)*RecovTax+VLOOKUP($G$19,RecovMatrix,4,FALSE)*RecovIns)*$B$19/12*IF(GrossUpOn="On",1/(1-RetailGenVacancy),1)*(1+IF(AdminFeeOn="On",AdminFeePct,0))*IF(VLOOKUP($G$19,RecovMatrix,5,FALSE)=1,MAX(0,INDEX(Cum_OpEx,1,Assumptions!DT$77)-1),INDEX(Cum_OpEx,1,Assumptions!DT$77))+(VLOOKUP($G$20,RecovMatrix,2,FALSE)*RecovCAM+VLOOKUP($G$20,RecovMatrix,3,FALSE)*RecovTax+VLOOKUP($G$20,RecovMatrix,4,FALSE)*RecovIns)*$B$20/12*IF(GrossUpOn="On",1/(1-RetailGenVacancy),1)*(1+IF(AdminFeeOn="On",AdminFeePct,0))*IF(VLOOKUP($G$20,RecovMatrix,5,FALSE)=1,MAX(0,INDEX(Cum_OpEx,1,Assumptions!DT$77)-1),INDEX(Cum_OpEx,1,Assumptions!DT$77))+(VLOOKUP($G$21,RecovMatrix,2,FALSE)*RecovCAM+VLOOKUP($G$21,RecovMatrix,3,FALSE)*RecovTax+VLOOKUP($G$21,RecovMatrix,4,FALSE)*RecovIns)*$B$21/12*IF(GrossUpOn="On",1/(1-RetailGenVacancy),1)*(1+IF(AdminFeeOn="On",AdminFeePct,0))*IF(VLOOKUP($G$21,RecovMatrix,5,FALSE)=1,MAX(0,INDEX(Cum_OpEx,1,Assumptions!DT$77)-1),INDEX(Cum_OpEx,1,Assumptions!DT$77))+(VLOOKUP($G$22,RecovMatrix,2,FALSE)*RecovCAM+VLOOKUP($G$22,RecovMatrix,3,FALSE)*RecovTax+VLOOKUP($G$22,RecovMatrix,4,FALSE)*RecovIns)*$B$22/12*IF(GrossUpOn="On",1/(1-RetailGenVacancy),1)*(1+IF(AdminFeeOn="On",AdminFeePct,0))*IF(VLOOKUP($G$22,RecovMatrix,5,FALSE)=1,MAX(0,INDEX(Cum_OpEx,1,Assumptions!DT$77)-1),INDEX(Cum_OpEx,1,Assumptions!DT$77)))*Assumptions!DT$74</f>
        <v/>
      </c>
    </row>
    <row r="38">
      <c r="A38" s="10" t="inlineStr">
        <is>
          <t>General vacancy ($/mo, neg)</t>
        </is>
      </c>
      <c r="E38" s="52">
        <f>-(E$35+E$36+E$37)*RetailGenVacancy</f>
        <v/>
      </c>
      <c r="F38" s="52">
        <f>-(F$35+F$36+F$37)*RetailGenVacancy</f>
        <v/>
      </c>
      <c r="G38" s="52">
        <f>-(G$35+G$36+G$37)*RetailGenVacancy</f>
        <v/>
      </c>
      <c r="H38" s="52">
        <f>-(H$35+H$36+H$37)*RetailGenVacancy</f>
        <v/>
      </c>
      <c r="I38" s="52">
        <f>-(I$35+I$36+I$37)*RetailGenVacancy</f>
        <v/>
      </c>
      <c r="J38" s="52">
        <f>-(J$35+J$36+J$37)*RetailGenVacancy</f>
        <v/>
      </c>
      <c r="K38" s="52">
        <f>-(K$35+K$36+K$37)*RetailGenVacancy</f>
        <v/>
      </c>
      <c r="L38" s="52">
        <f>-(L$35+L$36+L$37)*RetailGenVacancy</f>
        <v/>
      </c>
      <c r="M38" s="52">
        <f>-(M$35+M$36+M$37)*RetailGenVacancy</f>
        <v/>
      </c>
      <c r="N38" s="52">
        <f>-(N$35+N$36+N$37)*RetailGenVacancy</f>
        <v/>
      </c>
      <c r="O38" s="52">
        <f>-(O$35+O$36+O$37)*RetailGenVacancy</f>
        <v/>
      </c>
      <c r="P38" s="52">
        <f>-(P$35+P$36+P$37)*RetailGenVacancy</f>
        <v/>
      </c>
      <c r="Q38" s="52">
        <f>-(Q$35+Q$36+Q$37)*RetailGenVacancy</f>
        <v/>
      </c>
      <c r="R38" s="52">
        <f>-(R$35+R$36+R$37)*RetailGenVacancy</f>
        <v/>
      </c>
      <c r="S38" s="52">
        <f>-(S$35+S$36+S$37)*RetailGenVacancy</f>
        <v/>
      </c>
      <c r="T38" s="52">
        <f>-(T$35+T$36+T$37)*RetailGenVacancy</f>
        <v/>
      </c>
      <c r="U38" s="52">
        <f>-(U$35+U$36+U$37)*RetailGenVacancy</f>
        <v/>
      </c>
      <c r="V38" s="52">
        <f>-(V$35+V$36+V$37)*RetailGenVacancy</f>
        <v/>
      </c>
      <c r="W38" s="52">
        <f>-(W$35+W$36+W$37)*RetailGenVacancy</f>
        <v/>
      </c>
      <c r="X38" s="52">
        <f>-(X$35+X$36+X$37)*RetailGenVacancy</f>
        <v/>
      </c>
      <c r="Y38" s="52">
        <f>-(Y$35+Y$36+Y$37)*RetailGenVacancy</f>
        <v/>
      </c>
      <c r="Z38" s="52">
        <f>-(Z$35+Z$36+Z$37)*RetailGenVacancy</f>
        <v/>
      </c>
      <c r="AA38" s="52">
        <f>-(AA$35+AA$36+AA$37)*RetailGenVacancy</f>
        <v/>
      </c>
      <c r="AB38" s="52">
        <f>-(AB$35+AB$36+AB$37)*RetailGenVacancy</f>
        <v/>
      </c>
      <c r="AC38" s="52">
        <f>-(AC$35+AC$36+AC$37)*RetailGenVacancy</f>
        <v/>
      </c>
      <c r="AD38" s="52">
        <f>-(AD$35+AD$36+AD$37)*RetailGenVacancy</f>
        <v/>
      </c>
      <c r="AE38" s="52">
        <f>-(AE$35+AE$36+AE$37)*RetailGenVacancy</f>
        <v/>
      </c>
      <c r="AF38" s="52">
        <f>-(AF$35+AF$36+AF$37)*RetailGenVacancy</f>
        <v/>
      </c>
      <c r="AG38" s="52">
        <f>-(AG$35+AG$36+AG$37)*RetailGenVacancy</f>
        <v/>
      </c>
      <c r="AH38" s="52">
        <f>-(AH$35+AH$36+AH$37)*RetailGenVacancy</f>
        <v/>
      </c>
      <c r="AI38" s="52">
        <f>-(AI$35+AI$36+AI$37)*RetailGenVacancy</f>
        <v/>
      </c>
      <c r="AJ38" s="52">
        <f>-(AJ$35+AJ$36+AJ$37)*RetailGenVacancy</f>
        <v/>
      </c>
      <c r="AK38" s="52">
        <f>-(AK$35+AK$36+AK$37)*RetailGenVacancy</f>
        <v/>
      </c>
      <c r="AL38" s="52">
        <f>-(AL$35+AL$36+AL$37)*RetailGenVacancy</f>
        <v/>
      </c>
      <c r="AM38" s="52">
        <f>-(AM$35+AM$36+AM$37)*RetailGenVacancy</f>
        <v/>
      </c>
      <c r="AN38" s="52">
        <f>-(AN$35+AN$36+AN$37)*RetailGenVacancy</f>
        <v/>
      </c>
      <c r="AO38" s="52">
        <f>-(AO$35+AO$36+AO$37)*RetailGenVacancy</f>
        <v/>
      </c>
      <c r="AP38" s="52">
        <f>-(AP$35+AP$36+AP$37)*RetailGenVacancy</f>
        <v/>
      </c>
      <c r="AQ38" s="52">
        <f>-(AQ$35+AQ$36+AQ$37)*RetailGenVacancy</f>
        <v/>
      </c>
      <c r="AR38" s="52">
        <f>-(AR$35+AR$36+AR$37)*RetailGenVacancy</f>
        <v/>
      </c>
      <c r="AS38" s="52">
        <f>-(AS$35+AS$36+AS$37)*RetailGenVacancy</f>
        <v/>
      </c>
      <c r="AT38" s="52">
        <f>-(AT$35+AT$36+AT$37)*RetailGenVacancy</f>
        <v/>
      </c>
      <c r="AU38" s="52">
        <f>-(AU$35+AU$36+AU$37)*RetailGenVacancy</f>
        <v/>
      </c>
      <c r="AV38" s="52">
        <f>-(AV$35+AV$36+AV$37)*RetailGenVacancy</f>
        <v/>
      </c>
      <c r="AW38" s="52">
        <f>-(AW$35+AW$36+AW$37)*RetailGenVacancy</f>
        <v/>
      </c>
      <c r="AX38" s="52">
        <f>-(AX$35+AX$36+AX$37)*RetailGenVacancy</f>
        <v/>
      </c>
      <c r="AY38" s="52">
        <f>-(AY$35+AY$36+AY$37)*RetailGenVacancy</f>
        <v/>
      </c>
      <c r="AZ38" s="52">
        <f>-(AZ$35+AZ$36+AZ$37)*RetailGenVacancy</f>
        <v/>
      </c>
      <c r="BA38" s="52">
        <f>-(BA$35+BA$36+BA$37)*RetailGenVacancy</f>
        <v/>
      </c>
      <c r="BB38" s="52">
        <f>-(BB$35+BB$36+BB$37)*RetailGenVacancy</f>
        <v/>
      </c>
      <c r="BC38" s="52">
        <f>-(BC$35+BC$36+BC$37)*RetailGenVacancy</f>
        <v/>
      </c>
      <c r="BD38" s="52">
        <f>-(BD$35+BD$36+BD$37)*RetailGenVacancy</f>
        <v/>
      </c>
      <c r="BE38" s="52">
        <f>-(BE$35+BE$36+BE$37)*RetailGenVacancy</f>
        <v/>
      </c>
      <c r="BF38" s="52">
        <f>-(BF$35+BF$36+BF$37)*RetailGenVacancy</f>
        <v/>
      </c>
      <c r="BG38" s="52">
        <f>-(BG$35+BG$36+BG$37)*RetailGenVacancy</f>
        <v/>
      </c>
      <c r="BH38" s="52">
        <f>-(BH$35+BH$36+BH$37)*RetailGenVacancy</f>
        <v/>
      </c>
      <c r="BI38" s="52">
        <f>-(BI$35+BI$36+BI$37)*RetailGenVacancy</f>
        <v/>
      </c>
      <c r="BJ38" s="52">
        <f>-(BJ$35+BJ$36+BJ$37)*RetailGenVacancy</f>
        <v/>
      </c>
      <c r="BK38" s="52">
        <f>-(BK$35+BK$36+BK$37)*RetailGenVacancy</f>
        <v/>
      </c>
      <c r="BL38" s="52">
        <f>-(BL$35+BL$36+BL$37)*RetailGenVacancy</f>
        <v/>
      </c>
      <c r="BM38" s="52">
        <f>-(BM$35+BM$36+BM$37)*RetailGenVacancy</f>
        <v/>
      </c>
      <c r="BN38" s="52">
        <f>-(BN$35+BN$36+BN$37)*RetailGenVacancy</f>
        <v/>
      </c>
      <c r="BO38" s="52">
        <f>-(BO$35+BO$36+BO$37)*RetailGenVacancy</f>
        <v/>
      </c>
      <c r="BP38" s="52">
        <f>-(BP$35+BP$36+BP$37)*RetailGenVacancy</f>
        <v/>
      </c>
      <c r="BQ38" s="52">
        <f>-(BQ$35+BQ$36+BQ$37)*RetailGenVacancy</f>
        <v/>
      </c>
      <c r="BR38" s="52">
        <f>-(BR$35+BR$36+BR$37)*RetailGenVacancy</f>
        <v/>
      </c>
      <c r="BS38" s="52">
        <f>-(BS$35+BS$36+BS$37)*RetailGenVacancy</f>
        <v/>
      </c>
      <c r="BT38" s="52">
        <f>-(BT$35+BT$36+BT$37)*RetailGenVacancy</f>
        <v/>
      </c>
      <c r="BU38" s="52">
        <f>-(BU$35+BU$36+BU$37)*RetailGenVacancy</f>
        <v/>
      </c>
      <c r="BV38" s="52">
        <f>-(BV$35+BV$36+BV$37)*RetailGenVacancy</f>
        <v/>
      </c>
      <c r="BW38" s="52">
        <f>-(BW$35+BW$36+BW$37)*RetailGenVacancy</f>
        <v/>
      </c>
      <c r="BX38" s="52">
        <f>-(BX$35+BX$36+BX$37)*RetailGenVacancy</f>
        <v/>
      </c>
      <c r="BY38" s="52">
        <f>-(BY$35+BY$36+BY$37)*RetailGenVacancy</f>
        <v/>
      </c>
      <c r="BZ38" s="52">
        <f>-(BZ$35+BZ$36+BZ$37)*RetailGenVacancy</f>
        <v/>
      </c>
      <c r="CA38" s="52">
        <f>-(CA$35+CA$36+CA$37)*RetailGenVacancy</f>
        <v/>
      </c>
      <c r="CB38" s="52">
        <f>-(CB$35+CB$36+CB$37)*RetailGenVacancy</f>
        <v/>
      </c>
      <c r="CC38" s="52">
        <f>-(CC$35+CC$36+CC$37)*RetailGenVacancy</f>
        <v/>
      </c>
      <c r="CD38" s="52">
        <f>-(CD$35+CD$36+CD$37)*RetailGenVacancy</f>
        <v/>
      </c>
      <c r="CE38" s="52">
        <f>-(CE$35+CE$36+CE$37)*RetailGenVacancy</f>
        <v/>
      </c>
      <c r="CF38" s="52">
        <f>-(CF$35+CF$36+CF$37)*RetailGenVacancy</f>
        <v/>
      </c>
      <c r="CG38" s="52">
        <f>-(CG$35+CG$36+CG$37)*RetailGenVacancy</f>
        <v/>
      </c>
      <c r="CH38" s="52">
        <f>-(CH$35+CH$36+CH$37)*RetailGenVacancy</f>
        <v/>
      </c>
      <c r="CI38" s="52">
        <f>-(CI$35+CI$36+CI$37)*RetailGenVacancy</f>
        <v/>
      </c>
      <c r="CJ38" s="52">
        <f>-(CJ$35+CJ$36+CJ$37)*RetailGenVacancy</f>
        <v/>
      </c>
      <c r="CK38" s="52">
        <f>-(CK$35+CK$36+CK$37)*RetailGenVacancy</f>
        <v/>
      </c>
      <c r="CL38" s="52">
        <f>-(CL$35+CL$36+CL$37)*RetailGenVacancy</f>
        <v/>
      </c>
      <c r="CM38" s="52">
        <f>-(CM$35+CM$36+CM$37)*RetailGenVacancy</f>
        <v/>
      </c>
      <c r="CN38" s="52">
        <f>-(CN$35+CN$36+CN$37)*RetailGenVacancy</f>
        <v/>
      </c>
      <c r="CO38" s="52">
        <f>-(CO$35+CO$36+CO$37)*RetailGenVacancy</f>
        <v/>
      </c>
      <c r="CP38" s="52">
        <f>-(CP$35+CP$36+CP$37)*RetailGenVacancy</f>
        <v/>
      </c>
      <c r="CQ38" s="52">
        <f>-(CQ$35+CQ$36+CQ$37)*RetailGenVacancy</f>
        <v/>
      </c>
      <c r="CR38" s="52">
        <f>-(CR$35+CR$36+CR$37)*RetailGenVacancy</f>
        <v/>
      </c>
      <c r="CS38" s="52">
        <f>-(CS$35+CS$36+CS$37)*RetailGenVacancy</f>
        <v/>
      </c>
      <c r="CT38" s="52">
        <f>-(CT$35+CT$36+CT$37)*RetailGenVacancy</f>
        <v/>
      </c>
      <c r="CU38" s="52">
        <f>-(CU$35+CU$36+CU$37)*RetailGenVacancy</f>
        <v/>
      </c>
      <c r="CV38" s="52">
        <f>-(CV$35+CV$36+CV$37)*RetailGenVacancy</f>
        <v/>
      </c>
      <c r="CW38" s="52">
        <f>-(CW$35+CW$36+CW$37)*RetailGenVacancy</f>
        <v/>
      </c>
      <c r="CX38" s="52">
        <f>-(CX$35+CX$36+CX$37)*RetailGenVacancy</f>
        <v/>
      </c>
      <c r="CY38" s="52">
        <f>-(CY$35+CY$36+CY$37)*RetailGenVacancy</f>
        <v/>
      </c>
      <c r="CZ38" s="52">
        <f>-(CZ$35+CZ$36+CZ$37)*RetailGenVacancy</f>
        <v/>
      </c>
      <c r="DA38" s="52">
        <f>-(DA$35+DA$36+DA$37)*RetailGenVacancy</f>
        <v/>
      </c>
      <c r="DB38" s="52">
        <f>-(DB$35+DB$36+DB$37)*RetailGenVacancy</f>
        <v/>
      </c>
      <c r="DC38" s="52">
        <f>-(DC$35+DC$36+DC$37)*RetailGenVacancy</f>
        <v/>
      </c>
      <c r="DD38" s="52">
        <f>-(DD$35+DD$36+DD$37)*RetailGenVacancy</f>
        <v/>
      </c>
      <c r="DE38" s="52">
        <f>-(DE$35+DE$36+DE$37)*RetailGenVacancy</f>
        <v/>
      </c>
      <c r="DF38" s="52">
        <f>-(DF$35+DF$36+DF$37)*RetailGenVacancy</f>
        <v/>
      </c>
      <c r="DG38" s="52">
        <f>-(DG$35+DG$36+DG$37)*RetailGenVacancy</f>
        <v/>
      </c>
      <c r="DH38" s="52">
        <f>-(DH$35+DH$36+DH$37)*RetailGenVacancy</f>
        <v/>
      </c>
      <c r="DI38" s="52">
        <f>-(DI$35+DI$36+DI$37)*RetailGenVacancy</f>
        <v/>
      </c>
      <c r="DJ38" s="52">
        <f>-(DJ$35+DJ$36+DJ$37)*RetailGenVacancy</f>
        <v/>
      </c>
      <c r="DK38" s="52">
        <f>-(DK$35+DK$36+DK$37)*RetailGenVacancy</f>
        <v/>
      </c>
      <c r="DL38" s="52">
        <f>-(DL$35+DL$36+DL$37)*RetailGenVacancy</f>
        <v/>
      </c>
      <c r="DM38" s="52">
        <f>-(DM$35+DM$36+DM$37)*RetailGenVacancy</f>
        <v/>
      </c>
      <c r="DN38" s="52">
        <f>-(DN$35+DN$36+DN$37)*RetailGenVacancy</f>
        <v/>
      </c>
      <c r="DO38" s="52">
        <f>-(DO$35+DO$36+DO$37)*RetailGenVacancy</f>
        <v/>
      </c>
      <c r="DP38" s="52">
        <f>-(DP$35+DP$36+DP$37)*RetailGenVacancy</f>
        <v/>
      </c>
      <c r="DQ38" s="52">
        <f>-(DQ$35+DQ$36+DQ$37)*RetailGenVacancy</f>
        <v/>
      </c>
      <c r="DR38" s="52">
        <f>-(DR$35+DR$36+DR$37)*RetailGenVacancy</f>
        <v/>
      </c>
      <c r="DS38" s="52">
        <f>-(DS$35+DS$36+DS$37)*RetailGenVacancy</f>
        <v/>
      </c>
      <c r="DT38" s="52">
        <f>-(DT$35+DT$36+DT$37)*RetailGenVacancy</f>
        <v/>
      </c>
    </row>
    <row r="39">
      <c r="A39" s="10" t="inlineStr">
        <is>
          <t>Credit loss / bad debt ($/mo, neg)</t>
        </is>
      </c>
      <c r="E39" s="52">
        <f>-(E$35+E$36+E$37)*(1-RetailGenVacancy)*RetailCreditLoss</f>
        <v/>
      </c>
      <c r="F39" s="52">
        <f>-(F$35+F$36+F$37)*(1-RetailGenVacancy)*RetailCreditLoss</f>
        <v/>
      </c>
      <c r="G39" s="52">
        <f>-(G$35+G$36+G$37)*(1-RetailGenVacancy)*RetailCreditLoss</f>
        <v/>
      </c>
      <c r="H39" s="52">
        <f>-(H$35+H$36+H$37)*(1-RetailGenVacancy)*RetailCreditLoss</f>
        <v/>
      </c>
      <c r="I39" s="52">
        <f>-(I$35+I$36+I$37)*(1-RetailGenVacancy)*RetailCreditLoss</f>
        <v/>
      </c>
      <c r="J39" s="52">
        <f>-(J$35+J$36+J$37)*(1-RetailGenVacancy)*RetailCreditLoss</f>
        <v/>
      </c>
      <c r="K39" s="52">
        <f>-(K$35+K$36+K$37)*(1-RetailGenVacancy)*RetailCreditLoss</f>
        <v/>
      </c>
      <c r="L39" s="52">
        <f>-(L$35+L$36+L$37)*(1-RetailGenVacancy)*RetailCreditLoss</f>
        <v/>
      </c>
      <c r="M39" s="52">
        <f>-(M$35+M$36+M$37)*(1-RetailGenVacancy)*RetailCreditLoss</f>
        <v/>
      </c>
      <c r="N39" s="52">
        <f>-(N$35+N$36+N$37)*(1-RetailGenVacancy)*RetailCreditLoss</f>
        <v/>
      </c>
      <c r="O39" s="52">
        <f>-(O$35+O$36+O$37)*(1-RetailGenVacancy)*RetailCreditLoss</f>
        <v/>
      </c>
      <c r="P39" s="52">
        <f>-(P$35+P$36+P$37)*(1-RetailGenVacancy)*RetailCreditLoss</f>
        <v/>
      </c>
      <c r="Q39" s="52">
        <f>-(Q$35+Q$36+Q$37)*(1-RetailGenVacancy)*RetailCreditLoss</f>
        <v/>
      </c>
      <c r="R39" s="52">
        <f>-(R$35+R$36+R$37)*(1-RetailGenVacancy)*RetailCreditLoss</f>
        <v/>
      </c>
      <c r="S39" s="52">
        <f>-(S$35+S$36+S$37)*(1-RetailGenVacancy)*RetailCreditLoss</f>
        <v/>
      </c>
      <c r="T39" s="52">
        <f>-(T$35+T$36+T$37)*(1-RetailGenVacancy)*RetailCreditLoss</f>
        <v/>
      </c>
      <c r="U39" s="52">
        <f>-(U$35+U$36+U$37)*(1-RetailGenVacancy)*RetailCreditLoss</f>
        <v/>
      </c>
      <c r="V39" s="52">
        <f>-(V$35+V$36+V$37)*(1-RetailGenVacancy)*RetailCreditLoss</f>
        <v/>
      </c>
      <c r="W39" s="52">
        <f>-(W$35+W$36+W$37)*(1-RetailGenVacancy)*RetailCreditLoss</f>
        <v/>
      </c>
      <c r="X39" s="52">
        <f>-(X$35+X$36+X$37)*(1-RetailGenVacancy)*RetailCreditLoss</f>
        <v/>
      </c>
      <c r="Y39" s="52">
        <f>-(Y$35+Y$36+Y$37)*(1-RetailGenVacancy)*RetailCreditLoss</f>
        <v/>
      </c>
      <c r="Z39" s="52">
        <f>-(Z$35+Z$36+Z$37)*(1-RetailGenVacancy)*RetailCreditLoss</f>
        <v/>
      </c>
      <c r="AA39" s="52">
        <f>-(AA$35+AA$36+AA$37)*(1-RetailGenVacancy)*RetailCreditLoss</f>
        <v/>
      </c>
      <c r="AB39" s="52">
        <f>-(AB$35+AB$36+AB$37)*(1-RetailGenVacancy)*RetailCreditLoss</f>
        <v/>
      </c>
      <c r="AC39" s="52">
        <f>-(AC$35+AC$36+AC$37)*(1-RetailGenVacancy)*RetailCreditLoss</f>
        <v/>
      </c>
      <c r="AD39" s="52">
        <f>-(AD$35+AD$36+AD$37)*(1-RetailGenVacancy)*RetailCreditLoss</f>
        <v/>
      </c>
      <c r="AE39" s="52">
        <f>-(AE$35+AE$36+AE$37)*(1-RetailGenVacancy)*RetailCreditLoss</f>
        <v/>
      </c>
      <c r="AF39" s="52">
        <f>-(AF$35+AF$36+AF$37)*(1-RetailGenVacancy)*RetailCreditLoss</f>
        <v/>
      </c>
      <c r="AG39" s="52">
        <f>-(AG$35+AG$36+AG$37)*(1-RetailGenVacancy)*RetailCreditLoss</f>
        <v/>
      </c>
      <c r="AH39" s="52">
        <f>-(AH$35+AH$36+AH$37)*(1-RetailGenVacancy)*RetailCreditLoss</f>
        <v/>
      </c>
      <c r="AI39" s="52">
        <f>-(AI$35+AI$36+AI$37)*(1-RetailGenVacancy)*RetailCreditLoss</f>
        <v/>
      </c>
      <c r="AJ39" s="52">
        <f>-(AJ$35+AJ$36+AJ$37)*(1-RetailGenVacancy)*RetailCreditLoss</f>
        <v/>
      </c>
      <c r="AK39" s="52">
        <f>-(AK$35+AK$36+AK$37)*(1-RetailGenVacancy)*RetailCreditLoss</f>
        <v/>
      </c>
      <c r="AL39" s="52">
        <f>-(AL$35+AL$36+AL$37)*(1-RetailGenVacancy)*RetailCreditLoss</f>
        <v/>
      </c>
      <c r="AM39" s="52">
        <f>-(AM$35+AM$36+AM$37)*(1-RetailGenVacancy)*RetailCreditLoss</f>
        <v/>
      </c>
      <c r="AN39" s="52">
        <f>-(AN$35+AN$36+AN$37)*(1-RetailGenVacancy)*RetailCreditLoss</f>
        <v/>
      </c>
      <c r="AO39" s="52">
        <f>-(AO$35+AO$36+AO$37)*(1-RetailGenVacancy)*RetailCreditLoss</f>
        <v/>
      </c>
      <c r="AP39" s="52">
        <f>-(AP$35+AP$36+AP$37)*(1-RetailGenVacancy)*RetailCreditLoss</f>
        <v/>
      </c>
      <c r="AQ39" s="52">
        <f>-(AQ$35+AQ$36+AQ$37)*(1-RetailGenVacancy)*RetailCreditLoss</f>
        <v/>
      </c>
      <c r="AR39" s="52">
        <f>-(AR$35+AR$36+AR$37)*(1-RetailGenVacancy)*RetailCreditLoss</f>
        <v/>
      </c>
      <c r="AS39" s="52">
        <f>-(AS$35+AS$36+AS$37)*(1-RetailGenVacancy)*RetailCreditLoss</f>
        <v/>
      </c>
      <c r="AT39" s="52">
        <f>-(AT$35+AT$36+AT$37)*(1-RetailGenVacancy)*RetailCreditLoss</f>
        <v/>
      </c>
      <c r="AU39" s="52">
        <f>-(AU$35+AU$36+AU$37)*(1-RetailGenVacancy)*RetailCreditLoss</f>
        <v/>
      </c>
      <c r="AV39" s="52">
        <f>-(AV$35+AV$36+AV$37)*(1-RetailGenVacancy)*RetailCreditLoss</f>
        <v/>
      </c>
      <c r="AW39" s="52">
        <f>-(AW$35+AW$36+AW$37)*(1-RetailGenVacancy)*RetailCreditLoss</f>
        <v/>
      </c>
      <c r="AX39" s="52">
        <f>-(AX$35+AX$36+AX$37)*(1-RetailGenVacancy)*RetailCreditLoss</f>
        <v/>
      </c>
      <c r="AY39" s="52">
        <f>-(AY$35+AY$36+AY$37)*(1-RetailGenVacancy)*RetailCreditLoss</f>
        <v/>
      </c>
      <c r="AZ39" s="52">
        <f>-(AZ$35+AZ$36+AZ$37)*(1-RetailGenVacancy)*RetailCreditLoss</f>
        <v/>
      </c>
      <c r="BA39" s="52">
        <f>-(BA$35+BA$36+BA$37)*(1-RetailGenVacancy)*RetailCreditLoss</f>
        <v/>
      </c>
      <c r="BB39" s="52">
        <f>-(BB$35+BB$36+BB$37)*(1-RetailGenVacancy)*RetailCreditLoss</f>
        <v/>
      </c>
      <c r="BC39" s="52">
        <f>-(BC$35+BC$36+BC$37)*(1-RetailGenVacancy)*RetailCreditLoss</f>
        <v/>
      </c>
      <c r="BD39" s="52">
        <f>-(BD$35+BD$36+BD$37)*(1-RetailGenVacancy)*RetailCreditLoss</f>
        <v/>
      </c>
      <c r="BE39" s="52">
        <f>-(BE$35+BE$36+BE$37)*(1-RetailGenVacancy)*RetailCreditLoss</f>
        <v/>
      </c>
      <c r="BF39" s="52">
        <f>-(BF$35+BF$36+BF$37)*(1-RetailGenVacancy)*RetailCreditLoss</f>
        <v/>
      </c>
      <c r="BG39" s="52">
        <f>-(BG$35+BG$36+BG$37)*(1-RetailGenVacancy)*RetailCreditLoss</f>
        <v/>
      </c>
      <c r="BH39" s="52">
        <f>-(BH$35+BH$36+BH$37)*(1-RetailGenVacancy)*RetailCreditLoss</f>
        <v/>
      </c>
      <c r="BI39" s="52">
        <f>-(BI$35+BI$36+BI$37)*(1-RetailGenVacancy)*RetailCreditLoss</f>
        <v/>
      </c>
      <c r="BJ39" s="52">
        <f>-(BJ$35+BJ$36+BJ$37)*(1-RetailGenVacancy)*RetailCreditLoss</f>
        <v/>
      </c>
      <c r="BK39" s="52">
        <f>-(BK$35+BK$36+BK$37)*(1-RetailGenVacancy)*RetailCreditLoss</f>
        <v/>
      </c>
      <c r="BL39" s="52">
        <f>-(BL$35+BL$36+BL$37)*(1-RetailGenVacancy)*RetailCreditLoss</f>
        <v/>
      </c>
      <c r="BM39" s="52">
        <f>-(BM$35+BM$36+BM$37)*(1-RetailGenVacancy)*RetailCreditLoss</f>
        <v/>
      </c>
      <c r="BN39" s="52">
        <f>-(BN$35+BN$36+BN$37)*(1-RetailGenVacancy)*RetailCreditLoss</f>
        <v/>
      </c>
      <c r="BO39" s="52">
        <f>-(BO$35+BO$36+BO$37)*(1-RetailGenVacancy)*RetailCreditLoss</f>
        <v/>
      </c>
      <c r="BP39" s="52">
        <f>-(BP$35+BP$36+BP$37)*(1-RetailGenVacancy)*RetailCreditLoss</f>
        <v/>
      </c>
      <c r="BQ39" s="52">
        <f>-(BQ$35+BQ$36+BQ$37)*(1-RetailGenVacancy)*RetailCreditLoss</f>
        <v/>
      </c>
      <c r="BR39" s="52">
        <f>-(BR$35+BR$36+BR$37)*(1-RetailGenVacancy)*RetailCreditLoss</f>
        <v/>
      </c>
      <c r="BS39" s="52">
        <f>-(BS$35+BS$36+BS$37)*(1-RetailGenVacancy)*RetailCreditLoss</f>
        <v/>
      </c>
      <c r="BT39" s="52">
        <f>-(BT$35+BT$36+BT$37)*(1-RetailGenVacancy)*RetailCreditLoss</f>
        <v/>
      </c>
      <c r="BU39" s="52">
        <f>-(BU$35+BU$36+BU$37)*(1-RetailGenVacancy)*RetailCreditLoss</f>
        <v/>
      </c>
      <c r="BV39" s="52">
        <f>-(BV$35+BV$36+BV$37)*(1-RetailGenVacancy)*RetailCreditLoss</f>
        <v/>
      </c>
      <c r="BW39" s="52">
        <f>-(BW$35+BW$36+BW$37)*(1-RetailGenVacancy)*RetailCreditLoss</f>
        <v/>
      </c>
      <c r="BX39" s="52">
        <f>-(BX$35+BX$36+BX$37)*(1-RetailGenVacancy)*RetailCreditLoss</f>
        <v/>
      </c>
      <c r="BY39" s="52">
        <f>-(BY$35+BY$36+BY$37)*(1-RetailGenVacancy)*RetailCreditLoss</f>
        <v/>
      </c>
      <c r="BZ39" s="52">
        <f>-(BZ$35+BZ$36+BZ$37)*(1-RetailGenVacancy)*RetailCreditLoss</f>
        <v/>
      </c>
      <c r="CA39" s="52">
        <f>-(CA$35+CA$36+CA$37)*(1-RetailGenVacancy)*RetailCreditLoss</f>
        <v/>
      </c>
      <c r="CB39" s="52">
        <f>-(CB$35+CB$36+CB$37)*(1-RetailGenVacancy)*RetailCreditLoss</f>
        <v/>
      </c>
      <c r="CC39" s="52">
        <f>-(CC$35+CC$36+CC$37)*(1-RetailGenVacancy)*RetailCreditLoss</f>
        <v/>
      </c>
      <c r="CD39" s="52">
        <f>-(CD$35+CD$36+CD$37)*(1-RetailGenVacancy)*RetailCreditLoss</f>
        <v/>
      </c>
      <c r="CE39" s="52">
        <f>-(CE$35+CE$36+CE$37)*(1-RetailGenVacancy)*RetailCreditLoss</f>
        <v/>
      </c>
      <c r="CF39" s="52">
        <f>-(CF$35+CF$36+CF$37)*(1-RetailGenVacancy)*RetailCreditLoss</f>
        <v/>
      </c>
      <c r="CG39" s="52">
        <f>-(CG$35+CG$36+CG$37)*(1-RetailGenVacancy)*RetailCreditLoss</f>
        <v/>
      </c>
      <c r="CH39" s="52">
        <f>-(CH$35+CH$36+CH$37)*(1-RetailGenVacancy)*RetailCreditLoss</f>
        <v/>
      </c>
      <c r="CI39" s="52">
        <f>-(CI$35+CI$36+CI$37)*(1-RetailGenVacancy)*RetailCreditLoss</f>
        <v/>
      </c>
      <c r="CJ39" s="52">
        <f>-(CJ$35+CJ$36+CJ$37)*(1-RetailGenVacancy)*RetailCreditLoss</f>
        <v/>
      </c>
      <c r="CK39" s="52">
        <f>-(CK$35+CK$36+CK$37)*(1-RetailGenVacancy)*RetailCreditLoss</f>
        <v/>
      </c>
      <c r="CL39" s="52">
        <f>-(CL$35+CL$36+CL$37)*(1-RetailGenVacancy)*RetailCreditLoss</f>
        <v/>
      </c>
      <c r="CM39" s="52">
        <f>-(CM$35+CM$36+CM$37)*(1-RetailGenVacancy)*RetailCreditLoss</f>
        <v/>
      </c>
      <c r="CN39" s="52">
        <f>-(CN$35+CN$36+CN$37)*(1-RetailGenVacancy)*RetailCreditLoss</f>
        <v/>
      </c>
      <c r="CO39" s="52">
        <f>-(CO$35+CO$36+CO$37)*(1-RetailGenVacancy)*RetailCreditLoss</f>
        <v/>
      </c>
      <c r="CP39" s="52">
        <f>-(CP$35+CP$36+CP$37)*(1-RetailGenVacancy)*RetailCreditLoss</f>
        <v/>
      </c>
      <c r="CQ39" s="52">
        <f>-(CQ$35+CQ$36+CQ$37)*(1-RetailGenVacancy)*RetailCreditLoss</f>
        <v/>
      </c>
      <c r="CR39" s="52">
        <f>-(CR$35+CR$36+CR$37)*(1-RetailGenVacancy)*RetailCreditLoss</f>
        <v/>
      </c>
      <c r="CS39" s="52">
        <f>-(CS$35+CS$36+CS$37)*(1-RetailGenVacancy)*RetailCreditLoss</f>
        <v/>
      </c>
      <c r="CT39" s="52">
        <f>-(CT$35+CT$36+CT$37)*(1-RetailGenVacancy)*RetailCreditLoss</f>
        <v/>
      </c>
      <c r="CU39" s="52">
        <f>-(CU$35+CU$36+CU$37)*(1-RetailGenVacancy)*RetailCreditLoss</f>
        <v/>
      </c>
      <c r="CV39" s="52">
        <f>-(CV$35+CV$36+CV$37)*(1-RetailGenVacancy)*RetailCreditLoss</f>
        <v/>
      </c>
      <c r="CW39" s="52">
        <f>-(CW$35+CW$36+CW$37)*(1-RetailGenVacancy)*RetailCreditLoss</f>
        <v/>
      </c>
      <c r="CX39" s="52">
        <f>-(CX$35+CX$36+CX$37)*(1-RetailGenVacancy)*RetailCreditLoss</f>
        <v/>
      </c>
      <c r="CY39" s="52">
        <f>-(CY$35+CY$36+CY$37)*(1-RetailGenVacancy)*RetailCreditLoss</f>
        <v/>
      </c>
      <c r="CZ39" s="52">
        <f>-(CZ$35+CZ$36+CZ$37)*(1-RetailGenVacancy)*RetailCreditLoss</f>
        <v/>
      </c>
      <c r="DA39" s="52">
        <f>-(DA$35+DA$36+DA$37)*(1-RetailGenVacancy)*RetailCreditLoss</f>
        <v/>
      </c>
      <c r="DB39" s="52">
        <f>-(DB$35+DB$36+DB$37)*(1-RetailGenVacancy)*RetailCreditLoss</f>
        <v/>
      </c>
      <c r="DC39" s="52">
        <f>-(DC$35+DC$36+DC$37)*(1-RetailGenVacancy)*RetailCreditLoss</f>
        <v/>
      </c>
      <c r="DD39" s="52">
        <f>-(DD$35+DD$36+DD$37)*(1-RetailGenVacancy)*RetailCreditLoss</f>
        <v/>
      </c>
      <c r="DE39" s="52">
        <f>-(DE$35+DE$36+DE$37)*(1-RetailGenVacancy)*RetailCreditLoss</f>
        <v/>
      </c>
      <c r="DF39" s="52">
        <f>-(DF$35+DF$36+DF$37)*(1-RetailGenVacancy)*RetailCreditLoss</f>
        <v/>
      </c>
      <c r="DG39" s="52">
        <f>-(DG$35+DG$36+DG$37)*(1-RetailGenVacancy)*RetailCreditLoss</f>
        <v/>
      </c>
      <c r="DH39" s="52">
        <f>-(DH$35+DH$36+DH$37)*(1-RetailGenVacancy)*RetailCreditLoss</f>
        <v/>
      </c>
      <c r="DI39" s="52">
        <f>-(DI$35+DI$36+DI$37)*(1-RetailGenVacancy)*RetailCreditLoss</f>
        <v/>
      </c>
      <c r="DJ39" s="52">
        <f>-(DJ$35+DJ$36+DJ$37)*(1-RetailGenVacancy)*RetailCreditLoss</f>
        <v/>
      </c>
      <c r="DK39" s="52">
        <f>-(DK$35+DK$36+DK$37)*(1-RetailGenVacancy)*RetailCreditLoss</f>
        <v/>
      </c>
      <c r="DL39" s="52">
        <f>-(DL$35+DL$36+DL$37)*(1-RetailGenVacancy)*RetailCreditLoss</f>
        <v/>
      </c>
      <c r="DM39" s="52">
        <f>-(DM$35+DM$36+DM$37)*(1-RetailGenVacancy)*RetailCreditLoss</f>
        <v/>
      </c>
      <c r="DN39" s="52">
        <f>-(DN$35+DN$36+DN$37)*(1-RetailGenVacancy)*RetailCreditLoss</f>
        <v/>
      </c>
      <c r="DO39" s="52">
        <f>-(DO$35+DO$36+DO$37)*(1-RetailGenVacancy)*RetailCreditLoss</f>
        <v/>
      </c>
      <c r="DP39" s="52">
        <f>-(DP$35+DP$36+DP$37)*(1-RetailGenVacancy)*RetailCreditLoss</f>
        <v/>
      </c>
      <c r="DQ39" s="52">
        <f>-(DQ$35+DQ$36+DQ$37)*(1-RetailGenVacancy)*RetailCreditLoss</f>
        <v/>
      </c>
      <c r="DR39" s="52">
        <f>-(DR$35+DR$36+DR$37)*(1-RetailGenVacancy)*RetailCreditLoss</f>
        <v/>
      </c>
      <c r="DS39" s="52">
        <f>-(DS$35+DS$36+DS$37)*(1-RetailGenVacancy)*RetailCreditLoss</f>
        <v/>
      </c>
      <c r="DT39" s="52">
        <f>-(DT$35+DT$36+DT$37)*(1-RetailGenVacancy)*RetailCreditLoss</f>
        <v/>
      </c>
    </row>
    <row r="40">
      <c r="A40" s="3" t="inlineStr">
        <is>
          <t>Retail EGI ($/mo)</t>
        </is>
      </c>
      <c r="E40" s="62">
        <f>E$35+E$36+E$37+E$38+E$39</f>
        <v/>
      </c>
      <c r="F40" s="62">
        <f>F$35+F$36+F$37+F$38+F$39</f>
        <v/>
      </c>
      <c r="G40" s="62">
        <f>G$35+G$36+G$37+G$38+G$39</f>
        <v/>
      </c>
      <c r="H40" s="62">
        <f>H$35+H$36+H$37+H$38+H$39</f>
        <v/>
      </c>
      <c r="I40" s="62">
        <f>I$35+I$36+I$37+I$38+I$39</f>
        <v/>
      </c>
      <c r="J40" s="62">
        <f>J$35+J$36+J$37+J$38+J$39</f>
        <v/>
      </c>
      <c r="K40" s="62">
        <f>K$35+K$36+K$37+K$38+K$39</f>
        <v/>
      </c>
      <c r="L40" s="62">
        <f>L$35+L$36+L$37+L$38+L$39</f>
        <v/>
      </c>
      <c r="M40" s="62">
        <f>M$35+M$36+M$37+M$38+M$39</f>
        <v/>
      </c>
      <c r="N40" s="62">
        <f>N$35+N$36+N$37+N$38+N$39</f>
        <v/>
      </c>
      <c r="O40" s="62">
        <f>O$35+O$36+O$37+O$38+O$39</f>
        <v/>
      </c>
      <c r="P40" s="62">
        <f>P$35+P$36+P$37+P$38+P$39</f>
        <v/>
      </c>
      <c r="Q40" s="62">
        <f>Q$35+Q$36+Q$37+Q$38+Q$39</f>
        <v/>
      </c>
      <c r="R40" s="62">
        <f>R$35+R$36+R$37+R$38+R$39</f>
        <v/>
      </c>
      <c r="S40" s="62">
        <f>S$35+S$36+S$37+S$38+S$39</f>
        <v/>
      </c>
      <c r="T40" s="62">
        <f>T$35+T$36+T$37+T$38+T$39</f>
        <v/>
      </c>
      <c r="U40" s="62">
        <f>U$35+U$36+U$37+U$38+U$39</f>
        <v/>
      </c>
      <c r="V40" s="62">
        <f>V$35+V$36+V$37+V$38+V$39</f>
        <v/>
      </c>
      <c r="W40" s="62">
        <f>W$35+W$36+W$37+W$38+W$39</f>
        <v/>
      </c>
      <c r="X40" s="62">
        <f>X$35+X$36+X$37+X$38+X$39</f>
        <v/>
      </c>
      <c r="Y40" s="62">
        <f>Y$35+Y$36+Y$37+Y$38+Y$39</f>
        <v/>
      </c>
      <c r="Z40" s="62">
        <f>Z$35+Z$36+Z$37+Z$38+Z$39</f>
        <v/>
      </c>
      <c r="AA40" s="62">
        <f>AA$35+AA$36+AA$37+AA$38+AA$39</f>
        <v/>
      </c>
      <c r="AB40" s="62">
        <f>AB$35+AB$36+AB$37+AB$38+AB$39</f>
        <v/>
      </c>
      <c r="AC40" s="62">
        <f>AC$35+AC$36+AC$37+AC$38+AC$39</f>
        <v/>
      </c>
      <c r="AD40" s="62">
        <f>AD$35+AD$36+AD$37+AD$38+AD$39</f>
        <v/>
      </c>
      <c r="AE40" s="62">
        <f>AE$35+AE$36+AE$37+AE$38+AE$39</f>
        <v/>
      </c>
      <c r="AF40" s="62">
        <f>AF$35+AF$36+AF$37+AF$38+AF$39</f>
        <v/>
      </c>
      <c r="AG40" s="62">
        <f>AG$35+AG$36+AG$37+AG$38+AG$39</f>
        <v/>
      </c>
      <c r="AH40" s="62">
        <f>AH$35+AH$36+AH$37+AH$38+AH$39</f>
        <v/>
      </c>
      <c r="AI40" s="62">
        <f>AI$35+AI$36+AI$37+AI$38+AI$39</f>
        <v/>
      </c>
      <c r="AJ40" s="62">
        <f>AJ$35+AJ$36+AJ$37+AJ$38+AJ$39</f>
        <v/>
      </c>
      <c r="AK40" s="62">
        <f>AK$35+AK$36+AK$37+AK$38+AK$39</f>
        <v/>
      </c>
      <c r="AL40" s="62">
        <f>AL$35+AL$36+AL$37+AL$38+AL$39</f>
        <v/>
      </c>
      <c r="AM40" s="62">
        <f>AM$35+AM$36+AM$37+AM$38+AM$39</f>
        <v/>
      </c>
      <c r="AN40" s="62">
        <f>AN$35+AN$36+AN$37+AN$38+AN$39</f>
        <v/>
      </c>
      <c r="AO40" s="62">
        <f>AO$35+AO$36+AO$37+AO$38+AO$39</f>
        <v/>
      </c>
      <c r="AP40" s="62">
        <f>AP$35+AP$36+AP$37+AP$38+AP$39</f>
        <v/>
      </c>
      <c r="AQ40" s="62">
        <f>AQ$35+AQ$36+AQ$37+AQ$38+AQ$39</f>
        <v/>
      </c>
      <c r="AR40" s="62">
        <f>AR$35+AR$36+AR$37+AR$38+AR$39</f>
        <v/>
      </c>
      <c r="AS40" s="62">
        <f>AS$35+AS$36+AS$37+AS$38+AS$39</f>
        <v/>
      </c>
      <c r="AT40" s="62">
        <f>AT$35+AT$36+AT$37+AT$38+AT$39</f>
        <v/>
      </c>
      <c r="AU40" s="62">
        <f>AU$35+AU$36+AU$37+AU$38+AU$39</f>
        <v/>
      </c>
      <c r="AV40" s="62">
        <f>AV$35+AV$36+AV$37+AV$38+AV$39</f>
        <v/>
      </c>
      <c r="AW40" s="62">
        <f>AW$35+AW$36+AW$37+AW$38+AW$39</f>
        <v/>
      </c>
      <c r="AX40" s="62">
        <f>AX$35+AX$36+AX$37+AX$38+AX$39</f>
        <v/>
      </c>
      <c r="AY40" s="62">
        <f>AY$35+AY$36+AY$37+AY$38+AY$39</f>
        <v/>
      </c>
      <c r="AZ40" s="62">
        <f>AZ$35+AZ$36+AZ$37+AZ$38+AZ$39</f>
        <v/>
      </c>
      <c r="BA40" s="62">
        <f>BA$35+BA$36+BA$37+BA$38+BA$39</f>
        <v/>
      </c>
      <c r="BB40" s="62">
        <f>BB$35+BB$36+BB$37+BB$38+BB$39</f>
        <v/>
      </c>
      <c r="BC40" s="62">
        <f>BC$35+BC$36+BC$37+BC$38+BC$39</f>
        <v/>
      </c>
      <c r="BD40" s="62">
        <f>BD$35+BD$36+BD$37+BD$38+BD$39</f>
        <v/>
      </c>
      <c r="BE40" s="62">
        <f>BE$35+BE$36+BE$37+BE$38+BE$39</f>
        <v/>
      </c>
      <c r="BF40" s="62">
        <f>BF$35+BF$36+BF$37+BF$38+BF$39</f>
        <v/>
      </c>
      <c r="BG40" s="62">
        <f>BG$35+BG$36+BG$37+BG$38+BG$39</f>
        <v/>
      </c>
      <c r="BH40" s="62">
        <f>BH$35+BH$36+BH$37+BH$38+BH$39</f>
        <v/>
      </c>
      <c r="BI40" s="62">
        <f>BI$35+BI$36+BI$37+BI$38+BI$39</f>
        <v/>
      </c>
      <c r="BJ40" s="62">
        <f>BJ$35+BJ$36+BJ$37+BJ$38+BJ$39</f>
        <v/>
      </c>
      <c r="BK40" s="62">
        <f>BK$35+BK$36+BK$37+BK$38+BK$39</f>
        <v/>
      </c>
      <c r="BL40" s="62">
        <f>BL$35+BL$36+BL$37+BL$38+BL$39</f>
        <v/>
      </c>
      <c r="BM40" s="62">
        <f>BM$35+BM$36+BM$37+BM$38+BM$39</f>
        <v/>
      </c>
      <c r="BN40" s="62">
        <f>BN$35+BN$36+BN$37+BN$38+BN$39</f>
        <v/>
      </c>
      <c r="BO40" s="62">
        <f>BO$35+BO$36+BO$37+BO$38+BO$39</f>
        <v/>
      </c>
      <c r="BP40" s="62">
        <f>BP$35+BP$36+BP$37+BP$38+BP$39</f>
        <v/>
      </c>
      <c r="BQ40" s="62">
        <f>BQ$35+BQ$36+BQ$37+BQ$38+BQ$39</f>
        <v/>
      </c>
      <c r="BR40" s="62">
        <f>BR$35+BR$36+BR$37+BR$38+BR$39</f>
        <v/>
      </c>
      <c r="BS40" s="62">
        <f>BS$35+BS$36+BS$37+BS$38+BS$39</f>
        <v/>
      </c>
      <c r="BT40" s="62">
        <f>BT$35+BT$36+BT$37+BT$38+BT$39</f>
        <v/>
      </c>
      <c r="BU40" s="62">
        <f>BU$35+BU$36+BU$37+BU$38+BU$39</f>
        <v/>
      </c>
      <c r="BV40" s="62">
        <f>BV$35+BV$36+BV$37+BV$38+BV$39</f>
        <v/>
      </c>
      <c r="BW40" s="62">
        <f>BW$35+BW$36+BW$37+BW$38+BW$39</f>
        <v/>
      </c>
      <c r="BX40" s="62">
        <f>BX$35+BX$36+BX$37+BX$38+BX$39</f>
        <v/>
      </c>
      <c r="BY40" s="62">
        <f>BY$35+BY$36+BY$37+BY$38+BY$39</f>
        <v/>
      </c>
      <c r="BZ40" s="62">
        <f>BZ$35+BZ$36+BZ$37+BZ$38+BZ$39</f>
        <v/>
      </c>
      <c r="CA40" s="62">
        <f>CA$35+CA$36+CA$37+CA$38+CA$39</f>
        <v/>
      </c>
      <c r="CB40" s="62">
        <f>CB$35+CB$36+CB$37+CB$38+CB$39</f>
        <v/>
      </c>
      <c r="CC40" s="62">
        <f>CC$35+CC$36+CC$37+CC$38+CC$39</f>
        <v/>
      </c>
      <c r="CD40" s="62">
        <f>CD$35+CD$36+CD$37+CD$38+CD$39</f>
        <v/>
      </c>
      <c r="CE40" s="62">
        <f>CE$35+CE$36+CE$37+CE$38+CE$39</f>
        <v/>
      </c>
      <c r="CF40" s="62">
        <f>CF$35+CF$36+CF$37+CF$38+CF$39</f>
        <v/>
      </c>
      <c r="CG40" s="62">
        <f>CG$35+CG$36+CG$37+CG$38+CG$39</f>
        <v/>
      </c>
      <c r="CH40" s="62">
        <f>CH$35+CH$36+CH$37+CH$38+CH$39</f>
        <v/>
      </c>
      <c r="CI40" s="62">
        <f>CI$35+CI$36+CI$37+CI$38+CI$39</f>
        <v/>
      </c>
      <c r="CJ40" s="62">
        <f>CJ$35+CJ$36+CJ$37+CJ$38+CJ$39</f>
        <v/>
      </c>
      <c r="CK40" s="62">
        <f>CK$35+CK$36+CK$37+CK$38+CK$39</f>
        <v/>
      </c>
      <c r="CL40" s="62">
        <f>CL$35+CL$36+CL$37+CL$38+CL$39</f>
        <v/>
      </c>
      <c r="CM40" s="62">
        <f>CM$35+CM$36+CM$37+CM$38+CM$39</f>
        <v/>
      </c>
      <c r="CN40" s="62">
        <f>CN$35+CN$36+CN$37+CN$38+CN$39</f>
        <v/>
      </c>
      <c r="CO40" s="62">
        <f>CO$35+CO$36+CO$37+CO$38+CO$39</f>
        <v/>
      </c>
      <c r="CP40" s="62">
        <f>CP$35+CP$36+CP$37+CP$38+CP$39</f>
        <v/>
      </c>
      <c r="CQ40" s="62">
        <f>CQ$35+CQ$36+CQ$37+CQ$38+CQ$39</f>
        <v/>
      </c>
      <c r="CR40" s="62">
        <f>CR$35+CR$36+CR$37+CR$38+CR$39</f>
        <v/>
      </c>
      <c r="CS40" s="62">
        <f>CS$35+CS$36+CS$37+CS$38+CS$39</f>
        <v/>
      </c>
      <c r="CT40" s="62">
        <f>CT$35+CT$36+CT$37+CT$38+CT$39</f>
        <v/>
      </c>
      <c r="CU40" s="62">
        <f>CU$35+CU$36+CU$37+CU$38+CU$39</f>
        <v/>
      </c>
      <c r="CV40" s="62">
        <f>CV$35+CV$36+CV$37+CV$38+CV$39</f>
        <v/>
      </c>
      <c r="CW40" s="62">
        <f>CW$35+CW$36+CW$37+CW$38+CW$39</f>
        <v/>
      </c>
      <c r="CX40" s="62">
        <f>CX$35+CX$36+CX$37+CX$38+CX$39</f>
        <v/>
      </c>
      <c r="CY40" s="62">
        <f>CY$35+CY$36+CY$37+CY$38+CY$39</f>
        <v/>
      </c>
      <c r="CZ40" s="62">
        <f>CZ$35+CZ$36+CZ$37+CZ$38+CZ$39</f>
        <v/>
      </c>
      <c r="DA40" s="62">
        <f>DA$35+DA$36+DA$37+DA$38+DA$39</f>
        <v/>
      </c>
      <c r="DB40" s="62">
        <f>DB$35+DB$36+DB$37+DB$38+DB$39</f>
        <v/>
      </c>
      <c r="DC40" s="62">
        <f>DC$35+DC$36+DC$37+DC$38+DC$39</f>
        <v/>
      </c>
      <c r="DD40" s="62">
        <f>DD$35+DD$36+DD$37+DD$38+DD$39</f>
        <v/>
      </c>
      <c r="DE40" s="62">
        <f>DE$35+DE$36+DE$37+DE$38+DE$39</f>
        <v/>
      </c>
      <c r="DF40" s="62">
        <f>DF$35+DF$36+DF$37+DF$38+DF$39</f>
        <v/>
      </c>
      <c r="DG40" s="62">
        <f>DG$35+DG$36+DG$37+DG$38+DG$39</f>
        <v/>
      </c>
      <c r="DH40" s="62">
        <f>DH$35+DH$36+DH$37+DH$38+DH$39</f>
        <v/>
      </c>
      <c r="DI40" s="62">
        <f>DI$35+DI$36+DI$37+DI$38+DI$39</f>
        <v/>
      </c>
      <c r="DJ40" s="62">
        <f>DJ$35+DJ$36+DJ$37+DJ$38+DJ$39</f>
        <v/>
      </c>
      <c r="DK40" s="62">
        <f>DK$35+DK$36+DK$37+DK$38+DK$39</f>
        <v/>
      </c>
      <c r="DL40" s="62">
        <f>DL$35+DL$36+DL$37+DL$38+DL$39</f>
        <v/>
      </c>
      <c r="DM40" s="62">
        <f>DM$35+DM$36+DM$37+DM$38+DM$39</f>
        <v/>
      </c>
      <c r="DN40" s="62">
        <f>DN$35+DN$36+DN$37+DN$38+DN$39</f>
        <v/>
      </c>
      <c r="DO40" s="62">
        <f>DO$35+DO$36+DO$37+DO$38+DO$39</f>
        <v/>
      </c>
      <c r="DP40" s="62">
        <f>DP$35+DP$36+DP$37+DP$38+DP$39</f>
        <v/>
      </c>
      <c r="DQ40" s="62">
        <f>DQ$35+DQ$36+DQ$37+DQ$38+DQ$39</f>
        <v/>
      </c>
      <c r="DR40" s="62">
        <f>DR$35+DR$36+DR$37+DR$38+DR$39</f>
        <v/>
      </c>
      <c r="DS40" s="62">
        <f>DS$35+DS$36+DS$37+DS$38+DS$39</f>
        <v/>
      </c>
      <c r="DT40" s="62">
        <f>DT$35+DT$36+DT$37+DT$38+DT$39</f>
        <v/>
      </c>
    </row>
    <row r="41">
      <c r="A41" s="10" t="inlineStr">
        <is>
          <t>Rollover TI/LC ($, at re-let)</t>
        </is>
      </c>
      <c r="E41" s="52">
        <f>(IF(Assumptions!E$72=$D$17+RetailDowntime,((1-RetailRenewalProb)*NewLeaseTI+RetailRenewalProb*RenewalTI)*$B$17*INDEX(Cum_TILC,1,Assumptions!E$77)+LeasingCommissionPct*$E$17*$B$17*INDEX(Cum_TILC,1,Assumptions!E$77),0)+IF(Assumptions!E$72=$D$18+RetailDowntime,((1-RetailRenewalProb)*NewLeaseTI+RetailRenewalProb*RenewalTI)*$B$18*INDEX(Cum_TILC,1,Assumptions!E$77)+LeasingCommissionPct*$E$18*$B$18*INDEX(Cum_TILC,1,Assumptions!E$77),0)+IF(Assumptions!E$72=$D$19+RetailDowntime,((1-RetailRenewalProb)*NewLeaseTI+RetailRenewalProb*RenewalTI)*$B$19*INDEX(Cum_TILC,1,Assumptions!E$77)+LeasingCommissionPct*$E$19*$B$19*INDEX(Cum_TILC,1,Assumptions!E$77),0)+IF(Assumptions!E$72=$D$20+RetailDowntime,((1-RetailRenewalProb)*NewLeaseTI+RetailRenewalProb*RenewalTI)*$B$20*INDEX(Cum_TILC,1,Assumptions!E$77)+LeasingCommissionPct*$E$20*$B$20*INDEX(Cum_TILC,1,Assumptions!E$77),0)+IF(Assumptions!E$72=$D$21+RetailDowntime,((1-RetailRenewalProb)*NewLeaseTI+RetailRenewalProb*RenewalTI)*$B$21*INDEX(Cum_TILC,1,Assumptions!E$77)+LeasingCommissionPct*$E$21*$B$21*INDEX(Cum_TILC,1,Assumptions!E$77),0)+IF(Assumptions!E$72=$D$22+RetailDowntime,((1-RetailRenewalProb)*NewLeaseTI+RetailRenewalProb*RenewalTI)*$B$22*INDEX(Cum_TILC,1,Assumptions!E$77)+LeasingCommissionPct*$E$22*$B$22*INDEX(Cum_TILC,1,Assumptions!E$77),0))*Assumptions!E$74</f>
        <v/>
      </c>
      <c r="F41" s="52">
        <f>(IF(Assumptions!F$72=$D$17+RetailDowntime,((1-RetailRenewalProb)*NewLeaseTI+RetailRenewalProb*RenewalTI)*$B$17*INDEX(Cum_TILC,1,Assumptions!F$77)+LeasingCommissionPct*$E$17*$B$17*INDEX(Cum_TILC,1,Assumptions!F$77),0)+IF(Assumptions!F$72=$D$18+RetailDowntime,((1-RetailRenewalProb)*NewLeaseTI+RetailRenewalProb*RenewalTI)*$B$18*INDEX(Cum_TILC,1,Assumptions!F$77)+LeasingCommissionPct*$E$18*$B$18*INDEX(Cum_TILC,1,Assumptions!F$77),0)+IF(Assumptions!F$72=$D$19+RetailDowntime,((1-RetailRenewalProb)*NewLeaseTI+RetailRenewalProb*RenewalTI)*$B$19*INDEX(Cum_TILC,1,Assumptions!F$77)+LeasingCommissionPct*$E$19*$B$19*INDEX(Cum_TILC,1,Assumptions!F$77),0)+IF(Assumptions!F$72=$D$20+RetailDowntime,((1-RetailRenewalProb)*NewLeaseTI+RetailRenewalProb*RenewalTI)*$B$20*INDEX(Cum_TILC,1,Assumptions!F$77)+LeasingCommissionPct*$E$20*$B$20*INDEX(Cum_TILC,1,Assumptions!F$77),0)+IF(Assumptions!F$72=$D$21+RetailDowntime,((1-RetailRenewalProb)*NewLeaseTI+RetailRenewalProb*RenewalTI)*$B$21*INDEX(Cum_TILC,1,Assumptions!F$77)+LeasingCommissionPct*$E$21*$B$21*INDEX(Cum_TILC,1,Assumptions!F$77),0)+IF(Assumptions!F$72=$D$22+RetailDowntime,((1-RetailRenewalProb)*NewLeaseTI+RetailRenewalProb*RenewalTI)*$B$22*INDEX(Cum_TILC,1,Assumptions!F$77)+LeasingCommissionPct*$E$22*$B$22*INDEX(Cum_TILC,1,Assumptions!F$77),0))*Assumptions!F$74</f>
        <v/>
      </c>
      <c r="G41" s="52">
        <f>(IF(Assumptions!G$72=$D$17+RetailDowntime,((1-RetailRenewalProb)*NewLeaseTI+RetailRenewalProb*RenewalTI)*$B$17*INDEX(Cum_TILC,1,Assumptions!G$77)+LeasingCommissionPct*$E$17*$B$17*INDEX(Cum_TILC,1,Assumptions!G$77),0)+IF(Assumptions!G$72=$D$18+RetailDowntime,((1-RetailRenewalProb)*NewLeaseTI+RetailRenewalProb*RenewalTI)*$B$18*INDEX(Cum_TILC,1,Assumptions!G$77)+LeasingCommissionPct*$E$18*$B$18*INDEX(Cum_TILC,1,Assumptions!G$77),0)+IF(Assumptions!G$72=$D$19+RetailDowntime,((1-RetailRenewalProb)*NewLeaseTI+RetailRenewalProb*RenewalTI)*$B$19*INDEX(Cum_TILC,1,Assumptions!G$77)+LeasingCommissionPct*$E$19*$B$19*INDEX(Cum_TILC,1,Assumptions!G$77),0)+IF(Assumptions!G$72=$D$20+RetailDowntime,((1-RetailRenewalProb)*NewLeaseTI+RetailRenewalProb*RenewalTI)*$B$20*INDEX(Cum_TILC,1,Assumptions!G$77)+LeasingCommissionPct*$E$20*$B$20*INDEX(Cum_TILC,1,Assumptions!G$77),0)+IF(Assumptions!G$72=$D$21+RetailDowntime,((1-RetailRenewalProb)*NewLeaseTI+RetailRenewalProb*RenewalTI)*$B$21*INDEX(Cum_TILC,1,Assumptions!G$77)+LeasingCommissionPct*$E$21*$B$21*INDEX(Cum_TILC,1,Assumptions!G$77),0)+IF(Assumptions!G$72=$D$22+RetailDowntime,((1-RetailRenewalProb)*NewLeaseTI+RetailRenewalProb*RenewalTI)*$B$22*INDEX(Cum_TILC,1,Assumptions!G$77)+LeasingCommissionPct*$E$22*$B$22*INDEX(Cum_TILC,1,Assumptions!G$77),0))*Assumptions!G$74</f>
        <v/>
      </c>
      <c r="H41" s="52">
        <f>(IF(Assumptions!H$72=$D$17+RetailDowntime,((1-RetailRenewalProb)*NewLeaseTI+RetailRenewalProb*RenewalTI)*$B$17*INDEX(Cum_TILC,1,Assumptions!H$77)+LeasingCommissionPct*$E$17*$B$17*INDEX(Cum_TILC,1,Assumptions!H$77),0)+IF(Assumptions!H$72=$D$18+RetailDowntime,((1-RetailRenewalProb)*NewLeaseTI+RetailRenewalProb*RenewalTI)*$B$18*INDEX(Cum_TILC,1,Assumptions!H$77)+LeasingCommissionPct*$E$18*$B$18*INDEX(Cum_TILC,1,Assumptions!H$77),0)+IF(Assumptions!H$72=$D$19+RetailDowntime,((1-RetailRenewalProb)*NewLeaseTI+RetailRenewalProb*RenewalTI)*$B$19*INDEX(Cum_TILC,1,Assumptions!H$77)+LeasingCommissionPct*$E$19*$B$19*INDEX(Cum_TILC,1,Assumptions!H$77),0)+IF(Assumptions!H$72=$D$20+RetailDowntime,((1-RetailRenewalProb)*NewLeaseTI+RetailRenewalProb*RenewalTI)*$B$20*INDEX(Cum_TILC,1,Assumptions!H$77)+LeasingCommissionPct*$E$20*$B$20*INDEX(Cum_TILC,1,Assumptions!H$77),0)+IF(Assumptions!H$72=$D$21+RetailDowntime,((1-RetailRenewalProb)*NewLeaseTI+RetailRenewalProb*RenewalTI)*$B$21*INDEX(Cum_TILC,1,Assumptions!H$77)+LeasingCommissionPct*$E$21*$B$21*INDEX(Cum_TILC,1,Assumptions!H$77),0)+IF(Assumptions!H$72=$D$22+RetailDowntime,((1-RetailRenewalProb)*NewLeaseTI+RetailRenewalProb*RenewalTI)*$B$22*INDEX(Cum_TILC,1,Assumptions!H$77)+LeasingCommissionPct*$E$22*$B$22*INDEX(Cum_TILC,1,Assumptions!H$77),0))*Assumptions!H$74</f>
        <v/>
      </c>
      <c r="I41" s="52">
        <f>(IF(Assumptions!I$72=$D$17+RetailDowntime,((1-RetailRenewalProb)*NewLeaseTI+RetailRenewalProb*RenewalTI)*$B$17*INDEX(Cum_TILC,1,Assumptions!I$77)+LeasingCommissionPct*$E$17*$B$17*INDEX(Cum_TILC,1,Assumptions!I$77),0)+IF(Assumptions!I$72=$D$18+RetailDowntime,((1-RetailRenewalProb)*NewLeaseTI+RetailRenewalProb*RenewalTI)*$B$18*INDEX(Cum_TILC,1,Assumptions!I$77)+LeasingCommissionPct*$E$18*$B$18*INDEX(Cum_TILC,1,Assumptions!I$77),0)+IF(Assumptions!I$72=$D$19+RetailDowntime,((1-RetailRenewalProb)*NewLeaseTI+RetailRenewalProb*RenewalTI)*$B$19*INDEX(Cum_TILC,1,Assumptions!I$77)+LeasingCommissionPct*$E$19*$B$19*INDEX(Cum_TILC,1,Assumptions!I$77),0)+IF(Assumptions!I$72=$D$20+RetailDowntime,((1-RetailRenewalProb)*NewLeaseTI+RetailRenewalProb*RenewalTI)*$B$20*INDEX(Cum_TILC,1,Assumptions!I$77)+LeasingCommissionPct*$E$20*$B$20*INDEX(Cum_TILC,1,Assumptions!I$77),0)+IF(Assumptions!I$72=$D$21+RetailDowntime,((1-RetailRenewalProb)*NewLeaseTI+RetailRenewalProb*RenewalTI)*$B$21*INDEX(Cum_TILC,1,Assumptions!I$77)+LeasingCommissionPct*$E$21*$B$21*INDEX(Cum_TILC,1,Assumptions!I$77),0)+IF(Assumptions!I$72=$D$22+RetailDowntime,((1-RetailRenewalProb)*NewLeaseTI+RetailRenewalProb*RenewalTI)*$B$22*INDEX(Cum_TILC,1,Assumptions!I$77)+LeasingCommissionPct*$E$22*$B$22*INDEX(Cum_TILC,1,Assumptions!I$77),0))*Assumptions!I$74</f>
        <v/>
      </c>
      <c r="J41" s="52">
        <f>(IF(Assumptions!J$72=$D$17+RetailDowntime,((1-RetailRenewalProb)*NewLeaseTI+RetailRenewalProb*RenewalTI)*$B$17*INDEX(Cum_TILC,1,Assumptions!J$77)+LeasingCommissionPct*$E$17*$B$17*INDEX(Cum_TILC,1,Assumptions!J$77),0)+IF(Assumptions!J$72=$D$18+RetailDowntime,((1-RetailRenewalProb)*NewLeaseTI+RetailRenewalProb*RenewalTI)*$B$18*INDEX(Cum_TILC,1,Assumptions!J$77)+LeasingCommissionPct*$E$18*$B$18*INDEX(Cum_TILC,1,Assumptions!J$77),0)+IF(Assumptions!J$72=$D$19+RetailDowntime,((1-RetailRenewalProb)*NewLeaseTI+RetailRenewalProb*RenewalTI)*$B$19*INDEX(Cum_TILC,1,Assumptions!J$77)+LeasingCommissionPct*$E$19*$B$19*INDEX(Cum_TILC,1,Assumptions!J$77),0)+IF(Assumptions!J$72=$D$20+RetailDowntime,((1-RetailRenewalProb)*NewLeaseTI+RetailRenewalProb*RenewalTI)*$B$20*INDEX(Cum_TILC,1,Assumptions!J$77)+LeasingCommissionPct*$E$20*$B$20*INDEX(Cum_TILC,1,Assumptions!J$77),0)+IF(Assumptions!J$72=$D$21+RetailDowntime,((1-RetailRenewalProb)*NewLeaseTI+RetailRenewalProb*RenewalTI)*$B$21*INDEX(Cum_TILC,1,Assumptions!J$77)+LeasingCommissionPct*$E$21*$B$21*INDEX(Cum_TILC,1,Assumptions!J$77),0)+IF(Assumptions!J$72=$D$22+RetailDowntime,((1-RetailRenewalProb)*NewLeaseTI+RetailRenewalProb*RenewalTI)*$B$22*INDEX(Cum_TILC,1,Assumptions!J$77)+LeasingCommissionPct*$E$22*$B$22*INDEX(Cum_TILC,1,Assumptions!J$77),0))*Assumptions!J$74</f>
        <v/>
      </c>
      <c r="K41" s="52">
        <f>(IF(Assumptions!K$72=$D$17+RetailDowntime,((1-RetailRenewalProb)*NewLeaseTI+RetailRenewalProb*RenewalTI)*$B$17*INDEX(Cum_TILC,1,Assumptions!K$77)+LeasingCommissionPct*$E$17*$B$17*INDEX(Cum_TILC,1,Assumptions!K$77),0)+IF(Assumptions!K$72=$D$18+RetailDowntime,((1-RetailRenewalProb)*NewLeaseTI+RetailRenewalProb*RenewalTI)*$B$18*INDEX(Cum_TILC,1,Assumptions!K$77)+LeasingCommissionPct*$E$18*$B$18*INDEX(Cum_TILC,1,Assumptions!K$77),0)+IF(Assumptions!K$72=$D$19+RetailDowntime,((1-RetailRenewalProb)*NewLeaseTI+RetailRenewalProb*RenewalTI)*$B$19*INDEX(Cum_TILC,1,Assumptions!K$77)+LeasingCommissionPct*$E$19*$B$19*INDEX(Cum_TILC,1,Assumptions!K$77),0)+IF(Assumptions!K$72=$D$20+RetailDowntime,((1-RetailRenewalProb)*NewLeaseTI+RetailRenewalProb*RenewalTI)*$B$20*INDEX(Cum_TILC,1,Assumptions!K$77)+LeasingCommissionPct*$E$20*$B$20*INDEX(Cum_TILC,1,Assumptions!K$77),0)+IF(Assumptions!K$72=$D$21+RetailDowntime,((1-RetailRenewalProb)*NewLeaseTI+RetailRenewalProb*RenewalTI)*$B$21*INDEX(Cum_TILC,1,Assumptions!K$77)+LeasingCommissionPct*$E$21*$B$21*INDEX(Cum_TILC,1,Assumptions!K$77),0)+IF(Assumptions!K$72=$D$22+RetailDowntime,((1-RetailRenewalProb)*NewLeaseTI+RetailRenewalProb*RenewalTI)*$B$22*INDEX(Cum_TILC,1,Assumptions!K$77)+LeasingCommissionPct*$E$22*$B$22*INDEX(Cum_TILC,1,Assumptions!K$77),0))*Assumptions!K$74</f>
        <v/>
      </c>
      <c r="L41" s="52">
        <f>(IF(Assumptions!L$72=$D$17+RetailDowntime,((1-RetailRenewalProb)*NewLeaseTI+RetailRenewalProb*RenewalTI)*$B$17*INDEX(Cum_TILC,1,Assumptions!L$77)+LeasingCommissionPct*$E$17*$B$17*INDEX(Cum_TILC,1,Assumptions!L$77),0)+IF(Assumptions!L$72=$D$18+RetailDowntime,((1-RetailRenewalProb)*NewLeaseTI+RetailRenewalProb*RenewalTI)*$B$18*INDEX(Cum_TILC,1,Assumptions!L$77)+LeasingCommissionPct*$E$18*$B$18*INDEX(Cum_TILC,1,Assumptions!L$77),0)+IF(Assumptions!L$72=$D$19+RetailDowntime,((1-RetailRenewalProb)*NewLeaseTI+RetailRenewalProb*RenewalTI)*$B$19*INDEX(Cum_TILC,1,Assumptions!L$77)+LeasingCommissionPct*$E$19*$B$19*INDEX(Cum_TILC,1,Assumptions!L$77),0)+IF(Assumptions!L$72=$D$20+RetailDowntime,((1-RetailRenewalProb)*NewLeaseTI+RetailRenewalProb*RenewalTI)*$B$20*INDEX(Cum_TILC,1,Assumptions!L$77)+LeasingCommissionPct*$E$20*$B$20*INDEX(Cum_TILC,1,Assumptions!L$77),0)+IF(Assumptions!L$72=$D$21+RetailDowntime,((1-RetailRenewalProb)*NewLeaseTI+RetailRenewalProb*RenewalTI)*$B$21*INDEX(Cum_TILC,1,Assumptions!L$77)+LeasingCommissionPct*$E$21*$B$21*INDEX(Cum_TILC,1,Assumptions!L$77),0)+IF(Assumptions!L$72=$D$22+RetailDowntime,((1-RetailRenewalProb)*NewLeaseTI+RetailRenewalProb*RenewalTI)*$B$22*INDEX(Cum_TILC,1,Assumptions!L$77)+LeasingCommissionPct*$E$22*$B$22*INDEX(Cum_TILC,1,Assumptions!L$77),0))*Assumptions!L$74</f>
        <v/>
      </c>
      <c r="M41" s="52">
        <f>(IF(Assumptions!M$72=$D$17+RetailDowntime,((1-RetailRenewalProb)*NewLeaseTI+RetailRenewalProb*RenewalTI)*$B$17*INDEX(Cum_TILC,1,Assumptions!M$77)+LeasingCommissionPct*$E$17*$B$17*INDEX(Cum_TILC,1,Assumptions!M$77),0)+IF(Assumptions!M$72=$D$18+RetailDowntime,((1-RetailRenewalProb)*NewLeaseTI+RetailRenewalProb*RenewalTI)*$B$18*INDEX(Cum_TILC,1,Assumptions!M$77)+LeasingCommissionPct*$E$18*$B$18*INDEX(Cum_TILC,1,Assumptions!M$77),0)+IF(Assumptions!M$72=$D$19+RetailDowntime,((1-RetailRenewalProb)*NewLeaseTI+RetailRenewalProb*RenewalTI)*$B$19*INDEX(Cum_TILC,1,Assumptions!M$77)+LeasingCommissionPct*$E$19*$B$19*INDEX(Cum_TILC,1,Assumptions!M$77),0)+IF(Assumptions!M$72=$D$20+RetailDowntime,((1-RetailRenewalProb)*NewLeaseTI+RetailRenewalProb*RenewalTI)*$B$20*INDEX(Cum_TILC,1,Assumptions!M$77)+LeasingCommissionPct*$E$20*$B$20*INDEX(Cum_TILC,1,Assumptions!M$77),0)+IF(Assumptions!M$72=$D$21+RetailDowntime,((1-RetailRenewalProb)*NewLeaseTI+RetailRenewalProb*RenewalTI)*$B$21*INDEX(Cum_TILC,1,Assumptions!M$77)+LeasingCommissionPct*$E$21*$B$21*INDEX(Cum_TILC,1,Assumptions!M$77),0)+IF(Assumptions!M$72=$D$22+RetailDowntime,((1-RetailRenewalProb)*NewLeaseTI+RetailRenewalProb*RenewalTI)*$B$22*INDEX(Cum_TILC,1,Assumptions!M$77)+LeasingCommissionPct*$E$22*$B$22*INDEX(Cum_TILC,1,Assumptions!M$77),0))*Assumptions!M$74</f>
        <v/>
      </c>
      <c r="N41" s="52">
        <f>(IF(Assumptions!N$72=$D$17+RetailDowntime,((1-RetailRenewalProb)*NewLeaseTI+RetailRenewalProb*RenewalTI)*$B$17*INDEX(Cum_TILC,1,Assumptions!N$77)+LeasingCommissionPct*$E$17*$B$17*INDEX(Cum_TILC,1,Assumptions!N$77),0)+IF(Assumptions!N$72=$D$18+RetailDowntime,((1-RetailRenewalProb)*NewLeaseTI+RetailRenewalProb*RenewalTI)*$B$18*INDEX(Cum_TILC,1,Assumptions!N$77)+LeasingCommissionPct*$E$18*$B$18*INDEX(Cum_TILC,1,Assumptions!N$77),0)+IF(Assumptions!N$72=$D$19+RetailDowntime,((1-RetailRenewalProb)*NewLeaseTI+RetailRenewalProb*RenewalTI)*$B$19*INDEX(Cum_TILC,1,Assumptions!N$77)+LeasingCommissionPct*$E$19*$B$19*INDEX(Cum_TILC,1,Assumptions!N$77),0)+IF(Assumptions!N$72=$D$20+RetailDowntime,((1-RetailRenewalProb)*NewLeaseTI+RetailRenewalProb*RenewalTI)*$B$20*INDEX(Cum_TILC,1,Assumptions!N$77)+LeasingCommissionPct*$E$20*$B$20*INDEX(Cum_TILC,1,Assumptions!N$77),0)+IF(Assumptions!N$72=$D$21+RetailDowntime,((1-RetailRenewalProb)*NewLeaseTI+RetailRenewalProb*RenewalTI)*$B$21*INDEX(Cum_TILC,1,Assumptions!N$77)+LeasingCommissionPct*$E$21*$B$21*INDEX(Cum_TILC,1,Assumptions!N$77),0)+IF(Assumptions!N$72=$D$22+RetailDowntime,((1-RetailRenewalProb)*NewLeaseTI+RetailRenewalProb*RenewalTI)*$B$22*INDEX(Cum_TILC,1,Assumptions!N$77)+LeasingCommissionPct*$E$22*$B$22*INDEX(Cum_TILC,1,Assumptions!N$77),0))*Assumptions!N$74</f>
        <v/>
      </c>
      <c r="O41" s="52">
        <f>(IF(Assumptions!O$72=$D$17+RetailDowntime,((1-RetailRenewalProb)*NewLeaseTI+RetailRenewalProb*RenewalTI)*$B$17*INDEX(Cum_TILC,1,Assumptions!O$77)+LeasingCommissionPct*$E$17*$B$17*INDEX(Cum_TILC,1,Assumptions!O$77),0)+IF(Assumptions!O$72=$D$18+RetailDowntime,((1-RetailRenewalProb)*NewLeaseTI+RetailRenewalProb*RenewalTI)*$B$18*INDEX(Cum_TILC,1,Assumptions!O$77)+LeasingCommissionPct*$E$18*$B$18*INDEX(Cum_TILC,1,Assumptions!O$77),0)+IF(Assumptions!O$72=$D$19+RetailDowntime,((1-RetailRenewalProb)*NewLeaseTI+RetailRenewalProb*RenewalTI)*$B$19*INDEX(Cum_TILC,1,Assumptions!O$77)+LeasingCommissionPct*$E$19*$B$19*INDEX(Cum_TILC,1,Assumptions!O$77),0)+IF(Assumptions!O$72=$D$20+RetailDowntime,((1-RetailRenewalProb)*NewLeaseTI+RetailRenewalProb*RenewalTI)*$B$20*INDEX(Cum_TILC,1,Assumptions!O$77)+LeasingCommissionPct*$E$20*$B$20*INDEX(Cum_TILC,1,Assumptions!O$77),0)+IF(Assumptions!O$72=$D$21+RetailDowntime,((1-RetailRenewalProb)*NewLeaseTI+RetailRenewalProb*RenewalTI)*$B$21*INDEX(Cum_TILC,1,Assumptions!O$77)+LeasingCommissionPct*$E$21*$B$21*INDEX(Cum_TILC,1,Assumptions!O$77),0)+IF(Assumptions!O$72=$D$22+RetailDowntime,((1-RetailRenewalProb)*NewLeaseTI+RetailRenewalProb*RenewalTI)*$B$22*INDEX(Cum_TILC,1,Assumptions!O$77)+LeasingCommissionPct*$E$22*$B$22*INDEX(Cum_TILC,1,Assumptions!O$77),0))*Assumptions!O$74</f>
        <v/>
      </c>
      <c r="P41" s="52">
        <f>(IF(Assumptions!P$72=$D$17+RetailDowntime,((1-RetailRenewalProb)*NewLeaseTI+RetailRenewalProb*RenewalTI)*$B$17*INDEX(Cum_TILC,1,Assumptions!P$77)+LeasingCommissionPct*$E$17*$B$17*INDEX(Cum_TILC,1,Assumptions!P$77),0)+IF(Assumptions!P$72=$D$18+RetailDowntime,((1-RetailRenewalProb)*NewLeaseTI+RetailRenewalProb*RenewalTI)*$B$18*INDEX(Cum_TILC,1,Assumptions!P$77)+LeasingCommissionPct*$E$18*$B$18*INDEX(Cum_TILC,1,Assumptions!P$77),0)+IF(Assumptions!P$72=$D$19+RetailDowntime,((1-RetailRenewalProb)*NewLeaseTI+RetailRenewalProb*RenewalTI)*$B$19*INDEX(Cum_TILC,1,Assumptions!P$77)+LeasingCommissionPct*$E$19*$B$19*INDEX(Cum_TILC,1,Assumptions!P$77),0)+IF(Assumptions!P$72=$D$20+RetailDowntime,((1-RetailRenewalProb)*NewLeaseTI+RetailRenewalProb*RenewalTI)*$B$20*INDEX(Cum_TILC,1,Assumptions!P$77)+LeasingCommissionPct*$E$20*$B$20*INDEX(Cum_TILC,1,Assumptions!P$77),0)+IF(Assumptions!P$72=$D$21+RetailDowntime,((1-RetailRenewalProb)*NewLeaseTI+RetailRenewalProb*RenewalTI)*$B$21*INDEX(Cum_TILC,1,Assumptions!P$77)+LeasingCommissionPct*$E$21*$B$21*INDEX(Cum_TILC,1,Assumptions!P$77),0)+IF(Assumptions!P$72=$D$22+RetailDowntime,((1-RetailRenewalProb)*NewLeaseTI+RetailRenewalProb*RenewalTI)*$B$22*INDEX(Cum_TILC,1,Assumptions!P$77)+LeasingCommissionPct*$E$22*$B$22*INDEX(Cum_TILC,1,Assumptions!P$77),0))*Assumptions!P$74</f>
        <v/>
      </c>
      <c r="Q41" s="52">
        <f>(IF(Assumptions!Q$72=$D$17+RetailDowntime,((1-RetailRenewalProb)*NewLeaseTI+RetailRenewalProb*RenewalTI)*$B$17*INDEX(Cum_TILC,1,Assumptions!Q$77)+LeasingCommissionPct*$E$17*$B$17*INDEX(Cum_TILC,1,Assumptions!Q$77),0)+IF(Assumptions!Q$72=$D$18+RetailDowntime,((1-RetailRenewalProb)*NewLeaseTI+RetailRenewalProb*RenewalTI)*$B$18*INDEX(Cum_TILC,1,Assumptions!Q$77)+LeasingCommissionPct*$E$18*$B$18*INDEX(Cum_TILC,1,Assumptions!Q$77),0)+IF(Assumptions!Q$72=$D$19+RetailDowntime,((1-RetailRenewalProb)*NewLeaseTI+RetailRenewalProb*RenewalTI)*$B$19*INDEX(Cum_TILC,1,Assumptions!Q$77)+LeasingCommissionPct*$E$19*$B$19*INDEX(Cum_TILC,1,Assumptions!Q$77),0)+IF(Assumptions!Q$72=$D$20+RetailDowntime,((1-RetailRenewalProb)*NewLeaseTI+RetailRenewalProb*RenewalTI)*$B$20*INDEX(Cum_TILC,1,Assumptions!Q$77)+LeasingCommissionPct*$E$20*$B$20*INDEX(Cum_TILC,1,Assumptions!Q$77),0)+IF(Assumptions!Q$72=$D$21+RetailDowntime,((1-RetailRenewalProb)*NewLeaseTI+RetailRenewalProb*RenewalTI)*$B$21*INDEX(Cum_TILC,1,Assumptions!Q$77)+LeasingCommissionPct*$E$21*$B$21*INDEX(Cum_TILC,1,Assumptions!Q$77),0)+IF(Assumptions!Q$72=$D$22+RetailDowntime,((1-RetailRenewalProb)*NewLeaseTI+RetailRenewalProb*RenewalTI)*$B$22*INDEX(Cum_TILC,1,Assumptions!Q$77)+LeasingCommissionPct*$E$22*$B$22*INDEX(Cum_TILC,1,Assumptions!Q$77),0))*Assumptions!Q$74</f>
        <v/>
      </c>
      <c r="R41" s="52">
        <f>(IF(Assumptions!R$72=$D$17+RetailDowntime,((1-RetailRenewalProb)*NewLeaseTI+RetailRenewalProb*RenewalTI)*$B$17*INDEX(Cum_TILC,1,Assumptions!R$77)+LeasingCommissionPct*$E$17*$B$17*INDEX(Cum_TILC,1,Assumptions!R$77),0)+IF(Assumptions!R$72=$D$18+RetailDowntime,((1-RetailRenewalProb)*NewLeaseTI+RetailRenewalProb*RenewalTI)*$B$18*INDEX(Cum_TILC,1,Assumptions!R$77)+LeasingCommissionPct*$E$18*$B$18*INDEX(Cum_TILC,1,Assumptions!R$77),0)+IF(Assumptions!R$72=$D$19+RetailDowntime,((1-RetailRenewalProb)*NewLeaseTI+RetailRenewalProb*RenewalTI)*$B$19*INDEX(Cum_TILC,1,Assumptions!R$77)+LeasingCommissionPct*$E$19*$B$19*INDEX(Cum_TILC,1,Assumptions!R$77),0)+IF(Assumptions!R$72=$D$20+RetailDowntime,((1-RetailRenewalProb)*NewLeaseTI+RetailRenewalProb*RenewalTI)*$B$20*INDEX(Cum_TILC,1,Assumptions!R$77)+LeasingCommissionPct*$E$20*$B$20*INDEX(Cum_TILC,1,Assumptions!R$77),0)+IF(Assumptions!R$72=$D$21+RetailDowntime,((1-RetailRenewalProb)*NewLeaseTI+RetailRenewalProb*RenewalTI)*$B$21*INDEX(Cum_TILC,1,Assumptions!R$77)+LeasingCommissionPct*$E$21*$B$21*INDEX(Cum_TILC,1,Assumptions!R$77),0)+IF(Assumptions!R$72=$D$22+RetailDowntime,((1-RetailRenewalProb)*NewLeaseTI+RetailRenewalProb*RenewalTI)*$B$22*INDEX(Cum_TILC,1,Assumptions!R$77)+LeasingCommissionPct*$E$22*$B$22*INDEX(Cum_TILC,1,Assumptions!R$77),0))*Assumptions!R$74</f>
        <v/>
      </c>
      <c r="S41" s="52">
        <f>(IF(Assumptions!S$72=$D$17+RetailDowntime,((1-RetailRenewalProb)*NewLeaseTI+RetailRenewalProb*RenewalTI)*$B$17*INDEX(Cum_TILC,1,Assumptions!S$77)+LeasingCommissionPct*$E$17*$B$17*INDEX(Cum_TILC,1,Assumptions!S$77),0)+IF(Assumptions!S$72=$D$18+RetailDowntime,((1-RetailRenewalProb)*NewLeaseTI+RetailRenewalProb*RenewalTI)*$B$18*INDEX(Cum_TILC,1,Assumptions!S$77)+LeasingCommissionPct*$E$18*$B$18*INDEX(Cum_TILC,1,Assumptions!S$77),0)+IF(Assumptions!S$72=$D$19+RetailDowntime,((1-RetailRenewalProb)*NewLeaseTI+RetailRenewalProb*RenewalTI)*$B$19*INDEX(Cum_TILC,1,Assumptions!S$77)+LeasingCommissionPct*$E$19*$B$19*INDEX(Cum_TILC,1,Assumptions!S$77),0)+IF(Assumptions!S$72=$D$20+RetailDowntime,((1-RetailRenewalProb)*NewLeaseTI+RetailRenewalProb*RenewalTI)*$B$20*INDEX(Cum_TILC,1,Assumptions!S$77)+LeasingCommissionPct*$E$20*$B$20*INDEX(Cum_TILC,1,Assumptions!S$77),0)+IF(Assumptions!S$72=$D$21+RetailDowntime,((1-RetailRenewalProb)*NewLeaseTI+RetailRenewalProb*RenewalTI)*$B$21*INDEX(Cum_TILC,1,Assumptions!S$77)+LeasingCommissionPct*$E$21*$B$21*INDEX(Cum_TILC,1,Assumptions!S$77),0)+IF(Assumptions!S$72=$D$22+RetailDowntime,((1-RetailRenewalProb)*NewLeaseTI+RetailRenewalProb*RenewalTI)*$B$22*INDEX(Cum_TILC,1,Assumptions!S$77)+LeasingCommissionPct*$E$22*$B$22*INDEX(Cum_TILC,1,Assumptions!S$77),0))*Assumptions!S$74</f>
        <v/>
      </c>
      <c r="T41" s="52">
        <f>(IF(Assumptions!T$72=$D$17+RetailDowntime,((1-RetailRenewalProb)*NewLeaseTI+RetailRenewalProb*RenewalTI)*$B$17*INDEX(Cum_TILC,1,Assumptions!T$77)+LeasingCommissionPct*$E$17*$B$17*INDEX(Cum_TILC,1,Assumptions!T$77),0)+IF(Assumptions!T$72=$D$18+RetailDowntime,((1-RetailRenewalProb)*NewLeaseTI+RetailRenewalProb*RenewalTI)*$B$18*INDEX(Cum_TILC,1,Assumptions!T$77)+LeasingCommissionPct*$E$18*$B$18*INDEX(Cum_TILC,1,Assumptions!T$77),0)+IF(Assumptions!T$72=$D$19+RetailDowntime,((1-RetailRenewalProb)*NewLeaseTI+RetailRenewalProb*RenewalTI)*$B$19*INDEX(Cum_TILC,1,Assumptions!T$77)+LeasingCommissionPct*$E$19*$B$19*INDEX(Cum_TILC,1,Assumptions!T$77),0)+IF(Assumptions!T$72=$D$20+RetailDowntime,((1-RetailRenewalProb)*NewLeaseTI+RetailRenewalProb*RenewalTI)*$B$20*INDEX(Cum_TILC,1,Assumptions!T$77)+LeasingCommissionPct*$E$20*$B$20*INDEX(Cum_TILC,1,Assumptions!T$77),0)+IF(Assumptions!T$72=$D$21+RetailDowntime,((1-RetailRenewalProb)*NewLeaseTI+RetailRenewalProb*RenewalTI)*$B$21*INDEX(Cum_TILC,1,Assumptions!T$77)+LeasingCommissionPct*$E$21*$B$21*INDEX(Cum_TILC,1,Assumptions!T$77),0)+IF(Assumptions!T$72=$D$22+RetailDowntime,((1-RetailRenewalProb)*NewLeaseTI+RetailRenewalProb*RenewalTI)*$B$22*INDEX(Cum_TILC,1,Assumptions!T$77)+LeasingCommissionPct*$E$22*$B$22*INDEX(Cum_TILC,1,Assumptions!T$77),0))*Assumptions!T$74</f>
        <v/>
      </c>
      <c r="U41" s="52">
        <f>(IF(Assumptions!U$72=$D$17+RetailDowntime,((1-RetailRenewalProb)*NewLeaseTI+RetailRenewalProb*RenewalTI)*$B$17*INDEX(Cum_TILC,1,Assumptions!U$77)+LeasingCommissionPct*$E$17*$B$17*INDEX(Cum_TILC,1,Assumptions!U$77),0)+IF(Assumptions!U$72=$D$18+RetailDowntime,((1-RetailRenewalProb)*NewLeaseTI+RetailRenewalProb*RenewalTI)*$B$18*INDEX(Cum_TILC,1,Assumptions!U$77)+LeasingCommissionPct*$E$18*$B$18*INDEX(Cum_TILC,1,Assumptions!U$77),0)+IF(Assumptions!U$72=$D$19+RetailDowntime,((1-RetailRenewalProb)*NewLeaseTI+RetailRenewalProb*RenewalTI)*$B$19*INDEX(Cum_TILC,1,Assumptions!U$77)+LeasingCommissionPct*$E$19*$B$19*INDEX(Cum_TILC,1,Assumptions!U$77),0)+IF(Assumptions!U$72=$D$20+RetailDowntime,((1-RetailRenewalProb)*NewLeaseTI+RetailRenewalProb*RenewalTI)*$B$20*INDEX(Cum_TILC,1,Assumptions!U$77)+LeasingCommissionPct*$E$20*$B$20*INDEX(Cum_TILC,1,Assumptions!U$77),0)+IF(Assumptions!U$72=$D$21+RetailDowntime,((1-RetailRenewalProb)*NewLeaseTI+RetailRenewalProb*RenewalTI)*$B$21*INDEX(Cum_TILC,1,Assumptions!U$77)+LeasingCommissionPct*$E$21*$B$21*INDEX(Cum_TILC,1,Assumptions!U$77),0)+IF(Assumptions!U$72=$D$22+RetailDowntime,((1-RetailRenewalProb)*NewLeaseTI+RetailRenewalProb*RenewalTI)*$B$22*INDEX(Cum_TILC,1,Assumptions!U$77)+LeasingCommissionPct*$E$22*$B$22*INDEX(Cum_TILC,1,Assumptions!U$77),0))*Assumptions!U$74</f>
        <v/>
      </c>
      <c r="V41" s="52">
        <f>(IF(Assumptions!V$72=$D$17+RetailDowntime,((1-RetailRenewalProb)*NewLeaseTI+RetailRenewalProb*RenewalTI)*$B$17*INDEX(Cum_TILC,1,Assumptions!V$77)+LeasingCommissionPct*$E$17*$B$17*INDEX(Cum_TILC,1,Assumptions!V$77),0)+IF(Assumptions!V$72=$D$18+RetailDowntime,((1-RetailRenewalProb)*NewLeaseTI+RetailRenewalProb*RenewalTI)*$B$18*INDEX(Cum_TILC,1,Assumptions!V$77)+LeasingCommissionPct*$E$18*$B$18*INDEX(Cum_TILC,1,Assumptions!V$77),0)+IF(Assumptions!V$72=$D$19+RetailDowntime,((1-RetailRenewalProb)*NewLeaseTI+RetailRenewalProb*RenewalTI)*$B$19*INDEX(Cum_TILC,1,Assumptions!V$77)+LeasingCommissionPct*$E$19*$B$19*INDEX(Cum_TILC,1,Assumptions!V$77),0)+IF(Assumptions!V$72=$D$20+RetailDowntime,((1-RetailRenewalProb)*NewLeaseTI+RetailRenewalProb*RenewalTI)*$B$20*INDEX(Cum_TILC,1,Assumptions!V$77)+LeasingCommissionPct*$E$20*$B$20*INDEX(Cum_TILC,1,Assumptions!V$77),0)+IF(Assumptions!V$72=$D$21+RetailDowntime,((1-RetailRenewalProb)*NewLeaseTI+RetailRenewalProb*RenewalTI)*$B$21*INDEX(Cum_TILC,1,Assumptions!V$77)+LeasingCommissionPct*$E$21*$B$21*INDEX(Cum_TILC,1,Assumptions!V$77),0)+IF(Assumptions!V$72=$D$22+RetailDowntime,((1-RetailRenewalProb)*NewLeaseTI+RetailRenewalProb*RenewalTI)*$B$22*INDEX(Cum_TILC,1,Assumptions!V$77)+LeasingCommissionPct*$E$22*$B$22*INDEX(Cum_TILC,1,Assumptions!V$77),0))*Assumptions!V$74</f>
        <v/>
      </c>
      <c r="W41" s="52">
        <f>(IF(Assumptions!W$72=$D$17+RetailDowntime,((1-RetailRenewalProb)*NewLeaseTI+RetailRenewalProb*RenewalTI)*$B$17*INDEX(Cum_TILC,1,Assumptions!W$77)+LeasingCommissionPct*$E$17*$B$17*INDEX(Cum_TILC,1,Assumptions!W$77),0)+IF(Assumptions!W$72=$D$18+RetailDowntime,((1-RetailRenewalProb)*NewLeaseTI+RetailRenewalProb*RenewalTI)*$B$18*INDEX(Cum_TILC,1,Assumptions!W$77)+LeasingCommissionPct*$E$18*$B$18*INDEX(Cum_TILC,1,Assumptions!W$77),0)+IF(Assumptions!W$72=$D$19+RetailDowntime,((1-RetailRenewalProb)*NewLeaseTI+RetailRenewalProb*RenewalTI)*$B$19*INDEX(Cum_TILC,1,Assumptions!W$77)+LeasingCommissionPct*$E$19*$B$19*INDEX(Cum_TILC,1,Assumptions!W$77),0)+IF(Assumptions!W$72=$D$20+RetailDowntime,((1-RetailRenewalProb)*NewLeaseTI+RetailRenewalProb*RenewalTI)*$B$20*INDEX(Cum_TILC,1,Assumptions!W$77)+LeasingCommissionPct*$E$20*$B$20*INDEX(Cum_TILC,1,Assumptions!W$77),0)+IF(Assumptions!W$72=$D$21+RetailDowntime,((1-RetailRenewalProb)*NewLeaseTI+RetailRenewalProb*RenewalTI)*$B$21*INDEX(Cum_TILC,1,Assumptions!W$77)+LeasingCommissionPct*$E$21*$B$21*INDEX(Cum_TILC,1,Assumptions!W$77),0)+IF(Assumptions!W$72=$D$22+RetailDowntime,((1-RetailRenewalProb)*NewLeaseTI+RetailRenewalProb*RenewalTI)*$B$22*INDEX(Cum_TILC,1,Assumptions!W$77)+LeasingCommissionPct*$E$22*$B$22*INDEX(Cum_TILC,1,Assumptions!W$77),0))*Assumptions!W$74</f>
        <v/>
      </c>
      <c r="X41" s="52">
        <f>(IF(Assumptions!X$72=$D$17+RetailDowntime,((1-RetailRenewalProb)*NewLeaseTI+RetailRenewalProb*RenewalTI)*$B$17*INDEX(Cum_TILC,1,Assumptions!X$77)+LeasingCommissionPct*$E$17*$B$17*INDEX(Cum_TILC,1,Assumptions!X$77),0)+IF(Assumptions!X$72=$D$18+RetailDowntime,((1-RetailRenewalProb)*NewLeaseTI+RetailRenewalProb*RenewalTI)*$B$18*INDEX(Cum_TILC,1,Assumptions!X$77)+LeasingCommissionPct*$E$18*$B$18*INDEX(Cum_TILC,1,Assumptions!X$77),0)+IF(Assumptions!X$72=$D$19+RetailDowntime,((1-RetailRenewalProb)*NewLeaseTI+RetailRenewalProb*RenewalTI)*$B$19*INDEX(Cum_TILC,1,Assumptions!X$77)+LeasingCommissionPct*$E$19*$B$19*INDEX(Cum_TILC,1,Assumptions!X$77),0)+IF(Assumptions!X$72=$D$20+RetailDowntime,((1-RetailRenewalProb)*NewLeaseTI+RetailRenewalProb*RenewalTI)*$B$20*INDEX(Cum_TILC,1,Assumptions!X$77)+LeasingCommissionPct*$E$20*$B$20*INDEX(Cum_TILC,1,Assumptions!X$77),0)+IF(Assumptions!X$72=$D$21+RetailDowntime,((1-RetailRenewalProb)*NewLeaseTI+RetailRenewalProb*RenewalTI)*$B$21*INDEX(Cum_TILC,1,Assumptions!X$77)+LeasingCommissionPct*$E$21*$B$21*INDEX(Cum_TILC,1,Assumptions!X$77),0)+IF(Assumptions!X$72=$D$22+RetailDowntime,((1-RetailRenewalProb)*NewLeaseTI+RetailRenewalProb*RenewalTI)*$B$22*INDEX(Cum_TILC,1,Assumptions!X$77)+LeasingCommissionPct*$E$22*$B$22*INDEX(Cum_TILC,1,Assumptions!X$77),0))*Assumptions!X$74</f>
        <v/>
      </c>
      <c r="Y41" s="52">
        <f>(IF(Assumptions!Y$72=$D$17+RetailDowntime,((1-RetailRenewalProb)*NewLeaseTI+RetailRenewalProb*RenewalTI)*$B$17*INDEX(Cum_TILC,1,Assumptions!Y$77)+LeasingCommissionPct*$E$17*$B$17*INDEX(Cum_TILC,1,Assumptions!Y$77),0)+IF(Assumptions!Y$72=$D$18+RetailDowntime,((1-RetailRenewalProb)*NewLeaseTI+RetailRenewalProb*RenewalTI)*$B$18*INDEX(Cum_TILC,1,Assumptions!Y$77)+LeasingCommissionPct*$E$18*$B$18*INDEX(Cum_TILC,1,Assumptions!Y$77),0)+IF(Assumptions!Y$72=$D$19+RetailDowntime,((1-RetailRenewalProb)*NewLeaseTI+RetailRenewalProb*RenewalTI)*$B$19*INDEX(Cum_TILC,1,Assumptions!Y$77)+LeasingCommissionPct*$E$19*$B$19*INDEX(Cum_TILC,1,Assumptions!Y$77),0)+IF(Assumptions!Y$72=$D$20+RetailDowntime,((1-RetailRenewalProb)*NewLeaseTI+RetailRenewalProb*RenewalTI)*$B$20*INDEX(Cum_TILC,1,Assumptions!Y$77)+LeasingCommissionPct*$E$20*$B$20*INDEX(Cum_TILC,1,Assumptions!Y$77),0)+IF(Assumptions!Y$72=$D$21+RetailDowntime,((1-RetailRenewalProb)*NewLeaseTI+RetailRenewalProb*RenewalTI)*$B$21*INDEX(Cum_TILC,1,Assumptions!Y$77)+LeasingCommissionPct*$E$21*$B$21*INDEX(Cum_TILC,1,Assumptions!Y$77),0)+IF(Assumptions!Y$72=$D$22+RetailDowntime,((1-RetailRenewalProb)*NewLeaseTI+RetailRenewalProb*RenewalTI)*$B$22*INDEX(Cum_TILC,1,Assumptions!Y$77)+LeasingCommissionPct*$E$22*$B$22*INDEX(Cum_TILC,1,Assumptions!Y$77),0))*Assumptions!Y$74</f>
        <v/>
      </c>
      <c r="Z41" s="52">
        <f>(IF(Assumptions!Z$72=$D$17+RetailDowntime,((1-RetailRenewalProb)*NewLeaseTI+RetailRenewalProb*RenewalTI)*$B$17*INDEX(Cum_TILC,1,Assumptions!Z$77)+LeasingCommissionPct*$E$17*$B$17*INDEX(Cum_TILC,1,Assumptions!Z$77),0)+IF(Assumptions!Z$72=$D$18+RetailDowntime,((1-RetailRenewalProb)*NewLeaseTI+RetailRenewalProb*RenewalTI)*$B$18*INDEX(Cum_TILC,1,Assumptions!Z$77)+LeasingCommissionPct*$E$18*$B$18*INDEX(Cum_TILC,1,Assumptions!Z$77),0)+IF(Assumptions!Z$72=$D$19+RetailDowntime,((1-RetailRenewalProb)*NewLeaseTI+RetailRenewalProb*RenewalTI)*$B$19*INDEX(Cum_TILC,1,Assumptions!Z$77)+LeasingCommissionPct*$E$19*$B$19*INDEX(Cum_TILC,1,Assumptions!Z$77),0)+IF(Assumptions!Z$72=$D$20+RetailDowntime,((1-RetailRenewalProb)*NewLeaseTI+RetailRenewalProb*RenewalTI)*$B$20*INDEX(Cum_TILC,1,Assumptions!Z$77)+LeasingCommissionPct*$E$20*$B$20*INDEX(Cum_TILC,1,Assumptions!Z$77),0)+IF(Assumptions!Z$72=$D$21+RetailDowntime,((1-RetailRenewalProb)*NewLeaseTI+RetailRenewalProb*RenewalTI)*$B$21*INDEX(Cum_TILC,1,Assumptions!Z$77)+LeasingCommissionPct*$E$21*$B$21*INDEX(Cum_TILC,1,Assumptions!Z$77),0)+IF(Assumptions!Z$72=$D$22+RetailDowntime,((1-RetailRenewalProb)*NewLeaseTI+RetailRenewalProb*RenewalTI)*$B$22*INDEX(Cum_TILC,1,Assumptions!Z$77)+LeasingCommissionPct*$E$22*$B$22*INDEX(Cum_TILC,1,Assumptions!Z$77),0))*Assumptions!Z$74</f>
        <v/>
      </c>
      <c r="AA41" s="52">
        <f>(IF(Assumptions!AA$72=$D$17+RetailDowntime,((1-RetailRenewalProb)*NewLeaseTI+RetailRenewalProb*RenewalTI)*$B$17*INDEX(Cum_TILC,1,Assumptions!AA$77)+LeasingCommissionPct*$E$17*$B$17*INDEX(Cum_TILC,1,Assumptions!AA$77),0)+IF(Assumptions!AA$72=$D$18+RetailDowntime,((1-RetailRenewalProb)*NewLeaseTI+RetailRenewalProb*RenewalTI)*$B$18*INDEX(Cum_TILC,1,Assumptions!AA$77)+LeasingCommissionPct*$E$18*$B$18*INDEX(Cum_TILC,1,Assumptions!AA$77),0)+IF(Assumptions!AA$72=$D$19+RetailDowntime,((1-RetailRenewalProb)*NewLeaseTI+RetailRenewalProb*RenewalTI)*$B$19*INDEX(Cum_TILC,1,Assumptions!AA$77)+LeasingCommissionPct*$E$19*$B$19*INDEX(Cum_TILC,1,Assumptions!AA$77),0)+IF(Assumptions!AA$72=$D$20+RetailDowntime,((1-RetailRenewalProb)*NewLeaseTI+RetailRenewalProb*RenewalTI)*$B$20*INDEX(Cum_TILC,1,Assumptions!AA$77)+LeasingCommissionPct*$E$20*$B$20*INDEX(Cum_TILC,1,Assumptions!AA$77),0)+IF(Assumptions!AA$72=$D$21+RetailDowntime,((1-RetailRenewalProb)*NewLeaseTI+RetailRenewalProb*RenewalTI)*$B$21*INDEX(Cum_TILC,1,Assumptions!AA$77)+LeasingCommissionPct*$E$21*$B$21*INDEX(Cum_TILC,1,Assumptions!AA$77),0)+IF(Assumptions!AA$72=$D$22+RetailDowntime,((1-RetailRenewalProb)*NewLeaseTI+RetailRenewalProb*RenewalTI)*$B$22*INDEX(Cum_TILC,1,Assumptions!AA$77)+LeasingCommissionPct*$E$22*$B$22*INDEX(Cum_TILC,1,Assumptions!AA$77),0))*Assumptions!AA$74</f>
        <v/>
      </c>
      <c r="AB41" s="52">
        <f>(IF(Assumptions!AB$72=$D$17+RetailDowntime,((1-RetailRenewalProb)*NewLeaseTI+RetailRenewalProb*RenewalTI)*$B$17*INDEX(Cum_TILC,1,Assumptions!AB$77)+LeasingCommissionPct*$E$17*$B$17*INDEX(Cum_TILC,1,Assumptions!AB$77),0)+IF(Assumptions!AB$72=$D$18+RetailDowntime,((1-RetailRenewalProb)*NewLeaseTI+RetailRenewalProb*RenewalTI)*$B$18*INDEX(Cum_TILC,1,Assumptions!AB$77)+LeasingCommissionPct*$E$18*$B$18*INDEX(Cum_TILC,1,Assumptions!AB$77),0)+IF(Assumptions!AB$72=$D$19+RetailDowntime,((1-RetailRenewalProb)*NewLeaseTI+RetailRenewalProb*RenewalTI)*$B$19*INDEX(Cum_TILC,1,Assumptions!AB$77)+LeasingCommissionPct*$E$19*$B$19*INDEX(Cum_TILC,1,Assumptions!AB$77),0)+IF(Assumptions!AB$72=$D$20+RetailDowntime,((1-RetailRenewalProb)*NewLeaseTI+RetailRenewalProb*RenewalTI)*$B$20*INDEX(Cum_TILC,1,Assumptions!AB$77)+LeasingCommissionPct*$E$20*$B$20*INDEX(Cum_TILC,1,Assumptions!AB$77),0)+IF(Assumptions!AB$72=$D$21+RetailDowntime,((1-RetailRenewalProb)*NewLeaseTI+RetailRenewalProb*RenewalTI)*$B$21*INDEX(Cum_TILC,1,Assumptions!AB$77)+LeasingCommissionPct*$E$21*$B$21*INDEX(Cum_TILC,1,Assumptions!AB$77),0)+IF(Assumptions!AB$72=$D$22+RetailDowntime,((1-RetailRenewalProb)*NewLeaseTI+RetailRenewalProb*RenewalTI)*$B$22*INDEX(Cum_TILC,1,Assumptions!AB$77)+LeasingCommissionPct*$E$22*$B$22*INDEX(Cum_TILC,1,Assumptions!AB$77),0))*Assumptions!AB$74</f>
        <v/>
      </c>
      <c r="AC41" s="52">
        <f>(IF(Assumptions!AC$72=$D$17+RetailDowntime,((1-RetailRenewalProb)*NewLeaseTI+RetailRenewalProb*RenewalTI)*$B$17*INDEX(Cum_TILC,1,Assumptions!AC$77)+LeasingCommissionPct*$E$17*$B$17*INDEX(Cum_TILC,1,Assumptions!AC$77),0)+IF(Assumptions!AC$72=$D$18+RetailDowntime,((1-RetailRenewalProb)*NewLeaseTI+RetailRenewalProb*RenewalTI)*$B$18*INDEX(Cum_TILC,1,Assumptions!AC$77)+LeasingCommissionPct*$E$18*$B$18*INDEX(Cum_TILC,1,Assumptions!AC$77),0)+IF(Assumptions!AC$72=$D$19+RetailDowntime,((1-RetailRenewalProb)*NewLeaseTI+RetailRenewalProb*RenewalTI)*$B$19*INDEX(Cum_TILC,1,Assumptions!AC$77)+LeasingCommissionPct*$E$19*$B$19*INDEX(Cum_TILC,1,Assumptions!AC$77),0)+IF(Assumptions!AC$72=$D$20+RetailDowntime,((1-RetailRenewalProb)*NewLeaseTI+RetailRenewalProb*RenewalTI)*$B$20*INDEX(Cum_TILC,1,Assumptions!AC$77)+LeasingCommissionPct*$E$20*$B$20*INDEX(Cum_TILC,1,Assumptions!AC$77),0)+IF(Assumptions!AC$72=$D$21+RetailDowntime,((1-RetailRenewalProb)*NewLeaseTI+RetailRenewalProb*RenewalTI)*$B$21*INDEX(Cum_TILC,1,Assumptions!AC$77)+LeasingCommissionPct*$E$21*$B$21*INDEX(Cum_TILC,1,Assumptions!AC$77),0)+IF(Assumptions!AC$72=$D$22+RetailDowntime,((1-RetailRenewalProb)*NewLeaseTI+RetailRenewalProb*RenewalTI)*$B$22*INDEX(Cum_TILC,1,Assumptions!AC$77)+LeasingCommissionPct*$E$22*$B$22*INDEX(Cum_TILC,1,Assumptions!AC$77),0))*Assumptions!AC$74</f>
        <v/>
      </c>
      <c r="AD41" s="52">
        <f>(IF(Assumptions!AD$72=$D$17+RetailDowntime,((1-RetailRenewalProb)*NewLeaseTI+RetailRenewalProb*RenewalTI)*$B$17*INDEX(Cum_TILC,1,Assumptions!AD$77)+LeasingCommissionPct*$E$17*$B$17*INDEX(Cum_TILC,1,Assumptions!AD$77),0)+IF(Assumptions!AD$72=$D$18+RetailDowntime,((1-RetailRenewalProb)*NewLeaseTI+RetailRenewalProb*RenewalTI)*$B$18*INDEX(Cum_TILC,1,Assumptions!AD$77)+LeasingCommissionPct*$E$18*$B$18*INDEX(Cum_TILC,1,Assumptions!AD$77),0)+IF(Assumptions!AD$72=$D$19+RetailDowntime,((1-RetailRenewalProb)*NewLeaseTI+RetailRenewalProb*RenewalTI)*$B$19*INDEX(Cum_TILC,1,Assumptions!AD$77)+LeasingCommissionPct*$E$19*$B$19*INDEX(Cum_TILC,1,Assumptions!AD$77),0)+IF(Assumptions!AD$72=$D$20+RetailDowntime,((1-RetailRenewalProb)*NewLeaseTI+RetailRenewalProb*RenewalTI)*$B$20*INDEX(Cum_TILC,1,Assumptions!AD$77)+LeasingCommissionPct*$E$20*$B$20*INDEX(Cum_TILC,1,Assumptions!AD$77),0)+IF(Assumptions!AD$72=$D$21+RetailDowntime,((1-RetailRenewalProb)*NewLeaseTI+RetailRenewalProb*RenewalTI)*$B$21*INDEX(Cum_TILC,1,Assumptions!AD$77)+LeasingCommissionPct*$E$21*$B$21*INDEX(Cum_TILC,1,Assumptions!AD$77),0)+IF(Assumptions!AD$72=$D$22+RetailDowntime,((1-RetailRenewalProb)*NewLeaseTI+RetailRenewalProb*RenewalTI)*$B$22*INDEX(Cum_TILC,1,Assumptions!AD$77)+LeasingCommissionPct*$E$22*$B$22*INDEX(Cum_TILC,1,Assumptions!AD$77),0))*Assumptions!AD$74</f>
        <v/>
      </c>
      <c r="AE41" s="52">
        <f>(IF(Assumptions!AE$72=$D$17+RetailDowntime,((1-RetailRenewalProb)*NewLeaseTI+RetailRenewalProb*RenewalTI)*$B$17*INDEX(Cum_TILC,1,Assumptions!AE$77)+LeasingCommissionPct*$E$17*$B$17*INDEX(Cum_TILC,1,Assumptions!AE$77),0)+IF(Assumptions!AE$72=$D$18+RetailDowntime,((1-RetailRenewalProb)*NewLeaseTI+RetailRenewalProb*RenewalTI)*$B$18*INDEX(Cum_TILC,1,Assumptions!AE$77)+LeasingCommissionPct*$E$18*$B$18*INDEX(Cum_TILC,1,Assumptions!AE$77),0)+IF(Assumptions!AE$72=$D$19+RetailDowntime,((1-RetailRenewalProb)*NewLeaseTI+RetailRenewalProb*RenewalTI)*$B$19*INDEX(Cum_TILC,1,Assumptions!AE$77)+LeasingCommissionPct*$E$19*$B$19*INDEX(Cum_TILC,1,Assumptions!AE$77),0)+IF(Assumptions!AE$72=$D$20+RetailDowntime,((1-RetailRenewalProb)*NewLeaseTI+RetailRenewalProb*RenewalTI)*$B$20*INDEX(Cum_TILC,1,Assumptions!AE$77)+LeasingCommissionPct*$E$20*$B$20*INDEX(Cum_TILC,1,Assumptions!AE$77),0)+IF(Assumptions!AE$72=$D$21+RetailDowntime,((1-RetailRenewalProb)*NewLeaseTI+RetailRenewalProb*RenewalTI)*$B$21*INDEX(Cum_TILC,1,Assumptions!AE$77)+LeasingCommissionPct*$E$21*$B$21*INDEX(Cum_TILC,1,Assumptions!AE$77),0)+IF(Assumptions!AE$72=$D$22+RetailDowntime,((1-RetailRenewalProb)*NewLeaseTI+RetailRenewalProb*RenewalTI)*$B$22*INDEX(Cum_TILC,1,Assumptions!AE$77)+LeasingCommissionPct*$E$22*$B$22*INDEX(Cum_TILC,1,Assumptions!AE$77),0))*Assumptions!AE$74</f>
        <v/>
      </c>
      <c r="AF41" s="52">
        <f>(IF(Assumptions!AF$72=$D$17+RetailDowntime,((1-RetailRenewalProb)*NewLeaseTI+RetailRenewalProb*RenewalTI)*$B$17*INDEX(Cum_TILC,1,Assumptions!AF$77)+LeasingCommissionPct*$E$17*$B$17*INDEX(Cum_TILC,1,Assumptions!AF$77),0)+IF(Assumptions!AF$72=$D$18+RetailDowntime,((1-RetailRenewalProb)*NewLeaseTI+RetailRenewalProb*RenewalTI)*$B$18*INDEX(Cum_TILC,1,Assumptions!AF$77)+LeasingCommissionPct*$E$18*$B$18*INDEX(Cum_TILC,1,Assumptions!AF$77),0)+IF(Assumptions!AF$72=$D$19+RetailDowntime,((1-RetailRenewalProb)*NewLeaseTI+RetailRenewalProb*RenewalTI)*$B$19*INDEX(Cum_TILC,1,Assumptions!AF$77)+LeasingCommissionPct*$E$19*$B$19*INDEX(Cum_TILC,1,Assumptions!AF$77),0)+IF(Assumptions!AF$72=$D$20+RetailDowntime,((1-RetailRenewalProb)*NewLeaseTI+RetailRenewalProb*RenewalTI)*$B$20*INDEX(Cum_TILC,1,Assumptions!AF$77)+LeasingCommissionPct*$E$20*$B$20*INDEX(Cum_TILC,1,Assumptions!AF$77),0)+IF(Assumptions!AF$72=$D$21+RetailDowntime,((1-RetailRenewalProb)*NewLeaseTI+RetailRenewalProb*RenewalTI)*$B$21*INDEX(Cum_TILC,1,Assumptions!AF$77)+LeasingCommissionPct*$E$21*$B$21*INDEX(Cum_TILC,1,Assumptions!AF$77),0)+IF(Assumptions!AF$72=$D$22+RetailDowntime,((1-RetailRenewalProb)*NewLeaseTI+RetailRenewalProb*RenewalTI)*$B$22*INDEX(Cum_TILC,1,Assumptions!AF$77)+LeasingCommissionPct*$E$22*$B$22*INDEX(Cum_TILC,1,Assumptions!AF$77),0))*Assumptions!AF$74</f>
        <v/>
      </c>
      <c r="AG41" s="52">
        <f>(IF(Assumptions!AG$72=$D$17+RetailDowntime,((1-RetailRenewalProb)*NewLeaseTI+RetailRenewalProb*RenewalTI)*$B$17*INDEX(Cum_TILC,1,Assumptions!AG$77)+LeasingCommissionPct*$E$17*$B$17*INDEX(Cum_TILC,1,Assumptions!AG$77),0)+IF(Assumptions!AG$72=$D$18+RetailDowntime,((1-RetailRenewalProb)*NewLeaseTI+RetailRenewalProb*RenewalTI)*$B$18*INDEX(Cum_TILC,1,Assumptions!AG$77)+LeasingCommissionPct*$E$18*$B$18*INDEX(Cum_TILC,1,Assumptions!AG$77),0)+IF(Assumptions!AG$72=$D$19+RetailDowntime,((1-RetailRenewalProb)*NewLeaseTI+RetailRenewalProb*RenewalTI)*$B$19*INDEX(Cum_TILC,1,Assumptions!AG$77)+LeasingCommissionPct*$E$19*$B$19*INDEX(Cum_TILC,1,Assumptions!AG$77),0)+IF(Assumptions!AG$72=$D$20+RetailDowntime,((1-RetailRenewalProb)*NewLeaseTI+RetailRenewalProb*RenewalTI)*$B$20*INDEX(Cum_TILC,1,Assumptions!AG$77)+LeasingCommissionPct*$E$20*$B$20*INDEX(Cum_TILC,1,Assumptions!AG$77),0)+IF(Assumptions!AG$72=$D$21+RetailDowntime,((1-RetailRenewalProb)*NewLeaseTI+RetailRenewalProb*RenewalTI)*$B$21*INDEX(Cum_TILC,1,Assumptions!AG$77)+LeasingCommissionPct*$E$21*$B$21*INDEX(Cum_TILC,1,Assumptions!AG$77),0)+IF(Assumptions!AG$72=$D$22+RetailDowntime,((1-RetailRenewalProb)*NewLeaseTI+RetailRenewalProb*RenewalTI)*$B$22*INDEX(Cum_TILC,1,Assumptions!AG$77)+LeasingCommissionPct*$E$22*$B$22*INDEX(Cum_TILC,1,Assumptions!AG$77),0))*Assumptions!AG$74</f>
        <v/>
      </c>
      <c r="AH41" s="52">
        <f>(IF(Assumptions!AH$72=$D$17+RetailDowntime,((1-RetailRenewalProb)*NewLeaseTI+RetailRenewalProb*RenewalTI)*$B$17*INDEX(Cum_TILC,1,Assumptions!AH$77)+LeasingCommissionPct*$E$17*$B$17*INDEX(Cum_TILC,1,Assumptions!AH$77),0)+IF(Assumptions!AH$72=$D$18+RetailDowntime,((1-RetailRenewalProb)*NewLeaseTI+RetailRenewalProb*RenewalTI)*$B$18*INDEX(Cum_TILC,1,Assumptions!AH$77)+LeasingCommissionPct*$E$18*$B$18*INDEX(Cum_TILC,1,Assumptions!AH$77),0)+IF(Assumptions!AH$72=$D$19+RetailDowntime,((1-RetailRenewalProb)*NewLeaseTI+RetailRenewalProb*RenewalTI)*$B$19*INDEX(Cum_TILC,1,Assumptions!AH$77)+LeasingCommissionPct*$E$19*$B$19*INDEX(Cum_TILC,1,Assumptions!AH$77),0)+IF(Assumptions!AH$72=$D$20+RetailDowntime,((1-RetailRenewalProb)*NewLeaseTI+RetailRenewalProb*RenewalTI)*$B$20*INDEX(Cum_TILC,1,Assumptions!AH$77)+LeasingCommissionPct*$E$20*$B$20*INDEX(Cum_TILC,1,Assumptions!AH$77),0)+IF(Assumptions!AH$72=$D$21+RetailDowntime,((1-RetailRenewalProb)*NewLeaseTI+RetailRenewalProb*RenewalTI)*$B$21*INDEX(Cum_TILC,1,Assumptions!AH$77)+LeasingCommissionPct*$E$21*$B$21*INDEX(Cum_TILC,1,Assumptions!AH$77),0)+IF(Assumptions!AH$72=$D$22+RetailDowntime,((1-RetailRenewalProb)*NewLeaseTI+RetailRenewalProb*RenewalTI)*$B$22*INDEX(Cum_TILC,1,Assumptions!AH$77)+LeasingCommissionPct*$E$22*$B$22*INDEX(Cum_TILC,1,Assumptions!AH$77),0))*Assumptions!AH$74</f>
        <v/>
      </c>
      <c r="AI41" s="52">
        <f>(IF(Assumptions!AI$72=$D$17+RetailDowntime,((1-RetailRenewalProb)*NewLeaseTI+RetailRenewalProb*RenewalTI)*$B$17*INDEX(Cum_TILC,1,Assumptions!AI$77)+LeasingCommissionPct*$E$17*$B$17*INDEX(Cum_TILC,1,Assumptions!AI$77),0)+IF(Assumptions!AI$72=$D$18+RetailDowntime,((1-RetailRenewalProb)*NewLeaseTI+RetailRenewalProb*RenewalTI)*$B$18*INDEX(Cum_TILC,1,Assumptions!AI$77)+LeasingCommissionPct*$E$18*$B$18*INDEX(Cum_TILC,1,Assumptions!AI$77),0)+IF(Assumptions!AI$72=$D$19+RetailDowntime,((1-RetailRenewalProb)*NewLeaseTI+RetailRenewalProb*RenewalTI)*$B$19*INDEX(Cum_TILC,1,Assumptions!AI$77)+LeasingCommissionPct*$E$19*$B$19*INDEX(Cum_TILC,1,Assumptions!AI$77),0)+IF(Assumptions!AI$72=$D$20+RetailDowntime,((1-RetailRenewalProb)*NewLeaseTI+RetailRenewalProb*RenewalTI)*$B$20*INDEX(Cum_TILC,1,Assumptions!AI$77)+LeasingCommissionPct*$E$20*$B$20*INDEX(Cum_TILC,1,Assumptions!AI$77),0)+IF(Assumptions!AI$72=$D$21+RetailDowntime,((1-RetailRenewalProb)*NewLeaseTI+RetailRenewalProb*RenewalTI)*$B$21*INDEX(Cum_TILC,1,Assumptions!AI$77)+LeasingCommissionPct*$E$21*$B$21*INDEX(Cum_TILC,1,Assumptions!AI$77),0)+IF(Assumptions!AI$72=$D$22+RetailDowntime,((1-RetailRenewalProb)*NewLeaseTI+RetailRenewalProb*RenewalTI)*$B$22*INDEX(Cum_TILC,1,Assumptions!AI$77)+LeasingCommissionPct*$E$22*$B$22*INDEX(Cum_TILC,1,Assumptions!AI$77),0))*Assumptions!AI$74</f>
        <v/>
      </c>
      <c r="AJ41" s="52">
        <f>(IF(Assumptions!AJ$72=$D$17+RetailDowntime,((1-RetailRenewalProb)*NewLeaseTI+RetailRenewalProb*RenewalTI)*$B$17*INDEX(Cum_TILC,1,Assumptions!AJ$77)+LeasingCommissionPct*$E$17*$B$17*INDEX(Cum_TILC,1,Assumptions!AJ$77),0)+IF(Assumptions!AJ$72=$D$18+RetailDowntime,((1-RetailRenewalProb)*NewLeaseTI+RetailRenewalProb*RenewalTI)*$B$18*INDEX(Cum_TILC,1,Assumptions!AJ$77)+LeasingCommissionPct*$E$18*$B$18*INDEX(Cum_TILC,1,Assumptions!AJ$77),0)+IF(Assumptions!AJ$72=$D$19+RetailDowntime,((1-RetailRenewalProb)*NewLeaseTI+RetailRenewalProb*RenewalTI)*$B$19*INDEX(Cum_TILC,1,Assumptions!AJ$77)+LeasingCommissionPct*$E$19*$B$19*INDEX(Cum_TILC,1,Assumptions!AJ$77),0)+IF(Assumptions!AJ$72=$D$20+RetailDowntime,((1-RetailRenewalProb)*NewLeaseTI+RetailRenewalProb*RenewalTI)*$B$20*INDEX(Cum_TILC,1,Assumptions!AJ$77)+LeasingCommissionPct*$E$20*$B$20*INDEX(Cum_TILC,1,Assumptions!AJ$77),0)+IF(Assumptions!AJ$72=$D$21+RetailDowntime,((1-RetailRenewalProb)*NewLeaseTI+RetailRenewalProb*RenewalTI)*$B$21*INDEX(Cum_TILC,1,Assumptions!AJ$77)+LeasingCommissionPct*$E$21*$B$21*INDEX(Cum_TILC,1,Assumptions!AJ$77),0)+IF(Assumptions!AJ$72=$D$22+RetailDowntime,((1-RetailRenewalProb)*NewLeaseTI+RetailRenewalProb*RenewalTI)*$B$22*INDEX(Cum_TILC,1,Assumptions!AJ$77)+LeasingCommissionPct*$E$22*$B$22*INDEX(Cum_TILC,1,Assumptions!AJ$77),0))*Assumptions!AJ$74</f>
        <v/>
      </c>
      <c r="AK41" s="52">
        <f>(IF(Assumptions!AK$72=$D$17+RetailDowntime,((1-RetailRenewalProb)*NewLeaseTI+RetailRenewalProb*RenewalTI)*$B$17*INDEX(Cum_TILC,1,Assumptions!AK$77)+LeasingCommissionPct*$E$17*$B$17*INDEX(Cum_TILC,1,Assumptions!AK$77),0)+IF(Assumptions!AK$72=$D$18+RetailDowntime,((1-RetailRenewalProb)*NewLeaseTI+RetailRenewalProb*RenewalTI)*$B$18*INDEX(Cum_TILC,1,Assumptions!AK$77)+LeasingCommissionPct*$E$18*$B$18*INDEX(Cum_TILC,1,Assumptions!AK$77),0)+IF(Assumptions!AK$72=$D$19+RetailDowntime,((1-RetailRenewalProb)*NewLeaseTI+RetailRenewalProb*RenewalTI)*$B$19*INDEX(Cum_TILC,1,Assumptions!AK$77)+LeasingCommissionPct*$E$19*$B$19*INDEX(Cum_TILC,1,Assumptions!AK$77),0)+IF(Assumptions!AK$72=$D$20+RetailDowntime,((1-RetailRenewalProb)*NewLeaseTI+RetailRenewalProb*RenewalTI)*$B$20*INDEX(Cum_TILC,1,Assumptions!AK$77)+LeasingCommissionPct*$E$20*$B$20*INDEX(Cum_TILC,1,Assumptions!AK$77),0)+IF(Assumptions!AK$72=$D$21+RetailDowntime,((1-RetailRenewalProb)*NewLeaseTI+RetailRenewalProb*RenewalTI)*$B$21*INDEX(Cum_TILC,1,Assumptions!AK$77)+LeasingCommissionPct*$E$21*$B$21*INDEX(Cum_TILC,1,Assumptions!AK$77),0)+IF(Assumptions!AK$72=$D$22+RetailDowntime,((1-RetailRenewalProb)*NewLeaseTI+RetailRenewalProb*RenewalTI)*$B$22*INDEX(Cum_TILC,1,Assumptions!AK$77)+LeasingCommissionPct*$E$22*$B$22*INDEX(Cum_TILC,1,Assumptions!AK$77),0))*Assumptions!AK$74</f>
        <v/>
      </c>
      <c r="AL41" s="52">
        <f>(IF(Assumptions!AL$72=$D$17+RetailDowntime,((1-RetailRenewalProb)*NewLeaseTI+RetailRenewalProb*RenewalTI)*$B$17*INDEX(Cum_TILC,1,Assumptions!AL$77)+LeasingCommissionPct*$E$17*$B$17*INDEX(Cum_TILC,1,Assumptions!AL$77),0)+IF(Assumptions!AL$72=$D$18+RetailDowntime,((1-RetailRenewalProb)*NewLeaseTI+RetailRenewalProb*RenewalTI)*$B$18*INDEX(Cum_TILC,1,Assumptions!AL$77)+LeasingCommissionPct*$E$18*$B$18*INDEX(Cum_TILC,1,Assumptions!AL$77),0)+IF(Assumptions!AL$72=$D$19+RetailDowntime,((1-RetailRenewalProb)*NewLeaseTI+RetailRenewalProb*RenewalTI)*$B$19*INDEX(Cum_TILC,1,Assumptions!AL$77)+LeasingCommissionPct*$E$19*$B$19*INDEX(Cum_TILC,1,Assumptions!AL$77),0)+IF(Assumptions!AL$72=$D$20+RetailDowntime,((1-RetailRenewalProb)*NewLeaseTI+RetailRenewalProb*RenewalTI)*$B$20*INDEX(Cum_TILC,1,Assumptions!AL$77)+LeasingCommissionPct*$E$20*$B$20*INDEX(Cum_TILC,1,Assumptions!AL$77),0)+IF(Assumptions!AL$72=$D$21+RetailDowntime,((1-RetailRenewalProb)*NewLeaseTI+RetailRenewalProb*RenewalTI)*$B$21*INDEX(Cum_TILC,1,Assumptions!AL$77)+LeasingCommissionPct*$E$21*$B$21*INDEX(Cum_TILC,1,Assumptions!AL$77),0)+IF(Assumptions!AL$72=$D$22+RetailDowntime,((1-RetailRenewalProb)*NewLeaseTI+RetailRenewalProb*RenewalTI)*$B$22*INDEX(Cum_TILC,1,Assumptions!AL$77)+LeasingCommissionPct*$E$22*$B$22*INDEX(Cum_TILC,1,Assumptions!AL$77),0))*Assumptions!AL$74</f>
        <v/>
      </c>
      <c r="AM41" s="52">
        <f>(IF(Assumptions!AM$72=$D$17+RetailDowntime,((1-RetailRenewalProb)*NewLeaseTI+RetailRenewalProb*RenewalTI)*$B$17*INDEX(Cum_TILC,1,Assumptions!AM$77)+LeasingCommissionPct*$E$17*$B$17*INDEX(Cum_TILC,1,Assumptions!AM$77),0)+IF(Assumptions!AM$72=$D$18+RetailDowntime,((1-RetailRenewalProb)*NewLeaseTI+RetailRenewalProb*RenewalTI)*$B$18*INDEX(Cum_TILC,1,Assumptions!AM$77)+LeasingCommissionPct*$E$18*$B$18*INDEX(Cum_TILC,1,Assumptions!AM$77),0)+IF(Assumptions!AM$72=$D$19+RetailDowntime,((1-RetailRenewalProb)*NewLeaseTI+RetailRenewalProb*RenewalTI)*$B$19*INDEX(Cum_TILC,1,Assumptions!AM$77)+LeasingCommissionPct*$E$19*$B$19*INDEX(Cum_TILC,1,Assumptions!AM$77),0)+IF(Assumptions!AM$72=$D$20+RetailDowntime,((1-RetailRenewalProb)*NewLeaseTI+RetailRenewalProb*RenewalTI)*$B$20*INDEX(Cum_TILC,1,Assumptions!AM$77)+LeasingCommissionPct*$E$20*$B$20*INDEX(Cum_TILC,1,Assumptions!AM$77),0)+IF(Assumptions!AM$72=$D$21+RetailDowntime,((1-RetailRenewalProb)*NewLeaseTI+RetailRenewalProb*RenewalTI)*$B$21*INDEX(Cum_TILC,1,Assumptions!AM$77)+LeasingCommissionPct*$E$21*$B$21*INDEX(Cum_TILC,1,Assumptions!AM$77),0)+IF(Assumptions!AM$72=$D$22+RetailDowntime,((1-RetailRenewalProb)*NewLeaseTI+RetailRenewalProb*RenewalTI)*$B$22*INDEX(Cum_TILC,1,Assumptions!AM$77)+LeasingCommissionPct*$E$22*$B$22*INDEX(Cum_TILC,1,Assumptions!AM$77),0))*Assumptions!AM$74</f>
        <v/>
      </c>
      <c r="AN41" s="52">
        <f>(IF(Assumptions!AN$72=$D$17+RetailDowntime,((1-RetailRenewalProb)*NewLeaseTI+RetailRenewalProb*RenewalTI)*$B$17*INDEX(Cum_TILC,1,Assumptions!AN$77)+LeasingCommissionPct*$E$17*$B$17*INDEX(Cum_TILC,1,Assumptions!AN$77),0)+IF(Assumptions!AN$72=$D$18+RetailDowntime,((1-RetailRenewalProb)*NewLeaseTI+RetailRenewalProb*RenewalTI)*$B$18*INDEX(Cum_TILC,1,Assumptions!AN$77)+LeasingCommissionPct*$E$18*$B$18*INDEX(Cum_TILC,1,Assumptions!AN$77),0)+IF(Assumptions!AN$72=$D$19+RetailDowntime,((1-RetailRenewalProb)*NewLeaseTI+RetailRenewalProb*RenewalTI)*$B$19*INDEX(Cum_TILC,1,Assumptions!AN$77)+LeasingCommissionPct*$E$19*$B$19*INDEX(Cum_TILC,1,Assumptions!AN$77),0)+IF(Assumptions!AN$72=$D$20+RetailDowntime,((1-RetailRenewalProb)*NewLeaseTI+RetailRenewalProb*RenewalTI)*$B$20*INDEX(Cum_TILC,1,Assumptions!AN$77)+LeasingCommissionPct*$E$20*$B$20*INDEX(Cum_TILC,1,Assumptions!AN$77),0)+IF(Assumptions!AN$72=$D$21+RetailDowntime,((1-RetailRenewalProb)*NewLeaseTI+RetailRenewalProb*RenewalTI)*$B$21*INDEX(Cum_TILC,1,Assumptions!AN$77)+LeasingCommissionPct*$E$21*$B$21*INDEX(Cum_TILC,1,Assumptions!AN$77),0)+IF(Assumptions!AN$72=$D$22+RetailDowntime,((1-RetailRenewalProb)*NewLeaseTI+RetailRenewalProb*RenewalTI)*$B$22*INDEX(Cum_TILC,1,Assumptions!AN$77)+LeasingCommissionPct*$E$22*$B$22*INDEX(Cum_TILC,1,Assumptions!AN$77),0))*Assumptions!AN$74</f>
        <v/>
      </c>
      <c r="AO41" s="52">
        <f>(IF(Assumptions!AO$72=$D$17+RetailDowntime,((1-RetailRenewalProb)*NewLeaseTI+RetailRenewalProb*RenewalTI)*$B$17*INDEX(Cum_TILC,1,Assumptions!AO$77)+LeasingCommissionPct*$E$17*$B$17*INDEX(Cum_TILC,1,Assumptions!AO$77),0)+IF(Assumptions!AO$72=$D$18+RetailDowntime,((1-RetailRenewalProb)*NewLeaseTI+RetailRenewalProb*RenewalTI)*$B$18*INDEX(Cum_TILC,1,Assumptions!AO$77)+LeasingCommissionPct*$E$18*$B$18*INDEX(Cum_TILC,1,Assumptions!AO$77),0)+IF(Assumptions!AO$72=$D$19+RetailDowntime,((1-RetailRenewalProb)*NewLeaseTI+RetailRenewalProb*RenewalTI)*$B$19*INDEX(Cum_TILC,1,Assumptions!AO$77)+LeasingCommissionPct*$E$19*$B$19*INDEX(Cum_TILC,1,Assumptions!AO$77),0)+IF(Assumptions!AO$72=$D$20+RetailDowntime,((1-RetailRenewalProb)*NewLeaseTI+RetailRenewalProb*RenewalTI)*$B$20*INDEX(Cum_TILC,1,Assumptions!AO$77)+LeasingCommissionPct*$E$20*$B$20*INDEX(Cum_TILC,1,Assumptions!AO$77),0)+IF(Assumptions!AO$72=$D$21+RetailDowntime,((1-RetailRenewalProb)*NewLeaseTI+RetailRenewalProb*RenewalTI)*$B$21*INDEX(Cum_TILC,1,Assumptions!AO$77)+LeasingCommissionPct*$E$21*$B$21*INDEX(Cum_TILC,1,Assumptions!AO$77),0)+IF(Assumptions!AO$72=$D$22+RetailDowntime,((1-RetailRenewalProb)*NewLeaseTI+RetailRenewalProb*RenewalTI)*$B$22*INDEX(Cum_TILC,1,Assumptions!AO$77)+LeasingCommissionPct*$E$22*$B$22*INDEX(Cum_TILC,1,Assumptions!AO$77),0))*Assumptions!AO$74</f>
        <v/>
      </c>
      <c r="AP41" s="52">
        <f>(IF(Assumptions!AP$72=$D$17+RetailDowntime,((1-RetailRenewalProb)*NewLeaseTI+RetailRenewalProb*RenewalTI)*$B$17*INDEX(Cum_TILC,1,Assumptions!AP$77)+LeasingCommissionPct*$E$17*$B$17*INDEX(Cum_TILC,1,Assumptions!AP$77),0)+IF(Assumptions!AP$72=$D$18+RetailDowntime,((1-RetailRenewalProb)*NewLeaseTI+RetailRenewalProb*RenewalTI)*$B$18*INDEX(Cum_TILC,1,Assumptions!AP$77)+LeasingCommissionPct*$E$18*$B$18*INDEX(Cum_TILC,1,Assumptions!AP$77),0)+IF(Assumptions!AP$72=$D$19+RetailDowntime,((1-RetailRenewalProb)*NewLeaseTI+RetailRenewalProb*RenewalTI)*$B$19*INDEX(Cum_TILC,1,Assumptions!AP$77)+LeasingCommissionPct*$E$19*$B$19*INDEX(Cum_TILC,1,Assumptions!AP$77),0)+IF(Assumptions!AP$72=$D$20+RetailDowntime,((1-RetailRenewalProb)*NewLeaseTI+RetailRenewalProb*RenewalTI)*$B$20*INDEX(Cum_TILC,1,Assumptions!AP$77)+LeasingCommissionPct*$E$20*$B$20*INDEX(Cum_TILC,1,Assumptions!AP$77),0)+IF(Assumptions!AP$72=$D$21+RetailDowntime,((1-RetailRenewalProb)*NewLeaseTI+RetailRenewalProb*RenewalTI)*$B$21*INDEX(Cum_TILC,1,Assumptions!AP$77)+LeasingCommissionPct*$E$21*$B$21*INDEX(Cum_TILC,1,Assumptions!AP$77),0)+IF(Assumptions!AP$72=$D$22+RetailDowntime,((1-RetailRenewalProb)*NewLeaseTI+RetailRenewalProb*RenewalTI)*$B$22*INDEX(Cum_TILC,1,Assumptions!AP$77)+LeasingCommissionPct*$E$22*$B$22*INDEX(Cum_TILC,1,Assumptions!AP$77),0))*Assumptions!AP$74</f>
        <v/>
      </c>
      <c r="AQ41" s="52">
        <f>(IF(Assumptions!AQ$72=$D$17+RetailDowntime,((1-RetailRenewalProb)*NewLeaseTI+RetailRenewalProb*RenewalTI)*$B$17*INDEX(Cum_TILC,1,Assumptions!AQ$77)+LeasingCommissionPct*$E$17*$B$17*INDEX(Cum_TILC,1,Assumptions!AQ$77),0)+IF(Assumptions!AQ$72=$D$18+RetailDowntime,((1-RetailRenewalProb)*NewLeaseTI+RetailRenewalProb*RenewalTI)*$B$18*INDEX(Cum_TILC,1,Assumptions!AQ$77)+LeasingCommissionPct*$E$18*$B$18*INDEX(Cum_TILC,1,Assumptions!AQ$77),0)+IF(Assumptions!AQ$72=$D$19+RetailDowntime,((1-RetailRenewalProb)*NewLeaseTI+RetailRenewalProb*RenewalTI)*$B$19*INDEX(Cum_TILC,1,Assumptions!AQ$77)+LeasingCommissionPct*$E$19*$B$19*INDEX(Cum_TILC,1,Assumptions!AQ$77),0)+IF(Assumptions!AQ$72=$D$20+RetailDowntime,((1-RetailRenewalProb)*NewLeaseTI+RetailRenewalProb*RenewalTI)*$B$20*INDEX(Cum_TILC,1,Assumptions!AQ$77)+LeasingCommissionPct*$E$20*$B$20*INDEX(Cum_TILC,1,Assumptions!AQ$77),0)+IF(Assumptions!AQ$72=$D$21+RetailDowntime,((1-RetailRenewalProb)*NewLeaseTI+RetailRenewalProb*RenewalTI)*$B$21*INDEX(Cum_TILC,1,Assumptions!AQ$77)+LeasingCommissionPct*$E$21*$B$21*INDEX(Cum_TILC,1,Assumptions!AQ$77),0)+IF(Assumptions!AQ$72=$D$22+RetailDowntime,((1-RetailRenewalProb)*NewLeaseTI+RetailRenewalProb*RenewalTI)*$B$22*INDEX(Cum_TILC,1,Assumptions!AQ$77)+LeasingCommissionPct*$E$22*$B$22*INDEX(Cum_TILC,1,Assumptions!AQ$77),0))*Assumptions!AQ$74</f>
        <v/>
      </c>
      <c r="AR41" s="52">
        <f>(IF(Assumptions!AR$72=$D$17+RetailDowntime,((1-RetailRenewalProb)*NewLeaseTI+RetailRenewalProb*RenewalTI)*$B$17*INDEX(Cum_TILC,1,Assumptions!AR$77)+LeasingCommissionPct*$E$17*$B$17*INDEX(Cum_TILC,1,Assumptions!AR$77),0)+IF(Assumptions!AR$72=$D$18+RetailDowntime,((1-RetailRenewalProb)*NewLeaseTI+RetailRenewalProb*RenewalTI)*$B$18*INDEX(Cum_TILC,1,Assumptions!AR$77)+LeasingCommissionPct*$E$18*$B$18*INDEX(Cum_TILC,1,Assumptions!AR$77),0)+IF(Assumptions!AR$72=$D$19+RetailDowntime,((1-RetailRenewalProb)*NewLeaseTI+RetailRenewalProb*RenewalTI)*$B$19*INDEX(Cum_TILC,1,Assumptions!AR$77)+LeasingCommissionPct*$E$19*$B$19*INDEX(Cum_TILC,1,Assumptions!AR$77),0)+IF(Assumptions!AR$72=$D$20+RetailDowntime,((1-RetailRenewalProb)*NewLeaseTI+RetailRenewalProb*RenewalTI)*$B$20*INDEX(Cum_TILC,1,Assumptions!AR$77)+LeasingCommissionPct*$E$20*$B$20*INDEX(Cum_TILC,1,Assumptions!AR$77),0)+IF(Assumptions!AR$72=$D$21+RetailDowntime,((1-RetailRenewalProb)*NewLeaseTI+RetailRenewalProb*RenewalTI)*$B$21*INDEX(Cum_TILC,1,Assumptions!AR$77)+LeasingCommissionPct*$E$21*$B$21*INDEX(Cum_TILC,1,Assumptions!AR$77),0)+IF(Assumptions!AR$72=$D$22+RetailDowntime,((1-RetailRenewalProb)*NewLeaseTI+RetailRenewalProb*RenewalTI)*$B$22*INDEX(Cum_TILC,1,Assumptions!AR$77)+LeasingCommissionPct*$E$22*$B$22*INDEX(Cum_TILC,1,Assumptions!AR$77),0))*Assumptions!AR$74</f>
        <v/>
      </c>
      <c r="AS41" s="52">
        <f>(IF(Assumptions!AS$72=$D$17+RetailDowntime,((1-RetailRenewalProb)*NewLeaseTI+RetailRenewalProb*RenewalTI)*$B$17*INDEX(Cum_TILC,1,Assumptions!AS$77)+LeasingCommissionPct*$E$17*$B$17*INDEX(Cum_TILC,1,Assumptions!AS$77),0)+IF(Assumptions!AS$72=$D$18+RetailDowntime,((1-RetailRenewalProb)*NewLeaseTI+RetailRenewalProb*RenewalTI)*$B$18*INDEX(Cum_TILC,1,Assumptions!AS$77)+LeasingCommissionPct*$E$18*$B$18*INDEX(Cum_TILC,1,Assumptions!AS$77),0)+IF(Assumptions!AS$72=$D$19+RetailDowntime,((1-RetailRenewalProb)*NewLeaseTI+RetailRenewalProb*RenewalTI)*$B$19*INDEX(Cum_TILC,1,Assumptions!AS$77)+LeasingCommissionPct*$E$19*$B$19*INDEX(Cum_TILC,1,Assumptions!AS$77),0)+IF(Assumptions!AS$72=$D$20+RetailDowntime,((1-RetailRenewalProb)*NewLeaseTI+RetailRenewalProb*RenewalTI)*$B$20*INDEX(Cum_TILC,1,Assumptions!AS$77)+LeasingCommissionPct*$E$20*$B$20*INDEX(Cum_TILC,1,Assumptions!AS$77),0)+IF(Assumptions!AS$72=$D$21+RetailDowntime,((1-RetailRenewalProb)*NewLeaseTI+RetailRenewalProb*RenewalTI)*$B$21*INDEX(Cum_TILC,1,Assumptions!AS$77)+LeasingCommissionPct*$E$21*$B$21*INDEX(Cum_TILC,1,Assumptions!AS$77),0)+IF(Assumptions!AS$72=$D$22+RetailDowntime,((1-RetailRenewalProb)*NewLeaseTI+RetailRenewalProb*RenewalTI)*$B$22*INDEX(Cum_TILC,1,Assumptions!AS$77)+LeasingCommissionPct*$E$22*$B$22*INDEX(Cum_TILC,1,Assumptions!AS$77),0))*Assumptions!AS$74</f>
        <v/>
      </c>
      <c r="AT41" s="52">
        <f>(IF(Assumptions!AT$72=$D$17+RetailDowntime,((1-RetailRenewalProb)*NewLeaseTI+RetailRenewalProb*RenewalTI)*$B$17*INDEX(Cum_TILC,1,Assumptions!AT$77)+LeasingCommissionPct*$E$17*$B$17*INDEX(Cum_TILC,1,Assumptions!AT$77),0)+IF(Assumptions!AT$72=$D$18+RetailDowntime,((1-RetailRenewalProb)*NewLeaseTI+RetailRenewalProb*RenewalTI)*$B$18*INDEX(Cum_TILC,1,Assumptions!AT$77)+LeasingCommissionPct*$E$18*$B$18*INDEX(Cum_TILC,1,Assumptions!AT$77),0)+IF(Assumptions!AT$72=$D$19+RetailDowntime,((1-RetailRenewalProb)*NewLeaseTI+RetailRenewalProb*RenewalTI)*$B$19*INDEX(Cum_TILC,1,Assumptions!AT$77)+LeasingCommissionPct*$E$19*$B$19*INDEX(Cum_TILC,1,Assumptions!AT$77),0)+IF(Assumptions!AT$72=$D$20+RetailDowntime,((1-RetailRenewalProb)*NewLeaseTI+RetailRenewalProb*RenewalTI)*$B$20*INDEX(Cum_TILC,1,Assumptions!AT$77)+LeasingCommissionPct*$E$20*$B$20*INDEX(Cum_TILC,1,Assumptions!AT$77),0)+IF(Assumptions!AT$72=$D$21+RetailDowntime,((1-RetailRenewalProb)*NewLeaseTI+RetailRenewalProb*RenewalTI)*$B$21*INDEX(Cum_TILC,1,Assumptions!AT$77)+LeasingCommissionPct*$E$21*$B$21*INDEX(Cum_TILC,1,Assumptions!AT$77),0)+IF(Assumptions!AT$72=$D$22+RetailDowntime,((1-RetailRenewalProb)*NewLeaseTI+RetailRenewalProb*RenewalTI)*$B$22*INDEX(Cum_TILC,1,Assumptions!AT$77)+LeasingCommissionPct*$E$22*$B$22*INDEX(Cum_TILC,1,Assumptions!AT$77),0))*Assumptions!AT$74</f>
        <v/>
      </c>
      <c r="AU41" s="52">
        <f>(IF(Assumptions!AU$72=$D$17+RetailDowntime,((1-RetailRenewalProb)*NewLeaseTI+RetailRenewalProb*RenewalTI)*$B$17*INDEX(Cum_TILC,1,Assumptions!AU$77)+LeasingCommissionPct*$E$17*$B$17*INDEX(Cum_TILC,1,Assumptions!AU$77),0)+IF(Assumptions!AU$72=$D$18+RetailDowntime,((1-RetailRenewalProb)*NewLeaseTI+RetailRenewalProb*RenewalTI)*$B$18*INDEX(Cum_TILC,1,Assumptions!AU$77)+LeasingCommissionPct*$E$18*$B$18*INDEX(Cum_TILC,1,Assumptions!AU$77),0)+IF(Assumptions!AU$72=$D$19+RetailDowntime,((1-RetailRenewalProb)*NewLeaseTI+RetailRenewalProb*RenewalTI)*$B$19*INDEX(Cum_TILC,1,Assumptions!AU$77)+LeasingCommissionPct*$E$19*$B$19*INDEX(Cum_TILC,1,Assumptions!AU$77),0)+IF(Assumptions!AU$72=$D$20+RetailDowntime,((1-RetailRenewalProb)*NewLeaseTI+RetailRenewalProb*RenewalTI)*$B$20*INDEX(Cum_TILC,1,Assumptions!AU$77)+LeasingCommissionPct*$E$20*$B$20*INDEX(Cum_TILC,1,Assumptions!AU$77),0)+IF(Assumptions!AU$72=$D$21+RetailDowntime,((1-RetailRenewalProb)*NewLeaseTI+RetailRenewalProb*RenewalTI)*$B$21*INDEX(Cum_TILC,1,Assumptions!AU$77)+LeasingCommissionPct*$E$21*$B$21*INDEX(Cum_TILC,1,Assumptions!AU$77),0)+IF(Assumptions!AU$72=$D$22+RetailDowntime,((1-RetailRenewalProb)*NewLeaseTI+RetailRenewalProb*RenewalTI)*$B$22*INDEX(Cum_TILC,1,Assumptions!AU$77)+LeasingCommissionPct*$E$22*$B$22*INDEX(Cum_TILC,1,Assumptions!AU$77),0))*Assumptions!AU$74</f>
        <v/>
      </c>
      <c r="AV41" s="52">
        <f>(IF(Assumptions!AV$72=$D$17+RetailDowntime,((1-RetailRenewalProb)*NewLeaseTI+RetailRenewalProb*RenewalTI)*$B$17*INDEX(Cum_TILC,1,Assumptions!AV$77)+LeasingCommissionPct*$E$17*$B$17*INDEX(Cum_TILC,1,Assumptions!AV$77),0)+IF(Assumptions!AV$72=$D$18+RetailDowntime,((1-RetailRenewalProb)*NewLeaseTI+RetailRenewalProb*RenewalTI)*$B$18*INDEX(Cum_TILC,1,Assumptions!AV$77)+LeasingCommissionPct*$E$18*$B$18*INDEX(Cum_TILC,1,Assumptions!AV$77),0)+IF(Assumptions!AV$72=$D$19+RetailDowntime,((1-RetailRenewalProb)*NewLeaseTI+RetailRenewalProb*RenewalTI)*$B$19*INDEX(Cum_TILC,1,Assumptions!AV$77)+LeasingCommissionPct*$E$19*$B$19*INDEX(Cum_TILC,1,Assumptions!AV$77),0)+IF(Assumptions!AV$72=$D$20+RetailDowntime,((1-RetailRenewalProb)*NewLeaseTI+RetailRenewalProb*RenewalTI)*$B$20*INDEX(Cum_TILC,1,Assumptions!AV$77)+LeasingCommissionPct*$E$20*$B$20*INDEX(Cum_TILC,1,Assumptions!AV$77),0)+IF(Assumptions!AV$72=$D$21+RetailDowntime,((1-RetailRenewalProb)*NewLeaseTI+RetailRenewalProb*RenewalTI)*$B$21*INDEX(Cum_TILC,1,Assumptions!AV$77)+LeasingCommissionPct*$E$21*$B$21*INDEX(Cum_TILC,1,Assumptions!AV$77),0)+IF(Assumptions!AV$72=$D$22+RetailDowntime,((1-RetailRenewalProb)*NewLeaseTI+RetailRenewalProb*RenewalTI)*$B$22*INDEX(Cum_TILC,1,Assumptions!AV$77)+LeasingCommissionPct*$E$22*$B$22*INDEX(Cum_TILC,1,Assumptions!AV$77),0))*Assumptions!AV$74</f>
        <v/>
      </c>
      <c r="AW41" s="52">
        <f>(IF(Assumptions!AW$72=$D$17+RetailDowntime,((1-RetailRenewalProb)*NewLeaseTI+RetailRenewalProb*RenewalTI)*$B$17*INDEX(Cum_TILC,1,Assumptions!AW$77)+LeasingCommissionPct*$E$17*$B$17*INDEX(Cum_TILC,1,Assumptions!AW$77),0)+IF(Assumptions!AW$72=$D$18+RetailDowntime,((1-RetailRenewalProb)*NewLeaseTI+RetailRenewalProb*RenewalTI)*$B$18*INDEX(Cum_TILC,1,Assumptions!AW$77)+LeasingCommissionPct*$E$18*$B$18*INDEX(Cum_TILC,1,Assumptions!AW$77),0)+IF(Assumptions!AW$72=$D$19+RetailDowntime,((1-RetailRenewalProb)*NewLeaseTI+RetailRenewalProb*RenewalTI)*$B$19*INDEX(Cum_TILC,1,Assumptions!AW$77)+LeasingCommissionPct*$E$19*$B$19*INDEX(Cum_TILC,1,Assumptions!AW$77),0)+IF(Assumptions!AW$72=$D$20+RetailDowntime,((1-RetailRenewalProb)*NewLeaseTI+RetailRenewalProb*RenewalTI)*$B$20*INDEX(Cum_TILC,1,Assumptions!AW$77)+LeasingCommissionPct*$E$20*$B$20*INDEX(Cum_TILC,1,Assumptions!AW$77),0)+IF(Assumptions!AW$72=$D$21+RetailDowntime,((1-RetailRenewalProb)*NewLeaseTI+RetailRenewalProb*RenewalTI)*$B$21*INDEX(Cum_TILC,1,Assumptions!AW$77)+LeasingCommissionPct*$E$21*$B$21*INDEX(Cum_TILC,1,Assumptions!AW$77),0)+IF(Assumptions!AW$72=$D$22+RetailDowntime,((1-RetailRenewalProb)*NewLeaseTI+RetailRenewalProb*RenewalTI)*$B$22*INDEX(Cum_TILC,1,Assumptions!AW$77)+LeasingCommissionPct*$E$22*$B$22*INDEX(Cum_TILC,1,Assumptions!AW$77),0))*Assumptions!AW$74</f>
        <v/>
      </c>
      <c r="AX41" s="52">
        <f>(IF(Assumptions!AX$72=$D$17+RetailDowntime,((1-RetailRenewalProb)*NewLeaseTI+RetailRenewalProb*RenewalTI)*$B$17*INDEX(Cum_TILC,1,Assumptions!AX$77)+LeasingCommissionPct*$E$17*$B$17*INDEX(Cum_TILC,1,Assumptions!AX$77),0)+IF(Assumptions!AX$72=$D$18+RetailDowntime,((1-RetailRenewalProb)*NewLeaseTI+RetailRenewalProb*RenewalTI)*$B$18*INDEX(Cum_TILC,1,Assumptions!AX$77)+LeasingCommissionPct*$E$18*$B$18*INDEX(Cum_TILC,1,Assumptions!AX$77),0)+IF(Assumptions!AX$72=$D$19+RetailDowntime,((1-RetailRenewalProb)*NewLeaseTI+RetailRenewalProb*RenewalTI)*$B$19*INDEX(Cum_TILC,1,Assumptions!AX$77)+LeasingCommissionPct*$E$19*$B$19*INDEX(Cum_TILC,1,Assumptions!AX$77),0)+IF(Assumptions!AX$72=$D$20+RetailDowntime,((1-RetailRenewalProb)*NewLeaseTI+RetailRenewalProb*RenewalTI)*$B$20*INDEX(Cum_TILC,1,Assumptions!AX$77)+LeasingCommissionPct*$E$20*$B$20*INDEX(Cum_TILC,1,Assumptions!AX$77),0)+IF(Assumptions!AX$72=$D$21+RetailDowntime,((1-RetailRenewalProb)*NewLeaseTI+RetailRenewalProb*RenewalTI)*$B$21*INDEX(Cum_TILC,1,Assumptions!AX$77)+LeasingCommissionPct*$E$21*$B$21*INDEX(Cum_TILC,1,Assumptions!AX$77),0)+IF(Assumptions!AX$72=$D$22+RetailDowntime,((1-RetailRenewalProb)*NewLeaseTI+RetailRenewalProb*RenewalTI)*$B$22*INDEX(Cum_TILC,1,Assumptions!AX$77)+LeasingCommissionPct*$E$22*$B$22*INDEX(Cum_TILC,1,Assumptions!AX$77),0))*Assumptions!AX$74</f>
        <v/>
      </c>
      <c r="AY41" s="52">
        <f>(IF(Assumptions!AY$72=$D$17+RetailDowntime,((1-RetailRenewalProb)*NewLeaseTI+RetailRenewalProb*RenewalTI)*$B$17*INDEX(Cum_TILC,1,Assumptions!AY$77)+LeasingCommissionPct*$E$17*$B$17*INDEX(Cum_TILC,1,Assumptions!AY$77),0)+IF(Assumptions!AY$72=$D$18+RetailDowntime,((1-RetailRenewalProb)*NewLeaseTI+RetailRenewalProb*RenewalTI)*$B$18*INDEX(Cum_TILC,1,Assumptions!AY$77)+LeasingCommissionPct*$E$18*$B$18*INDEX(Cum_TILC,1,Assumptions!AY$77),0)+IF(Assumptions!AY$72=$D$19+RetailDowntime,((1-RetailRenewalProb)*NewLeaseTI+RetailRenewalProb*RenewalTI)*$B$19*INDEX(Cum_TILC,1,Assumptions!AY$77)+LeasingCommissionPct*$E$19*$B$19*INDEX(Cum_TILC,1,Assumptions!AY$77),0)+IF(Assumptions!AY$72=$D$20+RetailDowntime,((1-RetailRenewalProb)*NewLeaseTI+RetailRenewalProb*RenewalTI)*$B$20*INDEX(Cum_TILC,1,Assumptions!AY$77)+LeasingCommissionPct*$E$20*$B$20*INDEX(Cum_TILC,1,Assumptions!AY$77),0)+IF(Assumptions!AY$72=$D$21+RetailDowntime,((1-RetailRenewalProb)*NewLeaseTI+RetailRenewalProb*RenewalTI)*$B$21*INDEX(Cum_TILC,1,Assumptions!AY$77)+LeasingCommissionPct*$E$21*$B$21*INDEX(Cum_TILC,1,Assumptions!AY$77),0)+IF(Assumptions!AY$72=$D$22+RetailDowntime,((1-RetailRenewalProb)*NewLeaseTI+RetailRenewalProb*RenewalTI)*$B$22*INDEX(Cum_TILC,1,Assumptions!AY$77)+LeasingCommissionPct*$E$22*$B$22*INDEX(Cum_TILC,1,Assumptions!AY$77),0))*Assumptions!AY$74</f>
        <v/>
      </c>
      <c r="AZ41" s="52">
        <f>(IF(Assumptions!AZ$72=$D$17+RetailDowntime,((1-RetailRenewalProb)*NewLeaseTI+RetailRenewalProb*RenewalTI)*$B$17*INDEX(Cum_TILC,1,Assumptions!AZ$77)+LeasingCommissionPct*$E$17*$B$17*INDEX(Cum_TILC,1,Assumptions!AZ$77),0)+IF(Assumptions!AZ$72=$D$18+RetailDowntime,((1-RetailRenewalProb)*NewLeaseTI+RetailRenewalProb*RenewalTI)*$B$18*INDEX(Cum_TILC,1,Assumptions!AZ$77)+LeasingCommissionPct*$E$18*$B$18*INDEX(Cum_TILC,1,Assumptions!AZ$77),0)+IF(Assumptions!AZ$72=$D$19+RetailDowntime,((1-RetailRenewalProb)*NewLeaseTI+RetailRenewalProb*RenewalTI)*$B$19*INDEX(Cum_TILC,1,Assumptions!AZ$77)+LeasingCommissionPct*$E$19*$B$19*INDEX(Cum_TILC,1,Assumptions!AZ$77),0)+IF(Assumptions!AZ$72=$D$20+RetailDowntime,((1-RetailRenewalProb)*NewLeaseTI+RetailRenewalProb*RenewalTI)*$B$20*INDEX(Cum_TILC,1,Assumptions!AZ$77)+LeasingCommissionPct*$E$20*$B$20*INDEX(Cum_TILC,1,Assumptions!AZ$77),0)+IF(Assumptions!AZ$72=$D$21+RetailDowntime,((1-RetailRenewalProb)*NewLeaseTI+RetailRenewalProb*RenewalTI)*$B$21*INDEX(Cum_TILC,1,Assumptions!AZ$77)+LeasingCommissionPct*$E$21*$B$21*INDEX(Cum_TILC,1,Assumptions!AZ$77),0)+IF(Assumptions!AZ$72=$D$22+RetailDowntime,((1-RetailRenewalProb)*NewLeaseTI+RetailRenewalProb*RenewalTI)*$B$22*INDEX(Cum_TILC,1,Assumptions!AZ$77)+LeasingCommissionPct*$E$22*$B$22*INDEX(Cum_TILC,1,Assumptions!AZ$77),0))*Assumptions!AZ$74</f>
        <v/>
      </c>
      <c r="BA41" s="52">
        <f>(IF(Assumptions!BA$72=$D$17+RetailDowntime,((1-RetailRenewalProb)*NewLeaseTI+RetailRenewalProb*RenewalTI)*$B$17*INDEX(Cum_TILC,1,Assumptions!BA$77)+LeasingCommissionPct*$E$17*$B$17*INDEX(Cum_TILC,1,Assumptions!BA$77),0)+IF(Assumptions!BA$72=$D$18+RetailDowntime,((1-RetailRenewalProb)*NewLeaseTI+RetailRenewalProb*RenewalTI)*$B$18*INDEX(Cum_TILC,1,Assumptions!BA$77)+LeasingCommissionPct*$E$18*$B$18*INDEX(Cum_TILC,1,Assumptions!BA$77),0)+IF(Assumptions!BA$72=$D$19+RetailDowntime,((1-RetailRenewalProb)*NewLeaseTI+RetailRenewalProb*RenewalTI)*$B$19*INDEX(Cum_TILC,1,Assumptions!BA$77)+LeasingCommissionPct*$E$19*$B$19*INDEX(Cum_TILC,1,Assumptions!BA$77),0)+IF(Assumptions!BA$72=$D$20+RetailDowntime,((1-RetailRenewalProb)*NewLeaseTI+RetailRenewalProb*RenewalTI)*$B$20*INDEX(Cum_TILC,1,Assumptions!BA$77)+LeasingCommissionPct*$E$20*$B$20*INDEX(Cum_TILC,1,Assumptions!BA$77),0)+IF(Assumptions!BA$72=$D$21+RetailDowntime,((1-RetailRenewalProb)*NewLeaseTI+RetailRenewalProb*RenewalTI)*$B$21*INDEX(Cum_TILC,1,Assumptions!BA$77)+LeasingCommissionPct*$E$21*$B$21*INDEX(Cum_TILC,1,Assumptions!BA$77),0)+IF(Assumptions!BA$72=$D$22+RetailDowntime,((1-RetailRenewalProb)*NewLeaseTI+RetailRenewalProb*RenewalTI)*$B$22*INDEX(Cum_TILC,1,Assumptions!BA$77)+LeasingCommissionPct*$E$22*$B$22*INDEX(Cum_TILC,1,Assumptions!BA$77),0))*Assumptions!BA$74</f>
        <v/>
      </c>
      <c r="BB41" s="52">
        <f>(IF(Assumptions!BB$72=$D$17+RetailDowntime,((1-RetailRenewalProb)*NewLeaseTI+RetailRenewalProb*RenewalTI)*$B$17*INDEX(Cum_TILC,1,Assumptions!BB$77)+LeasingCommissionPct*$E$17*$B$17*INDEX(Cum_TILC,1,Assumptions!BB$77),0)+IF(Assumptions!BB$72=$D$18+RetailDowntime,((1-RetailRenewalProb)*NewLeaseTI+RetailRenewalProb*RenewalTI)*$B$18*INDEX(Cum_TILC,1,Assumptions!BB$77)+LeasingCommissionPct*$E$18*$B$18*INDEX(Cum_TILC,1,Assumptions!BB$77),0)+IF(Assumptions!BB$72=$D$19+RetailDowntime,((1-RetailRenewalProb)*NewLeaseTI+RetailRenewalProb*RenewalTI)*$B$19*INDEX(Cum_TILC,1,Assumptions!BB$77)+LeasingCommissionPct*$E$19*$B$19*INDEX(Cum_TILC,1,Assumptions!BB$77),0)+IF(Assumptions!BB$72=$D$20+RetailDowntime,((1-RetailRenewalProb)*NewLeaseTI+RetailRenewalProb*RenewalTI)*$B$20*INDEX(Cum_TILC,1,Assumptions!BB$77)+LeasingCommissionPct*$E$20*$B$20*INDEX(Cum_TILC,1,Assumptions!BB$77),0)+IF(Assumptions!BB$72=$D$21+RetailDowntime,((1-RetailRenewalProb)*NewLeaseTI+RetailRenewalProb*RenewalTI)*$B$21*INDEX(Cum_TILC,1,Assumptions!BB$77)+LeasingCommissionPct*$E$21*$B$21*INDEX(Cum_TILC,1,Assumptions!BB$77),0)+IF(Assumptions!BB$72=$D$22+RetailDowntime,((1-RetailRenewalProb)*NewLeaseTI+RetailRenewalProb*RenewalTI)*$B$22*INDEX(Cum_TILC,1,Assumptions!BB$77)+LeasingCommissionPct*$E$22*$B$22*INDEX(Cum_TILC,1,Assumptions!BB$77),0))*Assumptions!BB$74</f>
        <v/>
      </c>
      <c r="BC41" s="52">
        <f>(IF(Assumptions!BC$72=$D$17+RetailDowntime,((1-RetailRenewalProb)*NewLeaseTI+RetailRenewalProb*RenewalTI)*$B$17*INDEX(Cum_TILC,1,Assumptions!BC$77)+LeasingCommissionPct*$E$17*$B$17*INDEX(Cum_TILC,1,Assumptions!BC$77),0)+IF(Assumptions!BC$72=$D$18+RetailDowntime,((1-RetailRenewalProb)*NewLeaseTI+RetailRenewalProb*RenewalTI)*$B$18*INDEX(Cum_TILC,1,Assumptions!BC$77)+LeasingCommissionPct*$E$18*$B$18*INDEX(Cum_TILC,1,Assumptions!BC$77),0)+IF(Assumptions!BC$72=$D$19+RetailDowntime,((1-RetailRenewalProb)*NewLeaseTI+RetailRenewalProb*RenewalTI)*$B$19*INDEX(Cum_TILC,1,Assumptions!BC$77)+LeasingCommissionPct*$E$19*$B$19*INDEX(Cum_TILC,1,Assumptions!BC$77),0)+IF(Assumptions!BC$72=$D$20+RetailDowntime,((1-RetailRenewalProb)*NewLeaseTI+RetailRenewalProb*RenewalTI)*$B$20*INDEX(Cum_TILC,1,Assumptions!BC$77)+LeasingCommissionPct*$E$20*$B$20*INDEX(Cum_TILC,1,Assumptions!BC$77),0)+IF(Assumptions!BC$72=$D$21+RetailDowntime,((1-RetailRenewalProb)*NewLeaseTI+RetailRenewalProb*RenewalTI)*$B$21*INDEX(Cum_TILC,1,Assumptions!BC$77)+LeasingCommissionPct*$E$21*$B$21*INDEX(Cum_TILC,1,Assumptions!BC$77),0)+IF(Assumptions!BC$72=$D$22+RetailDowntime,((1-RetailRenewalProb)*NewLeaseTI+RetailRenewalProb*RenewalTI)*$B$22*INDEX(Cum_TILC,1,Assumptions!BC$77)+LeasingCommissionPct*$E$22*$B$22*INDEX(Cum_TILC,1,Assumptions!BC$77),0))*Assumptions!BC$74</f>
        <v/>
      </c>
      <c r="BD41" s="52">
        <f>(IF(Assumptions!BD$72=$D$17+RetailDowntime,((1-RetailRenewalProb)*NewLeaseTI+RetailRenewalProb*RenewalTI)*$B$17*INDEX(Cum_TILC,1,Assumptions!BD$77)+LeasingCommissionPct*$E$17*$B$17*INDEX(Cum_TILC,1,Assumptions!BD$77),0)+IF(Assumptions!BD$72=$D$18+RetailDowntime,((1-RetailRenewalProb)*NewLeaseTI+RetailRenewalProb*RenewalTI)*$B$18*INDEX(Cum_TILC,1,Assumptions!BD$77)+LeasingCommissionPct*$E$18*$B$18*INDEX(Cum_TILC,1,Assumptions!BD$77),0)+IF(Assumptions!BD$72=$D$19+RetailDowntime,((1-RetailRenewalProb)*NewLeaseTI+RetailRenewalProb*RenewalTI)*$B$19*INDEX(Cum_TILC,1,Assumptions!BD$77)+LeasingCommissionPct*$E$19*$B$19*INDEX(Cum_TILC,1,Assumptions!BD$77),0)+IF(Assumptions!BD$72=$D$20+RetailDowntime,((1-RetailRenewalProb)*NewLeaseTI+RetailRenewalProb*RenewalTI)*$B$20*INDEX(Cum_TILC,1,Assumptions!BD$77)+LeasingCommissionPct*$E$20*$B$20*INDEX(Cum_TILC,1,Assumptions!BD$77),0)+IF(Assumptions!BD$72=$D$21+RetailDowntime,((1-RetailRenewalProb)*NewLeaseTI+RetailRenewalProb*RenewalTI)*$B$21*INDEX(Cum_TILC,1,Assumptions!BD$77)+LeasingCommissionPct*$E$21*$B$21*INDEX(Cum_TILC,1,Assumptions!BD$77),0)+IF(Assumptions!BD$72=$D$22+RetailDowntime,((1-RetailRenewalProb)*NewLeaseTI+RetailRenewalProb*RenewalTI)*$B$22*INDEX(Cum_TILC,1,Assumptions!BD$77)+LeasingCommissionPct*$E$22*$B$22*INDEX(Cum_TILC,1,Assumptions!BD$77),0))*Assumptions!BD$74</f>
        <v/>
      </c>
      <c r="BE41" s="52">
        <f>(IF(Assumptions!BE$72=$D$17+RetailDowntime,((1-RetailRenewalProb)*NewLeaseTI+RetailRenewalProb*RenewalTI)*$B$17*INDEX(Cum_TILC,1,Assumptions!BE$77)+LeasingCommissionPct*$E$17*$B$17*INDEX(Cum_TILC,1,Assumptions!BE$77),0)+IF(Assumptions!BE$72=$D$18+RetailDowntime,((1-RetailRenewalProb)*NewLeaseTI+RetailRenewalProb*RenewalTI)*$B$18*INDEX(Cum_TILC,1,Assumptions!BE$77)+LeasingCommissionPct*$E$18*$B$18*INDEX(Cum_TILC,1,Assumptions!BE$77),0)+IF(Assumptions!BE$72=$D$19+RetailDowntime,((1-RetailRenewalProb)*NewLeaseTI+RetailRenewalProb*RenewalTI)*$B$19*INDEX(Cum_TILC,1,Assumptions!BE$77)+LeasingCommissionPct*$E$19*$B$19*INDEX(Cum_TILC,1,Assumptions!BE$77),0)+IF(Assumptions!BE$72=$D$20+RetailDowntime,((1-RetailRenewalProb)*NewLeaseTI+RetailRenewalProb*RenewalTI)*$B$20*INDEX(Cum_TILC,1,Assumptions!BE$77)+LeasingCommissionPct*$E$20*$B$20*INDEX(Cum_TILC,1,Assumptions!BE$77),0)+IF(Assumptions!BE$72=$D$21+RetailDowntime,((1-RetailRenewalProb)*NewLeaseTI+RetailRenewalProb*RenewalTI)*$B$21*INDEX(Cum_TILC,1,Assumptions!BE$77)+LeasingCommissionPct*$E$21*$B$21*INDEX(Cum_TILC,1,Assumptions!BE$77),0)+IF(Assumptions!BE$72=$D$22+RetailDowntime,((1-RetailRenewalProb)*NewLeaseTI+RetailRenewalProb*RenewalTI)*$B$22*INDEX(Cum_TILC,1,Assumptions!BE$77)+LeasingCommissionPct*$E$22*$B$22*INDEX(Cum_TILC,1,Assumptions!BE$77),0))*Assumptions!BE$74</f>
        <v/>
      </c>
      <c r="BF41" s="52">
        <f>(IF(Assumptions!BF$72=$D$17+RetailDowntime,((1-RetailRenewalProb)*NewLeaseTI+RetailRenewalProb*RenewalTI)*$B$17*INDEX(Cum_TILC,1,Assumptions!BF$77)+LeasingCommissionPct*$E$17*$B$17*INDEX(Cum_TILC,1,Assumptions!BF$77),0)+IF(Assumptions!BF$72=$D$18+RetailDowntime,((1-RetailRenewalProb)*NewLeaseTI+RetailRenewalProb*RenewalTI)*$B$18*INDEX(Cum_TILC,1,Assumptions!BF$77)+LeasingCommissionPct*$E$18*$B$18*INDEX(Cum_TILC,1,Assumptions!BF$77),0)+IF(Assumptions!BF$72=$D$19+RetailDowntime,((1-RetailRenewalProb)*NewLeaseTI+RetailRenewalProb*RenewalTI)*$B$19*INDEX(Cum_TILC,1,Assumptions!BF$77)+LeasingCommissionPct*$E$19*$B$19*INDEX(Cum_TILC,1,Assumptions!BF$77),0)+IF(Assumptions!BF$72=$D$20+RetailDowntime,((1-RetailRenewalProb)*NewLeaseTI+RetailRenewalProb*RenewalTI)*$B$20*INDEX(Cum_TILC,1,Assumptions!BF$77)+LeasingCommissionPct*$E$20*$B$20*INDEX(Cum_TILC,1,Assumptions!BF$77),0)+IF(Assumptions!BF$72=$D$21+RetailDowntime,((1-RetailRenewalProb)*NewLeaseTI+RetailRenewalProb*RenewalTI)*$B$21*INDEX(Cum_TILC,1,Assumptions!BF$77)+LeasingCommissionPct*$E$21*$B$21*INDEX(Cum_TILC,1,Assumptions!BF$77),0)+IF(Assumptions!BF$72=$D$22+RetailDowntime,((1-RetailRenewalProb)*NewLeaseTI+RetailRenewalProb*RenewalTI)*$B$22*INDEX(Cum_TILC,1,Assumptions!BF$77)+LeasingCommissionPct*$E$22*$B$22*INDEX(Cum_TILC,1,Assumptions!BF$77),0))*Assumptions!BF$74</f>
        <v/>
      </c>
      <c r="BG41" s="52">
        <f>(IF(Assumptions!BG$72=$D$17+RetailDowntime,((1-RetailRenewalProb)*NewLeaseTI+RetailRenewalProb*RenewalTI)*$B$17*INDEX(Cum_TILC,1,Assumptions!BG$77)+LeasingCommissionPct*$E$17*$B$17*INDEX(Cum_TILC,1,Assumptions!BG$77),0)+IF(Assumptions!BG$72=$D$18+RetailDowntime,((1-RetailRenewalProb)*NewLeaseTI+RetailRenewalProb*RenewalTI)*$B$18*INDEX(Cum_TILC,1,Assumptions!BG$77)+LeasingCommissionPct*$E$18*$B$18*INDEX(Cum_TILC,1,Assumptions!BG$77),0)+IF(Assumptions!BG$72=$D$19+RetailDowntime,((1-RetailRenewalProb)*NewLeaseTI+RetailRenewalProb*RenewalTI)*$B$19*INDEX(Cum_TILC,1,Assumptions!BG$77)+LeasingCommissionPct*$E$19*$B$19*INDEX(Cum_TILC,1,Assumptions!BG$77),0)+IF(Assumptions!BG$72=$D$20+RetailDowntime,((1-RetailRenewalProb)*NewLeaseTI+RetailRenewalProb*RenewalTI)*$B$20*INDEX(Cum_TILC,1,Assumptions!BG$77)+LeasingCommissionPct*$E$20*$B$20*INDEX(Cum_TILC,1,Assumptions!BG$77),0)+IF(Assumptions!BG$72=$D$21+RetailDowntime,((1-RetailRenewalProb)*NewLeaseTI+RetailRenewalProb*RenewalTI)*$B$21*INDEX(Cum_TILC,1,Assumptions!BG$77)+LeasingCommissionPct*$E$21*$B$21*INDEX(Cum_TILC,1,Assumptions!BG$77),0)+IF(Assumptions!BG$72=$D$22+RetailDowntime,((1-RetailRenewalProb)*NewLeaseTI+RetailRenewalProb*RenewalTI)*$B$22*INDEX(Cum_TILC,1,Assumptions!BG$77)+LeasingCommissionPct*$E$22*$B$22*INDEX(Cum_TILC,1,Assumptions!BG$77),0))*Assumptions!BG$74</f>
        <v/>
      </c>
      <c r="BH41" s="52">
        <f>(IF(Assumptions!BH$72=$D$17+RetailDowntime,((1-RetailRenewalProb)*NewLeaseTI+RetailRenewalProb*RenewalTI)*$B$17*INDEX(Cum_TILC,1,Assumptions!BH$77)+LeasingCommissionPct*$E$17*$B$17*INDEX(Cum_TILC,1,Assumptions!BH$77),0)+IF(Assumptions!BH$72=$D$18+RetailDowntime,((1-RetailRenewalProb)*NewLeaseTI+RetailRenewalProb*RenewalTI)*$B$18*INDEX(Cum_TILC,1,Assumptions!BH$77)+LeasingCommissionPct*$E$18*$B$18*INDEX(Cum_TILC,1,Assumptions!BH$77),0)+IF(Assumptions!BH$72=$D$19+RetailDowntime,((1-RetailRenewalProb)*NewLeaseTI+RetailRenewalProb*RenewalTI)*$B$19*INDEX(Cum_TILC,1,Assumptions!BH$77)+LeasingCommissionPct*$E$19*$B$19*INDEX(Cum_TILC,1,Assumptions!BH$77),0)+IF(Assumptions!BH$72=$D$20+RetailDowntime,((1-RetailRenewalProb)*NewLeaseTI+RetailRenewalProb*RenewalTI)*$B$20*INDEX(Cum_TILC,1,Assumptions!BH$77)+LeasingCommissionPct*$E$20*$B$20*INDEX(Cum_TILC,1,Assumptions!BH$77),0)+IF(Assumptions!BH$72=$D$21+RetailDowntime,((1-RetailRenewalProb)*NewLeaseTI+RetailRenewalProb*RenewalTI)*$B$21*INDEX(Cum_TILC,1,Assumptions!BH$77)+LeasingCommissionPct*$E$21*$B$21*INDEX(Cum_TILC,1,Assumptions!BH$77),0)+IF(Assumptions!BH$72=$D$22+RetailDowntime,((1-RetailRenewalProb)*NewLeaseTI+RetailRenewalProb*RenewalTI)*$B$22*INDEX(Cum_TILC,1,Assumptions!BH$77)+LeasingCommissionPct*$E$22*$B$22*INDEX(Cum_TILC,1,Assumptions!BH$77),0))*Assumptions!BH$74</f>
        <v/>
      </c>
      <c r="BI41" s="52">
        <f>(IF(Assumptions!BI$72=$D$17+RetailDowntime,((1-RetailRenewalProb)*NewLeaseTI+RetailRenewalProb*RenewalTI)*$B$17*INDEX(Cum_TILC,1,Assumptions!BI$77)+LeasingCommissionPct*$E$17*$B$17*INDEX(Cum_TILC,1,Assumptions!BI$77),0)+IF(Assumptions!BI$72=$D$18+RetailDowntime,((1-RetailRenewalProb)*NewLeaseTI+RetailRenewalProb*RenewalTI)*$B$18*INDEX(Cum_TILC,1,Assumptions!BI$77)+LeasingCommissionPct*$E$18*$B$18*INDEX(Cum_TILC,1,Assumptions!BI$77),0)+IF(Assumptions!BI$72=$D$19+RetailDowntime,((1-RetailRenewalProb)*NewLeaseTI+RetailRenewalProb*RenewalTI)*$B$19*INDEX(Cum_TILC,1,Assumptions!BI$77)+LeasingCommissionPct*$E$19*$B$19*INDEX(Cum_TILC,1,Assumptions!BI$77),0)+IF(Assumptions!BI$72=$D$20+RetailDowntime,((1-RetailRenewalProb)*NewLeaseTI+RetailRenewalProb*RenewalTI)*$B$20*INDEX(Cum_TILC,1,Assumptions!BI$77)+LeasingCommissionPct*$E$20*$B$20*INDEX(Cum_TILC,1,Assumptions!BI$77),0)+IF(Assumptions!BI$72=$D$21+RetailDowntime,((1-RetailRenewalProb)*NewLeaseTI+RetailRenewalProb*RenewalTI)*$B$21*INDEX(Cum_TILC,1,Assumptions!BI$77)+LeasingCommissionPct*$E$21*$B$21*INDEX(Cum_TILC,1,Assumptions!BI$77),0)+IF(Assumptions!BI$72=$D$22+RetailDowntime,((1-RetailRenewalProb)*NewLeaseTI+RetailRenewalProb*RenewalTI)*$B$22*INDEX(Cum_TILC,1,Assumptions!BI$77)+LeasingCommissionPct*$E$22*$B$22*INDEX(Cum_TILC,1,Assumptions!BI$77),0))*Assumptions!BI$74</f>
        <v/>
      </c>
      <c r="BJ41" s="52">
        <f>(IF(Assumptions!BJ$72=$D$17+RetailDowntime,((1-RetailRenewalProb)*NewLeaseTI+RetailRenewalProb*RenewalTI)*$B$17*INDEX(Cum_TILC,1,Assumptions!BJ$77)+LeasingCommissionPct*$E$17*$B$17*INDEX(Cum_TILC,1,Assumptions!BJ$77),0)+IF(Assumptions!BJ$72=$D$18+RetailDowntime,((1-RetailRenewalProb)*NewLeaseTI+RetailRenewalProb*RenewalTI)*$B$18*INDEX(Cum_TILC,1,Assumptions!BJ$77)+LeasingCommissionPct*$E$18*$B$18*INDEX(Cum_TILC,1,Assumptions!BJ$77),0)+IF(Assumptions!BJ$72=$D$19+RetailDowntime,((1-RetailRenewalProb)*NewLeaseTI+RetailRenewalProb*RenewalTI)*$B$19*INDEX(Cum_TILC,1,Assumptions!BJ$77)+LeasingCommissionPct*$E$19*$B$19*INDEX(Cum_TILC,1,Assumptions!BJ$77),0)+IF(Assumptions!BJ$72=$D$20+RetailDowntime,((1-RetailRenewalProb)*NewLeaseTI+RetailRenewalProb*RenewalTI)*$B$20*INDEX(Cum_TILC,1,Assumptions!BJ$77)+LeasingCommissionPct*$E$20*$B$20*INDEX(Cum_TILC,1,Assumptions!BJ$77),0)+IF(Assumptions!BJ$72=$D$21+RetailDowntime,((1-RetailRenewalProb)*NewLeaseTI+RetailRenewalProb*RenewalTI)*$B$21*INDEX(Cum_TILC,1,Assumptions!BJ$77)+LeasingCommissionPct*$E$21*$B$21*INDEX(Cum_TILC,1,Assumptions!BJ$77),0)+IF(Assumptions!BJ$72=$D$22+RetailDowntime,((1-RetailRenewalProb)*NewLeaseTI+RetailRenewalProb*RenewalTI)*$B$22*INDEX(Cum_TILC,1,Assumptions!BJ$77)+LeasingCommissionPct*$E$22*$B$22*INDEX(Cum_TILC,1,Assumptions!BJ$77),0))*Assumptions!BJ$74</f>
        <v/>
      </c>
      <c r="BK41" s="52">
        <f>(IF(Assumptions!BK$72=$D$17+RetailDowntime,((1-RetailRenewalProb)*NewLeaseTI+RetailRenewalProb*RenewalTI)*$B$17*INDEX(Cum_TILC,1,Assumptions!BK$77)+LeasingCommissionPct*$E$17*$B$17*INDEX(Cum_TILC,1,Assumptions!BK$77),0)+IF(Assumptions!BK$72=$D$18+RetailDowntime,((1-RetailRenewalProb)*NewLeaseTI+RetailRenewalProb*RenewalTI)*$B$18*INDEX(Cum_TILC,1,Assumptions!BK$77)+LeasingCommissionPct*$E$18*$B$18*INDEX(Cum_TILC,1,Assumptions!BK$77),0)+IF(Assumptions!BK$72=$D$19+RetailDowntime,((1-RetailRenewalProb)*NewLeaseTI+RetailRenewalProb*RenewalTI)*$B$19*INDEX(Cum_TILC,1,Assumptions!BK$77)+LeasingCommissionPct*$E$19*$B$19*INDEX(Cum_TILC,1,Assumptions!BK$77),0)+IF(Assumptions!BK$72=$D$20+RetailDowntime,((1-RetailRenewalProb)*NewLeaseTI+RetailRenewalProb*RenewalTI)*$B$20*INDEX(Cum_TILC,1,Assumptions!BK$77)+LeasingCommissionPct*$E$20*$B$20*INDEX(Cum_TILC,1,Assumptions!BK$77),0)+IF(Assumptions!BK$72=$D$21+RetailDowntime,((1-RetailRenewalProb)*NewLeaseTI+RetailRenewalProb*RenewalTI)*$B$21*INDEX(Cum_TILC,1,Assumptions!BK$77)+LeasingCommissionPct*$E$21*$B$21*INDEX(Cum_TILC,1,Assumptions!BK$77),0)+IF(Assumptions!BK$72=$D$22+RetailDowntime,((1-RetailRenewalProb)*NewLeaseTI+RetailRenewalProb*RenewalTI)*$B$22*INDEX(Cum_TILC,1,Assumptions!BK$77)+LeasingCommissionPct*$E$22*$B$22*INDEX(Cum_TILC,1,Assumptions!BK$77),0))*Assumptions!BK$74</f>
        <v/>
      </c>
      <c r="BL41" s="52">
        <f>(IF(Assumptions!BL$72=$D$17+RetailDowntime,((1-RetailRenewalProb)*NewLeaseTI+RetailRenewalProb*RenewalTI)*$B$17*INDEX(Cum_TILC,1,Assumptions!BL$77)+LeasingCommissionPct*$E$17*$B$17*INDEX(Cum_TILC,1,Assumptions!BL$77),0)+IF(Assumptions!BL$72=$D$18+RetailDowntime,((1-RetailRenewalProb)*NewLeaseTI+RetailRenewalProb*RenewalTI)*$B$18*INDEX(Cum_TILC,1,Assumptions!BL$77)+LeasingCommissionPct*$E$18*$B$18*INDEX(Cum_TILC,1,Assumptions!BL$77),0)+IF(Assumptions!BL$72=$D$19+RetailDowntime,((1-RetailRenewalProb)*NewLeaseTI+RetailRenewalProb*RenewalTI)*$B$19*INDEX(Cum_TILC,1,Assumptions!BL$77)+LeasingCommissionPct*$E$19*$B$19*INDEX(Cum_TILC,1,Assumptions!BL$77),0)+IF(Assumptions!BL$72=$D$20+RetailDowntime,((1-RetailRenewalProb)*NewLeaseTI+RetailRenewalProb*RenewalTI)*$B$20*INDEX(Cum_TILC,1,Assumptions!BL$77)+LeasingCommissionPct*$E$20*$B$20*INDEX(Cum_TILC,1,Assumptions!BL$77),0)+IF(Assumptions!BL$72=$D$21+RetailDowntime,((1-RetailRenewalProb)*NewLeaseTI+RetailRenewalProb*RenewalTI)*$B$21*INDEX(Cum_TILC,1,Assumptions!BL$77)+LeasingCommissionPct*$E$21*$B$21*INDEX(Cum_TILC,1,Assumptions!BL$77),0)+IF(Assumptions!BL$72=$D$22+RetailDowntime,((1-RetailRenewalProb)*NewLeaseTI+RetailRenewalProb*RenewalTI)*$B$22*INDEX(Cum_TILC,1,Assumptions!BL$77)+LeasingCommissionPct*$E$22*$B$22*INDEX(Cum_TILC,1,Assumptions!BL$77),0))*Assumptions!BL$74</f>
        <v/>
      </c>
      <c r="BM41" s="52">
        <f>(IF(Assumptions!BM$72=$D$17+RetailDowntime,((1-RetailRenewalProb)*NewLeaseTI+RetailRenewalProb*RenewalTI)*$B$17*INDEX(Cum_TILC,1,Assumptions!BM$77)+LeasingCommissionPct*$E$17*$B$17*INDEX(Cum_TILC,1,Assumptions!BM$77),0)+IF(Assumptions!BM$72=$D$18+RetailDowntime,((1-RetailRenewalProb)*NewLeaseTI+RetailRenewalProb*RenewalTI)*$B$18*INDEX(Cum_TILC,1,Assumptions!BM$77)+LeasingCommissionPct*$E$18*$B$18*INDEX(Cum_TILC,1,Assumptions!BM$77),0)+IF(Assumptions!BM$72=$D$19+RetailDowntime,((1-RetailRenewalProb)*NewLeaseTI+RetailRenewalProb*RenewalTI)*$B$19*INDEX(Cum_TILC,1,Assumptions!BM$77)+LeasingCommissionPct*$E$19*$B$19*INDEX(Cum_TILC,1,Assumptions!BM$77),0)+IF(Assumptions!BM$72=$D$20+RetailDowntime,((1-RetailRenewalProb)*NewLeaseTI+RetailRenewalProb*RenewalTI)*$B$20*INDEX(Cum_TILC,1,Assumptions!BM$77)+LeasingCommissionPct*$E$20*$B$20*INDEX(Cum_TILC,1,Assumptions!BM$77),0)+IF(Assumptions!BM$72=$D$21+RetailDowntime,((1-RetailRenewalProb)*NewLeaseTI+RetailRenewalProb*RenewalTI)*$B$21*INDEX(Cum_TILC,1,Assumptions!BM$77)+LeasingCommissionPct*$E$21*$B$21*INDEX(Cum_TILC,1,Assumptions!BM$77),0)+IF(Assumptions!BM$72=$D$22+RetailDowntime,((1-RetailRenewalProb)*NewLeaseTI+RetailRenewalProb*RenewalTI)*$B$22*INDEX(Cum_TILC,1,Assumptions!BM$77)+LeasingCommissionPct*$E$22*$B$22*INDEX(Cum_TILC,1,Assumptions!BM$77),0))*Assumptions!BM$74</f>
        <v/>
      </c>
      <c r="BN41" s="52">
        <f>(IF(Assumptions!BN$72=$D$17+RetailDowntime,((1-RetailRenewalProb)*NewLeaseTI+RetailRenewalProb*RenewalTI)*$B$17*INDEX(Cum_TILC,1,Assumptions!BN$77)+LeasingCommissionPct*$E$17*$B$17*INDEX(Cum_TILC,1,Assumptions!BN$77),0)+IF(Assumptions!BN$72=$D$18+RetailDowntime,((1-RetailRenewalProb)*NewLeaseTI+RetailRenewalProb*RenewalTI)*$B$18*INDEX(Cum_TILC,1,Assumptions!BN$77)+LeasingCommissionPct*$E$18*$B$18*INDEX(Cum_TILC,1,Assumptions!BN$77),0)+IF(Assumptions!BN$72=$D$19+RetailDowntime,((1-RetailRenewalProb)*NewLeaseTI+RetailRenewalProb*RenewalTI)*$B$19*INDEX(Cum_TILC,1,Assumptions!BN$77)+LeasingCommissionPct*$E$19*$B$19*INDEX(Cum_TILC,1,Assumptions!BN$77),0)+IF(Assumptions!BN$72=$D$20+RetailDowntime,((1-RetailRenewalProb)*NewLeaseTI+RetailRenewalProb*RenewalTI)*$B$20*INDEX(Cum_TILC,1,Assumptions!BN$77)+LeasingCommissionPct*$E$20*$B$20*INDEX(Cum_TILC,1,Assumptions!BN$77),0)+IF(Assumptions!BN$72=$D$21+RetailDowntime,((1-RetailRenewalProb)*NewLeaseTI+RetailRenewalProb*RenewalTI)*$B$21*INDEX(Cum_TILC,1,Assumptions!BN$77)+LeasingCommissionPct*$E$21*$B$21*INDEX(Cum_TILC,1,Assumptions!BN$77),0)+IF(Assumptions!BN$72=$D$22+RetailDowntime,((1-RetailRenewalProb)*NewLeaseTI+RetailRenewalProb*RenewalTI)*$B$22*INDEX(Cum_TILC,1,Assumptions!BN$77)+LeasingCommissionPct*$E$22*$B$22*INDEX(Cum_TILC,1,Assumptions!BN$77),0))*Assumptions!BN$74</f>
        <v/>
      </c>
      <c r="BO41" s="52">
        <f>(IF(Assumptions!BO$72=$D$17+RetailDowntime,((1-RetailRenewalProb)*NewLeaseTI+RetailRenewalProb*RenewalTI)*$B$17*INDEX(Cum_TILC,1,Assumptions!BO$77)+LeasingCommissionPct*$E$17*$B$17*INDEX(Cum_TILC,1,Assumptions!BO$77),0)+IF(Assumptions!BO$72=$D$18+RetailDowntime,((1-RetailRenewalProb)*NewLeaseTI+RetailRenewalProb*RenewalTI)*$B$18*INDEX(Cum_TILC,1,Assumptions!BO$77)+LeasingCommissionPct*$E$18*$B$18*INDEX(Cum_TILC,1,Assumptions!BO$77),0)+IF(Assumptions!BO$72=$D$19+RetailDowntime,((1-RetailRenewalProb)*NewLeaseTI+RetailRenewalProb*RenewalTI)*$B$19*INDEX(Cum_TILC,1,Assumptions!BO$77)+LeasingCommissionPct*$E$19*$B$19*INDEX(Cum_TILC,1,Assumptions!BO$77),0)+IF(Assumptions!BO$72=$D$20+RetailDowntime,((1-RetailRenewalProb)*NewLeaseTI+RetailRenewalProb*RenewalTI)*$B$20*INDEX(Cum_TILC,1,Assumptions!BO$77)+LeasingCommissionPct*$E$20*$B$20*INDEX(Cum_TILC,1,Assumptions!BO$77),0)+IF(Assumptions!BO$72=$D$21+RetailDowntime,((1-RetailRenewalProb)*NewLeaseTI+RetailRenewalProb*RenewalTI)*$B$21*INDEX(Cum_TILC,1,Assumptions!BO$77)+LeasingCommissionPct*$E$21*$B$21*INDEX(Cum_TILC,1,Assumptions!BO$77),0)+IF(Assumptions!BO$72=$D$22+RetailDowntime,((1-RetailRenewalProb)*NewLeaseTI+RetailRenewalProb*RenewalTI)*$B$22*INDEX(Cum_TILC,1,Assumptions!BO$77)+LeasingCommissionPct*$E$22*$B$22*INDEX(Cum_TILC,1,Assumptions!BO$77),0))*Assumptions!BO$74</f>
        <v/>
      </c>
      <c r="BP41" s="52">
        <f>(IF(Assumptions!BP$72=$D$17+RetailDowntime,((1-RetailRenewalProb)*NewLeaseTI+RetailRenewalProb*RenewalTI)*$B$17*INDEX(Cum_TILC,1,Assumptions!BP$77)+LeasingCommissionPct*$E$17*$B$17*INDEX(Cum_TILC,1,Assumptions!BP$77),0)+IF(Assumptions!BP$72=$D$18+RetailDowntime,((1-RetailRenewalProb)*NewLeaseTI+RetailRenewalProb*RenewalTI)*$B$18*INDEX(Cum_TILC,1,Assumptions!BP$77)+LeasingCommissionPct*$E$18*$B$18*INDEX(Cum_TILC,1,Assumptions!BP$77),0)+IF(Assumptions!BP$72=$D$19+RetailDowntime,((1-RetailRenewalProb)*NewLeaseTI+RetailRenewalProb*RenewalTI)*$B$19*INDEX(Cum_TILC,1,Assumptions!BP$77)+LeasingCommissionPct*$E$19*$B$19*INDEX(Cum_TILC,1,Assumptions!BP$77),0)+IF(Assumptions!BP$72=$D$20+RetailDowntime,((1-RetailRenewalProb)*NewLeaseTI+RetailRenewalProb*RenewalTI)*$B$20*INDEX(Cum_TILC,1,Assumptions!BP$77)+LeasingCommissionPct*$E$20*$B$20*INDEX(Cum_TILC,1,Assumptions!BP$77),0)+IF(Assumptions!BP$72=$D$21+RetailDowntime,((1-RetailRenewalProb)*NewLeaseTI+RetailRenewalProb*RenewalTI)*$B$21*INDEX(Cum_TILC,1,Assumptions!BP$77)+LeasingCommissionPct*$E$21*$B$21*INDEX(Cum_TILC,1,Assumptions!BP$77),0)+IF(Assumptions!BP$72=$D$22+RetailDowntime,((1-RetailRenewalProb)*NewLeaseTI+RetailRenewalProb*RenewalTI)*$B$22*INDEX(Cum_TILC,1,Assumptions!BP$77)+LeasingCommissionPct*$E$22*$B$22*INDEX(Cum_TILC,1,Assumptions!BP$77),0))*Assumptions!BP$74</f>
        <v/>
      </c>
      <c r="BQ41" s="52">
        <f>(IF(Assumptions!BQ$72=$D$17+RetailDowntime,((1-RetailRenewalProb)*NewLeaseTI+RetailRenewalProb*RenewalTI)*$B$17*INDEX(Cum_TILC,1,Assumptions!BQ$77)+LeasingCommissionPct*$E$17*$B$17*INDEX(Cum_TILC,1,Assumptions!BQ$77),0)+IF(Assumptions!BQ$72=$D$18+RetailDowntime,((1-RetailRenewalProb)*NewLeaseTI+RetailRenewalProb*RenewalTI)*$B$18*INDEX(Cum_TILC,1,Assumptions!BQ$77)+LeasingCommissionPct*$E$18*$B$18*INDEX(Cum_TILC,1,Assumptions!BQ$77),0)+IF(Assumptions!BQ$72=$D$19+RetailDowntime,((1-RetailRenewalProb)*NewLeaseTI+RetailRenewalProb*RenewalTI)*$B$19*INDEX(Cum_TILC,1,Assumptions!BQ$77)+LeasingCommissionPct*$E$19*$B$19*INDEX(Cum_TILC,1,Assumptions!BQ$77),0)+IF(Assumptions!BQ$72=$D$20+RetailDowntime,((1-RetailRenewalProb)*NewLeaseTI+RetailRenewalProb*RenewalTI)*$B$20*INDEX(Cum_TILC,1,Assumptions!BQ$77)+LeasingCommissionPct*$E$20*$B$20*INDEX(Cum_TILC,1,Assumptions!BQ$77),0)+IF(Assumptions!BQ$72=$D$21+RetailDowntime,((1-RetailRenewalProb)*NewLeaseTI+RetailRenewalProb*RenewalTI)*$B$21*INDEX(Cum_TILC,1,Assumptions!BQ$77)+LeasingCommissionPct*$E$21*$B$21*INDEX(Cum_TILC,1,Assumptions!BQ$77),0)+IF(Assumptions!BQ$72=$D$22+RetailDowntime,((1-RetailRenewalProb)*NewLeaseTI+RetailRenewalProb*RenewalTI)*$B$22*INDEX(Cum_TILC,1,Assumptions!BQ$77)+LeasingCommissionPct*$E$22*$B$22*INDEX(Cum_TILC,1,Assumptions!BQ$77),0))*Assumptions!BQ$74</f>
        <v/>
      </c>
      <c r="BR41" s="52">
        <f>(IF(Assumptions!BR$72=$D$17+RetailDowntime,((1-RetailRenewalProb)*NewLeaseTI+RetailRenewalProb*RenewalTI)*$B$17*INDEX(Cum_TILC,1,Assumptions!BR$77)+LeasingCommissionPct*$E$17*$B$17*INDEX(Cum_TILC,1,Assumptions!BR$77),0)+IF(Assumptions!BR$72=$D$18+RetailDowntime,((1-RetailRenewalProb)*NewLeaseTI+RetailRenewalProb*RenewalTI)*$B$18*INDEX(Cum_TILC,1,Assumptions!BR$77)+LeasingCommissionPct*$E$18*$B$18*INDEX(Cum_TILC,1,Assumptions!BR$77),0)+IF(Assumptions!BR$72=$D$19+RetailDowntime,((1-RetailRenewalProb)*NewLeaseTI+RetailRenewalProb*RenewalTI)*$B$19*INDEX(Cum_TILC,1,Assumptions!BR$77)+LeasingCommissionPct*$E$19*$B$19*INDEX(Cum_TILC,1,Assumptions!BR$77),0)+IF(Assumptions!BR$72=$D$20+RetailDowntime,((1-RetailRenewalProb)*NewLeaseTI+RetailRenewalProb*RenewalTI)*$B$20*INDEX(Cum_TILC,1,Assumptions!BR$77)+LeasingCommissionPct*$E$20*$B$20*INDEX(Cum_TILC,1,Assumptions!BR$77),0)+IF(Assumptions!BR$72=$D$21+RetailDowntime,((1-RetailRenewalProb)*NewLeaseTI+RetailRenewalProb*RenewalTI)*$B$21*INDEX(Cum_TILC,1,Assumptions!BR$77)+LeasingCommissionPct*$E$21*$B$21*INDEX(Cum_TILC,1,Assumptions!BR$77),0)+IF(Assumptions!BR$72=$D$22+RetailDowntime,((1-RetailRenewalProb)*NewLeaseTI+RetailRenewalProb*RenewalTI)*$B$22*INDEX(Cum_TILC,1,Assumptions!BR$77)+LeasingCommissionPct*$E$22*$B$22*INDEX(Cum_TILC,1,Assumptions!BR$77),0))*Assumptions!BR$74</f>
        <v/>
      </c>
      <c r="BS41" s="52">
        <f>(IF(Assumptions!BS$72=$D$17+RetailDowntime,((1-RetailRenewalProb)*NewLeaseTI+RetailRenewalProb*RenewalTI)*$B$17*INDEX(Cum_TILC,1,Assumptions!BS$77)+LeasingCommissionPct*$E$17*$B$17*INDEX(Cum_TILC,1,Assumptions!BS$77),0)+IF(Assumptions!BS$72=$D$18+RetailDowntime,((1-RetailRenewalProb)*NewLeaseTI+RetailRenewalProb*RenewalTI)*$B$18*INDEX(Cum_TILC,1,Assumptions!BS$77)+LeasingCommissionPct*$E$18*$B$18*INDEX(Cum_TILC,1,Assumptions!BS$77),0)+IF(Assumptions!BS$72=$D$19+RetailDowntime,((1-RetailRenewalProb)*NewLeaseTI+RetailRenewalProb*RenewalTI)*$B$19*INDEX(Cum_TILC,1,Assumptions!BS$77)+LeasingCommissionPct*$E$19*$B$19*INDEX(Cum_TILC,1,Assumptions!BS$77),0)+IF(Assumptions!BS$72=$D$20+RetailDowntime,((1-RetailRenewalProb)*NewLeaseTI+RetailRenewalProb*RenewalTI)*$B$20*INDEX(Cum_TILC,1,Assumptions!BS$77)+LeasingCommissionPct*$E$20*$B$20*INDEX(Cum_TILC,1,Assumptions!BS$77),0)+IF(Assumptions!BS$72=$D$21+RetailDowntime,((1-RetailRenewalProb)*NewLeaseTI+RetailRenewalProb*RenewalTI)*$B$21*INDEX(Cum_TILC,1,Assumptions!BS$77)+LeasingCommissionPct*$E$21*$B$21*INDEX(Cum_TILC,1,Assumptions!BS$77),0)+IF(Assumptions!BS$72=$D$22+RetailDowntime,((1-RetailRenewalProb)*NewLeaseTI+RetailRenewalProb*RenewalTI)*$B$22*INDEX(Cum_TILC,1,Assumptions!BS$77)+LeasingCommissionPct*$E$22*$B$22*INDEX(Cum_TILC,1,Assumptions!BS$77),0))*Assumptions!BS$74</f>
        <v/>
      </c>
      <c r="BT41" s="52">
        <f>(IF(Assumptions!BT$72=$D$17+RetailDowntime,((1-RetailRenewalProb)*NewLeaseTI+RetailRenewalProb*RenewalTI)*$B$17*INDEX(Cum_TILC,1,Assumptions!BT$77)+LeasingCommissionPct*$E$17*$B$17*INDEX(Cum_TILC,1,Assumptions!BT$77),0)+IF(Assumptions!BT$72=$D$18+RetailDowntime,((1-RetailRenewalProb)*NewLeaseTI+RetailRenewalProb*RenewalTI)*$B$18*INDEX(Cum_TILC,1,Assumptions!BT$77)+LeasingCommissionPct*$E$18*$B$18*INDEX(Cum_TILC,1,Assumptions!BT$77),0)+IF(Assumptions!BT$72=$D$19+RetailDowntime,((1-RetailRenewalProb)*NewLeaseTI+RetailRenewalProb*RenewalTI)*$B$19*INDEX(Cum_TILC,1,Assumptions!BT$77)+LeasingCommissionPct*$E$19*$B$19*INDEX(Cum_TILC,1,Assumptions!BT$77),0)+IF(Assumptions!BT$72=$D$20+RetailDowntime,((1-RetailRenewalProb)*NewLeaseTI+RetailRenewalProb*RenewalTI)*$B$20*INDEX(Cum_TILC,1,Assumptions!BT$77)+LeasingCommissionPct*$E$20*$B$20*INDEX(Cum_TILC,1,Assumptions!BT$77),0)+IF(Assumptions!BT$72=$D$21+RetailDowntime,((1-RetailRenewalProb)*NewLeaseTI+RetailRenewalProb*RenewalTI)*$B$21*INDEX(Cum_TILC,1,Assumptions!BT$77)+LeasingCommissionPct*$E$21*$B$21*INDEX(Cum_TILC,1,Assumptions!BT$77),0)+IF(Assumptions!BT$72=$D$22+RetailDowntime,((1-RetailRenewalProb)*NewLeaseTI+RetailRenewalProb*RenewalTI)*$B$22*INDEX(Cum_TILC,1,Assumptions!BT$77)+LeasingCommissionPct*$E$22*$B$22*INDEX(Cum_TILC,1,Assumptions!BT$77),0))*Assumptions!BT$74</f>
        <v/>
      </c>
      <c r="BU41" s="52">
        <f>(IF(Assumptions!BU$72=$D$17+RetailDowntime,((1-RetailRenewalProb)*NewLeaseTI+RetailRenewalProb*RenewalTI)*$B$17*INDEX(Cum_TILC,1,Assumptions!BU$77)+LeasingCommissionPct*$E$17*$B$17*INDEX(Cum_TILC,1,Assumptions!BU$77),0)+IF(Assumptions!BU$72=$D$18+RetailDowntime,((1-RetailRenewalProb)*NewLeaseTI+RetailRenewalProb*RenewalTI)*$B$18*INDEX(Cum_TILC,1,Assumptions!BU$77)+LeasingCommissionPct*$E$18*$B$18*INDEX(Cum_TILC,1,Assumptions!BU$77),0)+IF(Assumptions!BU$72=$D$19+RetailDowntime,((1-RetailRenewalProb)*NewLeaseTI+RetailRenewalProb*RenewalTI)*$B$19*INDEX(Cum_TILC,1,Assumptions!BU$77)+LeasingCommissionPct*$E$19*$B$19*INDEX(Cum_TILC,1,Assumptions!BU$77),0)+IF(Assumptions!BU$72=$D$20+RetailDowntime,((1-RetailRenewalProb)*NewLeaseTI+RetailRenewalProb*RenewalTI)*$B$20*INDEX(Cum_TILC,1,Assumptions!BU$77)+LeasingCommissionPct*$E$20*$B$20*INDEX(Cum_TILC,1,Assumptions!BU$77),0)+IF(Assumptions!BU$72=$D$21+RetailDowntime,((1-RetailRenewalProb)*NewLeaseTI+RetailRenewalProb*RenewalTI)*$B$21*INDEX(Cum_TILC,1,Assumptions!BU$77)+LeasingCommissionPct*$E$21*$B$21*INDEX(Cum_TILC,1,Assumptions!BU$77),0)+IF(Assumptions!BU$72=$D$22+RetailDowntime,((1-RetailRenewalProb)*NewLeaseTI+RetailRenewalProb*RenewalTI)*$B$22*INDEX(Cum_TILC,1,Assumptions!BU$77)+LeasingCommissionPct*$E$22*$B$22*INDEX(Cum_TILC,1,Assumptions!BU$77),0))*Assumptions!BU$74</f>
        <v/>
      </c>
      <c r="BV41" s="52">
        <f>(IF(Assumptions!BV$72=$D$17+RetailDowntime,((1-RetailRenewalProb)*NewLeaseTI+RetailRenewalProb*RenewalTI)*$B$17*INDEX(Cum_TILC,1,Assumptions!BV$77)+LeasingCommissionPct*$E$17*$B$17*INDEX(Cum_TILC,1,Assumptions!BV$77),0)+IF(Assumptions!BV$72=$D$18+RetailDowntime,((1-RetailRenewalProb)*NewLeaseTI+RetailRenewalProb*RenewalTI)*$B$18*INDEX(Cum_TILC,1,Assumptions!BV$77)+LeasingCommissionPct*$E$18*$B$18*INDEX(Cum_TILC,1,Assumptions!BV$77),0)+IF(Assumptions!BV$72=$D$19+RetailDowntime,((1-RetailRenewalProb)*NewLeaseTI+RetailRenewalProb*RenewalTI)*$B$19*INDEX(Cum_TILC,1,Assumptions!BV$77)+LeasingCommissionPct*$E$19*$B$19*INDEX(Cum_TILC,1,Assumptions!BV$77),0)+IF(Assumptions!BV$72=$D$20+RetailDowntime,((1-RetailRenewalProb)*NewLeaseTI+RetailRenewalProb*RenewalTI)*$B$20*INDEX(Cum_TILC,1,Assumptions!BV$77)+LeasingCommissionPct*$E$20*$B$20*INDEX(Cum_TILC,1,Assumptions!BV$77),0)+IF(Assumptions!BV$72=$D$21+RetailDowntime,((1-RetailRenewalProb)*NewLeaseTI+RetailRenewalProb*RenewalTI)*$B$21*INDEX(Cum_TILC,1,Assumptions!BV$77)+LeasingCommissionPct*$E$21*$B$21*INDEX(Cum_TILC,1,Assumptions!BV$77),0)+IF(Assumptions!BV$72=$D$22+RetailDowntime,((1-RetailRenewalProb)*NewLeaseTI+RetailRenewalProb*RenewalTI)*$B$22*INDEX(Cum_TILC,1,Assumptions!BV$77)+LeasingCommissionPct*$E$22*$B$22*INDEX(Cum_TILC,1,Assumptions!BV$77),0))*Assumptions!BV$74</f>
        <v/>
      </c>
      <c r="BW41" s="52">
        <f>(IF(Assumptions!BW$72=$D$17+RetailDowntime,((1-RetailRenewalProb)*NewLeaseTI+RetailRenewalProb*RenewalTI)*$B$17*INDEX(Cum_TILC,1,Assumptions!BW$77)+LeasingCommissionPct*$E$17*$B$17*INDEX(Cum_TILC,1,Assumptions!BW$77),0)+IF(Assumptions!BW$72=$D$18+RetailDowntime,((1-RetailRenewalProb)*NewLeaseTI+RetailRenewalProb*RenewalTI)*$B$18*INDEX(Cum_TILC,1,Assumptions!BW$77)+LeasingCommissionPct*$E$18*$B$18*INDEX(Cum_TILC,1,Assumptions!BW$77),0)+IF(Assumptions!BW$72=$D$19+RetailDowntime,((1-RetailRenewalProb)*NewLeaseTI+RetailRenewalProb*RenewalTI)*$B$19*INDEX(Cum_TILC,1,Assumptions!BW$77)+LeasingCommissionPct*$E$19*$B$19*INDEX(Cum_TILC,1,Assumptions!BW$77),0)+IF(Assumptions!BW$72=$D$20+RetailDowntime,((1-RetailRenewalProb)*NewLeaseTI+RetailRenewalProb*RenewalTI)*$B$20*INDEX(Cum_TILC,1,Assumptions!BW$77)+LeasingCommissionPct*$E$20*$B$20*INDEX(Cum_TILC,1,Assumptions!BW$77),0)+IF(Assumptions!BW$72=$D$21+RetailDowntime,((1-RetailRenewalProb)*NewLeaseTI+RetailRenewalProb*RenewalTI)*$B$21*INDEX(Cum_TILC,1,Assumptions!BW$77)+LeasingCommissionPct*$E$21*$B$21*INDEX(Cum_TILC,1,Assumptions!BW$77),0)+IF(Assumptions!BW$72=$D$22+RetailDowntime,((1-RetailRenewalProb)*NewLeaseTI+RetailRenewalProb*RenewalTI)*$B$22*INDEX(Cum_TILC,1,Assumptions!BW$77)+LeasingCommissionPct*$E$22*$B$22*INDEX(Cum_TILC,1,Assumptions!BW$77),0))*Assumptions!BW$74</f>
        <v/>
      </c>
      <c r="BX41" s="52">
        <f>(IF(Assumptions!BX$72=$D$17+RetailDowntime,((1-RetailRenewalProb)*NewLeaseTI+RetailRenewalProb*RenewalTI)*$B$17*INDEX(Cum_TILC,1,Assumptions!BX$77)+LeasingCommissionPct*$E$17*$B$17*INDEX(Cum_TILC,1,Assumptions!BX$77),0)+IF(Assumptions!BX$72=$D$18+RetailDowntime,((1-RetailRenewalProb)*NewLeaseTI+RetailRenewalProb*RenewalTI)*$B$18*INDEX(Cum_TILC,1,Assumptions!BX$77)+LeasingCommissionPct*$E$18*$B$18*INDEX(Cum_TILC,1,Assumptions!BX$77),0)+IF(Assumptions!BX$72=$D$19+RetailDowntime,((1-RetailRenewalProb)*NewLeaseTI+RetailRenewalProb*RenewalTI)*$B$19*INDEX(Cum_TILC,1,Assumptions!BX$77)+LeasingCommissionPct*$E$19*$B$19*INDEX(Cum_TILC,1,Assumptions!BX$77),0)+IF(Assumptions!BX$72=$D$20+RetailDowntime,((1-RetailRenewalProb)*NewLeaseTI+RetailRenewalProb*RenewalTI)*$B$20*INDEX(Cum_TILC,1,Assumptions!BX$77)+LeasingCommissionPct*$E$20*$B$20*INDEX(Cum_TILC,1,Assumptions!BX$77),0)+IF(Assumptions!BX$72=$D$21+RetailDowntime,((1-RetailRenewalProb)*NewLeaseTI+RetailRenewalProb*RenewalTI)*$B$21*INDEX(Cum_TILC,1,Assumptions!BX$77)+LeasingCommissionPct*$E$21*$B$21*INDEX(Cum_TILC,1,Assumptions!BX$77),0)+IF(Assumptions!BX$72=$D$22+RetailDowntime,((1-RetailRenewalProb)*NewLeaseTI+RetailRenewalProb*RenewalTI)*$B$22*INDEX(Cum_TILC,1,Assumptions!BX$77)+LeasingCommissionPct*$E$22*$B$22*INDEX(Cum_TILC,1,Assumptions!BX$77),0))*Assumptions!BX$74</f>
        <v/>
      </c>
      <c r="BY41" s="52">
        <f>(IF(Assumptions!BY$72=$D$17+RetailDowntime,((1-RetailRenewalProb)*NewLeaseTI+RetailRenewalProb*RenewalTI)*$B$17*INDEX(Cum_TILC,1,Assumptions!BY$77)+LeasingCommissionPct*$E$17*$B$17*INDEX(Cum_TILC,1,Assumptions!BY$77),0)+IF(Assumptions!BY$72=$D$18+RetailDowntime,((1-RetailRenewalProb)*NewLeaseTI+RetailRenewalProb*RenewalTI)*$B$18*INDEX(Cum_TILC,1,Assumptions!BY$77)+LeasingCommissionPct*$E$18*$B$18*INDEX(Cum_TILC,1,Assumptions!BY$77),0)+IF(Assumptions!BY$72=$D$19+RetailDowntime,((1-RetailRenewalProb)*NewLeaseTI+RetailRenewalProb*RenewalTI)*$B$19*INDEX(Cum_TILC,1,Assumptions!BY$77)+LeasingCommissionPct*$E$19*$B$19*INDEX(Cum_TILC,1,Assumptions!BY$77),0)+IF(Assumptions!BY$72=$D$20+RetailDowntime,((1-RetailRenewalProb)*NewLeaseTI+RetailRenewalProb*RenewalTI)*$B$20*INDEX(Cum_TILC,1,Assumptions!BY$77)+LeasingCommissionPct*$E$20*$B$20*INDEX(Cum_TILC,1,Assumptions!BY$77),0)+IF(Assumptions!BY$72=$D$21+RetailDowntime,((1-RetailRenewalProb)*NewLeaseTI+RetailRenewalProb*RenewalTI)*$B$21*INDEX(Cum_TILC,1,Assumptions!BY$77)+LeasingCommissionPct*$E$21*$B$21*INDEX(Cum_TILC,1,Assumptions!BY$77),0)+IF(Assumptions!BY$72=$D$22+RetailDowntime,((1-RetailRenewalProb)*NewLeaseTI+RetailRenewalProb*RenewalTI)*$B$22*INDEX(Cum_TILC,1,Assumptions!BY$77)+LeasingCommissionPct*$E$22*$B$22*INDEX(Cum_TILC,1,Assumptions!BY$77),0))*Assumptions!BY$74</f>
        <v/>
      </c>
      <c r="BZ41" s="52">
        <f>(IF(Assumptions!BZ$72=$D$17+RetailDowntime,((1-RetailRenewalProb)*NewLeaseTI+RetailRenewalProb*RenewalTI)*$B$17*INDEX(Cum_TILC,1,Assumptions!BZ$77)+LeasingCommissionPct*$E$17*$B$17*INDEX(Cum_TILC,1,Assumptions!BZ$77),0)+IF(Assumptions!BZ$72=$D$18+RetailDowntime,((1-RetailRenewalProb)*NewLeaseTI+RetailRenewalProb*RenewalTI)*$B$18*INDEX(Cum_TILC,1,Assumptions!BZ$77)+LeasingCommissionPct*$E$18*$B$18*INDEX(Cum_TILC,1,Assumptions!BZ$77),0)+IF(Assumptions!BZ$72=$D$19+RetailDowntime,((1-RetailRenewalProb)*NewLeaseTI+RetailRenewalProb*RenewalTI)*$B$19*INDEX(Cum_TILC,1,Assumptions!BZ$77)+LeasingCommissionPct*$E$19*$B$19*INDEX(Cum_TILC,1,Assumptions!BZ$77),0)+IF(Assumptions!BZ$72=$D$20+RetailDowntime,((1-RetailRenewalProb)*NewLeaseTI+RetailRenewalProb*RenewalTI)*$B$20*INDEX(Cum_TILC,1,Assumptions!BZ$77)+LeasingCommissionPct*$E$20*$B$20*INDEX(Cum_TILC,1,Assumptions!BZ$77),0)+IF(Assumptions!BZ$72=$D$21+RetailDowntime,((1-RetailRenewalProb)*NewLeaseTI+RetailRenewalProb*RenewalTI)*$B$21*INDEX(Cum_TILC,1,Assumptions!BZ$77)+LeasingCommissionPct*$E$21*$B$21*INDEX(Cum_TILC,1,Assumptions!BZ$77),0)+IF(Assumptions!BZ$72=$D$22+RetailDowntime,((1-RetailRenewalProb)*NewLeaseTI+RetailRenewalProb*RenewalTI)*$B$22*INDEX(Cum_TILC,1,Assumptions!BZ$77)+LeasingCommissionPct*$E$22*$B$22*INDEX(Cum_TILC,1,Assumptions!BZ$77),0))*Assumptions!BZ$74</f>
        <v/>
      </c>
      <c r="CA41" s="52">
        <f>(IF(Assumptions!CA$72=$D$17+RetailDowntime,((1-RetailRenewalProb)*NewLeaseTI+RetailRenewalProb*RenewalTI)*$B$17*INDEX(Cum_TILC,1,Assumptions!CA$77)+LeasingCommissionPct*$E$17*$B$17*INDEX(Cum_TILC,1,Assumptions!CA$77),0)+IF(Assumptions!CA$72=$D$18+RetailDowntime,((1-RetailRenewalProb)*NewLeaseTI+RetailRenewalProb*RenewalTI)*$B$18*INDEX(Cum_TILC,1,Assumptions!CA$77)+LeasingCommissionPct*$E$18*$B$18*INDEX(Cum_TILC,1,Assumptions!CA$77),0)+IF(Assumptions!CA$72=$D$19+RetailDowntime,((1-RetailRenewalProb)*NewLeaseTI+RetailRenewalProb*RenewalTI)*$B$19*INDEX(Cum_TILC,1,Assumptions!CA$77)+LeasingCommissionPct*$E$19*$B$19*INDEX(Cum_TILC,1,Assumptions!CA$77),0)+IF(Assumptions!CA$72=$D$20+RetailDowntime,((1-RetailRenewalProb)*NewLeaseTI+RetailRenewalProb*RenewalTI)*$B$20*INDEX(Cum_TILC,1,Assumptions!CA$77)+LeasingCommissionPct*$E$20*$B$20*INDEX(Cum_TILC,1,Assumptions!CA$77),0)+IF(Assumptions!CA$72=$D$21+RetailDowntime,((1-RetailRenewalProb)*NewLeaseTI+RetailRenewalProb*RenewalTI)*$B$21*INDEX(Cum_TILC,1,Assumptions!CA$77)+LeasingCommissionPct*$E$21*$B$21*INDEX(Cum_TILC,1,Assumptions!CA$77),0)+IF(Assumptions!CA$72=$D$22+RetailDowntime,((1-RetailRenewalProb)*NewLeaseTI+RetailRenewalProb*RenewalTI)*$B$22*INDEX(Cum_TILC,1,Assumptions!CA$77)+LeasingCommissionPct*$E$22*$B$22*INDEX(Cum_TILC,1,Assumptions!CA$77),0))*Assumptions!CA$74</f>
        <v/>
      </c>
      <c r="CB41" s="52">
        <f>(IF(Assumptions!CB$72=$D$17+RetailDowntime,((1-RetailRenewalProb)*NewLeaseTI+RetailRenewalProb*RenewalTI)*$B$17*INDEX(Cum_TILC,1,Assumptions!CB$77)+LeasingCommissionPct*$E$17*$B$17*INDEX(Cum_TILC,1,Assumptions!CB$77),0)+IF(Assumptions!CB$72=$D$18+RetailDowntime,((1-RetailRenewalProb)*NewLeaseTI+RetailRenewalProb*RenewalTI)*$B$18*INDEX(Cum_TILC,1,Assumptions!CB$77)+LeasingCommissionPct*$E$18*$B$18*INDEX(Cum_TILC,1,Assumptions!CB$77),0)+IF(Assumptions!CB$72=$D$19+RetailDowntime,((1-RetailRenewalProb)*NewLeaseTI+RetailRenewalProb*RenewalTI)*$B$19*INDEX(Cum_TILC,1,Assumptions!CB$77)+LeasingCommissionPct*$E$19*$B$19*INDEX(Cum_TILC,1,Assumptions!CB$77),0)+IF(Assumptions!CB$72=$D$20+RetailDowntime,((1-RetailRenewalProb)*NewLeaseTI+RetailRenewalProb*RenewalTI)*$B$20*INDEX(Cum_TILC,1,Assumptions!CB$77)+LeasingCommissionPct*$E$20*$B$20*INDEX(Cum_TILC,1,Assumptions!CB$77),0)+IF(Assumptions!CB$72=$D$21+RetailDowntime,((1-RetailRenewalProb)*NewLeaseTI+RetailRenewalProb*RenewalTI)*$B$21*INDEX(Cum_TILC,1,Assumptions!CB$77)+LeasingCommissionPct*$E$21*$B$21*INDEX(Cum_TILC,1,Assumptions!CB$77),0)+IF(Assumptions!CB$72=$D$22+RetailDowntime,((1-RetailRenewalProb)*NewLeaseTI+RetailRenewalProb*RenewalTI)*$B$22*INDEX(Cum_TILC,1,Assumptions!CB$77)+LeasingCommissionPct*$E$22*$B$22*INDEX(Cum_TILC,1,Assumptions!CB$77),0))*Assumptions!CB$74</f>
        <v/>
      </c>
      <c r="CC41" s="52">
        <f>(IF(Assumptions!CC$72=$D$17+RetailDowntime,((1-RetailRenewalProb)*NewLeaseTI+RetailRenewalProb*RenewalTI)*$B$17*INDEX(Cum_TILC,1,Assumptions!CC$77)+LeasingCommissionPct*$E$17*$B$17*INDEX(Cum_TILC,1,Assumptions!CC$77),0)+IF(Assumptions!CC$72=$D$18+RetailDowntime,((1-RetailRenewalProb)*NewLeaseTI+RetailRenewalProb*RenewalTI)*$B$18*INDEX(Cum_TILC,1,Assumptions!CC$77)+LeasingCommissionPct*$E$18*$B$18*INDEX(Cum_TILC,1,Assumptions!CC$77),0)+IF(Assumptions!CC$72=$D$19+RetailDowntime,((1-RetailRenewalProb)*NewLeaseTI+RetailRenewalProb*RenewalTI)*$B$19*INDEX(Cum_TILC,1,Assumptions!CC$77)+LeasingCommissionPct*$E$19*$B$19*INDEX(Cum_TILC,1,Assumptions!CC$77),0)+IF(Assumptions!CC$72=$D$20+RetailDowntime,((1-RetailRenewalProb)*NewLeaseTI+RetailRenewalProb*RenewalTI)*$B$20*INDEX(Cum_TILC,1,Assumptions!CC$77)+LeasingCommissionPct*$E$20*$B$20*INDEX(Cum_TILC,1,Assumptions!CC$77),0)+IF(Assumptions!CC$72=$D$21+RetailDowntime,((1-RetailRenewalProb)*NewLeaseTI+RetailRenewalProb*RenewalTI)*$B$21*INDEX(Cum_TILC,1,Assumptions!CC$77)+LeasingCommissionPct*$E$21*$B$21*INDEX(Cum_TILC,1,Assumptions!CC$77),0)+IF(Assumptions!CC$72=$D$22+RetailDowntime,((1-RetailRenewalProb)*NewLeaseTI+RetailRenewalProb*RenewalTI)*$B$22*INDEX(Cum_TILC,1,Assumptions!CC$77)+LeasingCommissionPct*$E$22*$B$22*INDEX(Cum_TILC,1,Assumptions!CC$77),0))*Assumptions!CC$74</f>
        <v/>
      </c>
      <c r="CD41" s="52">
        <f>(IF(Assumptions!CD$72=$D$17+RetailDowntime,((1-RetailRenewalProb)*NewLeaseTI+RetailRenewalProb*RenewalTI)*$B$17*INDEX(Cum_TILC,1,Assumptions!CD$77)+LeasingCommissionPct*$E$17*$B$17*INDEX(Cum_TILC,1,Assumptions!CD$77),0)+IF(Assumptions!CD$72=$D$18+RetailDowntime,((1-RetailRenewalProb)*NewLeaseTI+RetailRenewalProb*RenewalTI)*$B$18*INDEX(Cum_TILC,1,Assumptions!CD$77)+LeasingCommissionPct*$E$18*$B$18*INDEX(Cum_TILC,1,Assumptions!CD$77),0)+IF(Assumptions!CD$72=$D$19+RetailDowntime,((1-RetailRenewalProb)*NewLeaseTI+RetailRenewalProb*RenewalTI)*$B$19*INDEX(Cum_TILC,1,Assumptions!CD$77)+LeasingCommissionPct*$E$19*$B$19*INDEX(Cum_TILC,1,Assumptions!CD$77),0)+IF(Assumptions!CD$72=$D$20+RetailDowntime,((1-RetailRenewalProb)*NewLeaseTI+RetailRenewalProb*RenewalTI)*$B$20*INDEX(Cum_TILC,1,Assumptions!CD$77)+LeasingCommissionPct*$E$20*$B$20*INDEX(Cum_TILC,1,Assumptions!CD$77),0)+IF(Assumptions!CD$72=$D$21+RetailDowntime,((1-RetailRenewalProb)*NewLeaseTI+RetailRenewalProb*RenewalTI)*$B$21*INDEX(Cum_TILC,1,Assumptions!CD$77)+LeasingCommissionPct*$E$21*$B$21*INDEX(Cum_TILC,1,Assumptions!CD$77),0)+IF(Assumptions!CD$72=$D$22+RetailDowntime,((1-RetailRenewalProb)*NewLeaseTI+RetailRenewalProb*RenewalTI)*$B$22*INDEX(Cum_TILC,1,Assumptions!CD$77)+LeasingCommissionPct*$E$22*$B$22*INDEX(Cum_TILC,1,Assumptions!CD$77),0))*Assumptions!CD$74</f>
        <v/>
      </c>
      <c r="CE41" s="52">
        <f>(IF(Assumptions!CE$72=$D$17+RetailDowntime,((1-RetailRenewalProb)*NewLeaseTI+RetailRenewalProb*RenewalTI)*$B$17*INDEX(Cum_TILC,1,Assumptions!CE$77)+LeasingCommissionPct*$E$17*$B$17*INDEX(Cum_TILC,1,Assumptions!CE$77),0)+IF(Assumptions!CE$72=$D$18+RetailDowntime,((1-RetailRenewalProb)*NewLeaseTI+RetailRenewalProb*RenewalTI)*$B$18*INDEX(Cum_TILC,1,Assumptions!CE$77)+LeasingCommissionPct*$E$18*$B$18*INDEX(Cum_TILC,1,Assumptions!CE$77),0)+IF(Assumptions!CE$72=$D$19+RetailDowntime,((1-RetailRenewalProb)*NewLeaseTI+RetailRenewalProb*RenewalTI)*$B$19*INDEX(Cum_TILC,1,Assumptions!CE$77)+LeasingCommissionPct*$E$19*$B$19*INDEX(Cum_TILC,1,Assumptions!CE$77),0)+IF(Assumptions!CE$72=$D$20+RetailDowntime,((1-RetailRenewalProb)*NewLeaseTI+RetailRenewalProb*RenewalTI)*$B$20*INDEX(Cum_TILC,1,Assumptions!CE$77)+LeasingCommissionPct*$E$20*$B$20*INDEX(Cum_TILC,1,Assumptions!CE$77),0)+IF(Assumptions!CE$72=$D$21+RetailDowntime,((1-RetailRenewalProb)*NewLeaseTI+RetailRenewalProb*RenewalTI)*$B$21*INDEX(Cum_TILC,1,Assumptions!CE$77)+LeasingCommissionPct*$E$21*$B$21*INDEX(Cum_TILC,1,Assumptions!CE$77),0)+IF(Assumptions!CE$72=$D$22+RetailDowntime,((1-RetailRenewalProb)*NewLeaseTI+RetailRenewalProb*RenewalTI)*$B$22*INDEX(Cum_TILC,1,Assumptions!CE$77)+LeasingCommissionPct*$E$22*$B$22*INDEX(Cum_TILC,1,Assumptions!CE$77),0))*Assumptions!CE$74</f>
        <v/>
      </c>
      <c r="CF41" s="52">
        <f>(IF(Assumptions!CF$72=$D$17+RetailDowntime,((1-RetailRenewalProb)*NewLeaseTI+RetailRenewalProb*RenewalTI)*$B$17*INDEX(Cum_TILC,1,Assumptions!CF$77)+LeasingCommissionPct*$E$17*$B$17*INDEX(Cum_TILC,1,Assumptions!CF$77),0)+IF(Assumptions!CF$72=$D$18+RetailDowntime,((1-RetailRenewalProb)*NewLeaseTI+RetailRenewalProb*RenewalTI)*$B$18*INDEX(Cum_TILC,1,Assumptions!CF$77)+LeasingCommissionPct*$E$18*$B$18*INDEX(Cum_TILC,1,Assumptions!CF$77),0)+IF(Assumptions!CF$72=$D$19+RetailDowntime,((1-RetailRenewalProb)*NewLeaseTI+RetailRenewalProb*RenewalTI)*$B$19*INDEX(Cum_TILC,1,Assumptions!CF$77)+LeasingCommissionPct*$E$19*$B$19*INDEX(Cum_TILC,1,Assumptions!CF$77),0)+IF(Assumptions!CF$72=$D$20+RetailDowntime,((1-RetailRenewalProb)*NewLeaseTI+RetailRenewalProb*RenewalTI)*$B$20*INDEX(Cum_TILC,1,Assumptions!CF$77)+LeasingCommissionPct*$E$20*$B$20*INDEX(Cum_TILC,1,Assumptions!CF$77),0)+IF(Assumptions!CF$72=$D$21+RetailDowntime,((1-RetailRenewalProb)*NewLeaseTI+RetailRenewalProb*RenewalTI)*$B$21*INDEX(Cum_TILC,1,Assumptions!CF$77)+LeasingCommissionPct*$E$21*$B$21*INDEX(Cum_TILC,1,Assumptions!CF$77),0)+IF(Assumptions!CF$72=$D$22+RetailDowntime,((1-RetailRenewalProb)*NewLeaseTI+RetailRenewalProb*RenewalTI)*$B$22*INDEX(Cum_TILC,1,Assumptions!CF$77)+LeasingCommissionPct*$E$22*$B$22*INDEX(Cum_TILC,1,Assumptions!CF$77),0))*Assumptions!CF$74</f>
        <v/>
      </c>
      <c r="CG41" s="52">
        <f>(IF(Assumptions!CG$72=$D$17+RetailDowntime,((1-RetailRenewalProb)*NewLeaseTI+RetailRenewalProb*RenewalTI)*$B$17*INDEX(Cum_TILC,1,Assumptions!CG$77)+LeasingCommissionPct*$E$17*$B$17*INDEX(Cum_TILC,1,Assumptions!CG$77),0)+IF(Assumptions!CG$72=$D$18+RetailDowntime,((1-RetailRenewalProb)*NewLeaseTI+RetailRenewalProb*RenewalTI)*$B$18*INDEX(Cum_TILC,1,Assumptions!CG$77)+LeasingCommissionPct*$E$18*$B$18*INDEX(Cum_TILC,1,Assumptions!CG$77),0)+IF(Assumptions!CG$72=$D$19+RetailDowntime,((1-RetailRenewalProb)*NewLeaseTI+RetailRenewalProb*RenewalTI)*$B$19*INDEX(Cum_TILC,1,Assumptions!CG$77)+LeasingCommissionPct*$E$19*$B$19*INDEX(Cum_TILC,1,Assumptions!CG$77),0)+IF(Assumptions!CG$72=$D$20+RetailDowntime,((1-RetailRenewalProb)*NewLeaseTI+RetailRenewalProb*RenewalTI)*$B$20*INDEX(Cum_TILC,1,Assumptions!CG$77)+LeasingCommissionPct*$E$20*$B$20*INDEX(Cum_TILC,1,Assumptions!CG$77),0)+IF(Assumptions!CG$72=$D$21+RetailDowntime,((1-RetailRenewalProb)*NewLeaseTI+RetailRenewalProb*RenewalTI)*$B$21*INDEX(Cum_TILC,1,Assumptions!CG$77)+LeasingCommissionPct*$E$21*$B$21*INDEX(Cum_TILC,1,Assumptions!CG$77),0)+IF(Assumptions!CG$72=$D$22+RetailDowntime,((1-RetailRenewalProb)*NewLeaseTI+RetailRenewalProb*RenewalTI)*$B$22*INDEX(Cum_TILC,1,Assumptions!CG$77)+LeasingCommissionPct*$E$22*$B$22*INDEX(Cum_TILC,1,Assumptions!CG$77),0))*Assumptions!CG$74</f>
        <v/>
      </c>
      <c r="CH41" s="52">
        <f>(IF(Assumptions!CH$72=$D$17+RetailDowntime,((1-RetailRenewalProb)*NewLeaseTI+RetailRenewalProb*RenewalTI)*$B$17*INDEX(Cum_TILC,1,Assumptions!CH$77)+LeasingCommissionPct*$E$17*$B$17*INDEX(Cum_TILC,1,Assumptions!CH$77),0)+IF(Assumptions!CH$72=$D$18+RetailDowntime,((1-RetailRenewalProb)*NewLeaseTI+RetailRenewalProb*RenewalTI)*$B$18*INDEX(Cum_TILC,1,Assumptions!CH$77)+LeasingCommissionPct*$E$18*$B$18*INDEX(Cum_TILC,1,Assumptions!CH$77),0)+IF(Assumptions!CH$72=$D$19+RetailDowntime,((1-RetailRenewalProb)*NewLeaseTI+RetailRenewalProb*RenewalTI)*$B$19*INDEX(Cum_TILC,1,Assumptions!CH$77)+LeasingCommissionPct*$E$19*$B$19*INDEX(Cum_TILC,1,Assumptions!CH$77),0)+IF(Assumptions!CH$72=$D$20+RetailDowntime,((1-RetailRenewalProb)*NewLeaseTI+RetailRenewalProb*RenewalTI)*$B$20*INDEX(Cum_TILC,1,Assumptions!CH$77)+LeasingCommissionPct*$E$20*$B$20*INDEX(Cum_TILC,1,Assumptions!CH$77),0)+IF(Assumptions!CH$72=$D$21+RetailDowntime,((1-RetailRenewalProb)*NewLeaseTI+RetailRenewalProb*RenewalTI)*$B$21*INDEX(Cum_TILC,1,Assumptions!CH$77)+LeasingCommissionPct*$E$21*$B$21*INDEX(Cum_TILC,1,Assumptions!CH$77),0)+IF(Assumptions!CH$72=$D$22+RetailDowntime,((1-RetailRenewalProb)*NewLeaseTI+RetailRenewalProb*RenewalTI)*$B$22*INDEX(Cum_TILC,1,Assumptions!CH$77)+LeasingCommissionPct*$E$22*$B$22*INDEX(Cum_TILC,1,Assumptions!CH$77),0))*Assumptions!CH$74</f>
        <v/>
      </c>
      <c r="CI41" s="52">
        <f>(IF(Assumptions!CI$72=$D$17+RetailDowntime,((1-RetailRenewalProb)*NewLeaseTI+RetailRenewalProb*RenewalTI)*$B$17*INDEX(Cum_TILC,1,Assumptions!CI$77)+LeasingCommissionPct*$E$17*$B$17*INDEX(Cum_TILC,1,Assumptions!CI$77),0)+IF(Assumptions!CI$72=$D$18+RetailDowntime,((1-RetailRenewalProb)*NewLeaseTI+RetailRenewalProb*RenewalTI)*$B$18*INDEX(Cum_TILC,1,Assumptions!CI$77)+LeasingCommissionPct*$E$18*$B$18*INDEX(Cum_TILC,1,Assumptions!CI$77),0)+IF(Assumptions!CI$72=$D$19+RetailDowntime,((1-RetailRenewalProb)*NewLeaseTI+RetailRenewalProb*RenewalTI)*$B$19*INDEX(Cum_TILC,1,Assumptions!CI$77)+LeasingCommissionPct*$E$19*$B$19*INDEX(Cum_TILC,1,Assumptions!CI$77),0)+IF(Assumptions!CI$72=$D$20+RetailDowntime,((1-RetailRenewalProb)*NewLeaseTI+RetailRenewalProb*RenewalTI)*$B$20*INDEX(Cum_TILC,1,Assumptions!CI$77)+LeasingCommissionPct*$E$20*$B$20*INDEX(Cum_TILC,1,Assumptions!CI$77),0)+IF(Assumptions!CI$72=$D$21+RetailDowntime,((1-RetailRenewalProb)*NewLeaseTI+RetailRenewalProb*RenewalTI)*$B$21*INDEX(Cum_TILC,1,Assumptions!CI$77)+LeasingCommissionPct*$E$21*$B$21*INDEX(Cum_TILC,1,Assumptions!CI$77),0)+IF(Assumptions!CI$72=$D$22+RetailDowntime,((1-RetailRenewalProb)*NewLeaseTI+RetailRenewalProb*RenewalTI)*$B$22*INDEX(Cum_TILC,1,Assumptions!CI$77)+LeasingCommissionPct*$E$22*$B$22*INDEX(Cum_TILC,1,Assumptions!CI$77),0))*Assumptions!CI$74</f>
        <v/>
      </c>
      <c r="CJ41" s="52">
        <f>(IF(Assumptions!CJ$72=$D$17+RetailDowntime,((1-RetailRenewalProb)*NewLeaseTI+RetailRenewalProb*RenewalTI)*$B$17*INDEX(Cum_TILC,1,Assumptions!CJ$77)+LeasingCommissionPct*$E$17*$B$17*INDEX(Cum_TILC,1,Assumptions!CJ$77),0)+IF(Assumptions!CJ$72=$D$18+RetailDowntime,((1-RetailRenewalProb)*NewLeaseTI+RetailRenewalProb*RenewalTI)*$B$18*INDEX(Cum_TILC,1,Assumptions!CJ$77)+LeasingCommissionPct*$E$18*$B$18*INDEX(Cum_TILC,1,Assumptions!CJ$77),0)+IF(Assumptions!CJ$72=$D$19+RetailDowntime,((1-RetailRenewalProb)*NewLeaseTI+RetailRenewalProb*RenewalTI)*$B$19*INDEX(Cum_TILC,1,Assumptions!CJ$77)+LeasingCommissionPct*$E$19*$B$19*INDEX(Cum_TILC,1,Assumptions!CJ$77),0)+IF(Assumptions!CJ$72=$D$20+RetailDowntime,((1-RetailRenewalProb)*NewLeaseTI+RetailRenewalProb*RenewalTI)*$B$20*INDEX(Cum_TILC,1,Assumptions!CJ$77)+LeasingCommissionPct*$E$20*$B$20*INDEX(Cum_TILC,1,Assumptions!CJ$77),0)+IF(Assumptions!CJ$72=$D$21+RetailDowntime,((1-RetailRenewalProb)*NewLeaseTI+RetailRenewalProb*RenewalTI)*$B$21*INDEX(Cum_TILC,1,Assumptions!CJ$77)+LeasingCommissionPct*$E$21*$B$21*INDEX(Cum_TILC,1,Assumptions!CJ$77),0)+IF(Assumptions!CJ$72=$D$22+RetailDowntime,((1-RetailRenewalProb)*NewLeaseTI+RetailRenewalProb*RenewalTI)*$B$22*INDEX(Cum_TILC,1,Assumptions!CJ$77)+LeasingCommissionPct*$E$22*$B$22*INDEX(Cum_TILC,1,Assumptions!CJ$77),0))*Assumptions!CJ$74</f>
        <v/>
      </c>
      <c r="CK41" s="52">
        <f>(IF(Assumptions!CK$72=$D$17+RetailDowntime,((1-RetailRenewalProb)*NewLeaseTI+RetailRenewalProb*RenewalTI)*$B$17*INDEX(Cum_TILC,1,Assumptions!CK$77)+LeasingCommissionPct*$E$17*$B$17*INDEX(Cum_TILC,1,Assumptions!CK$77),0)+IF(Assumptions!CK$72=$D$18+RetailDowntime,((1-RetailRenewalProb)*NewLeaseTI+RetailRenewalProb*RenewalTI)*$B$18*INDEX(Cum_TILC,1,Assumptions!CK$77)+LeasingCommissionPct*$E$18*$B$18*INDEX(Cum_TILC,1,Assumptions!CK$77),0)+IF(Assumptions!CK$72=$D$19+RetailDowntime,((1-RetailRenewalProb)*NewLeaseTI+RetailRenewalProb*RenewalTI)*$B$19*INDEX(Cum_TILC,1,Assumptions!CK$77)+LeasingCommissionPct*$E$19*$B$19*INDEX(Cum_TILC,1,Assumptions!CK$77),0)+IF(Assumptions!CK$72=$D$20+RetailDowntime,((1-RetailRenewalProb)*NewLeaseTI+RetailRenewalProb*RenewalTI)*$B$20*INDEX(Cum_TILC,1,Assumptions!CK$77)+LeasingCommissionPct*$E$20*$B$20*INDEX(Cum_TILC,1,Assumptions!CK$77),0)+IF(Assumptions!CK$72=$D$21+RetailDowntime,((1-RetailRenewalProb)*NewLeaseTI+RetailRenewalProb*RenewalTI)*$B$21*INDEX(Cum_TILC,1,Assumptions!CK$77)+LeasingCommissionPct*$E$21*$B$21*INDEX(Cum_TILC,1,Assumptions!CK$77),0)+IF(Assumptions!CK$72=$D$22+RetailDowntime,((1-RetailRenewalProb)*NewLeaseTI+RetailRenewalProb*RenewalTI)*$B$22*INDEX(Cum_TILC,1,Assumptions!CK$77)+LeasingCommissionPct*$E$22*$B$22*INDEX(Cum_TILC,1,Assumptions!CK$77),0))*Assumptions!CK$74</f>
        <v/>
      </c>
      <c r="CL41" s="52">
        <f>(IF(Assumptions!CL$72=$D$17+RetailDowntime,((1-RetailRenewalProb)*NewLeaseTI+RetailRenewalProb*RenewalTI)*$B$17*INDEX(Cum_TILC,1,Assumptions!CL$77)+LeasingCommissionPct*$E$17*$B$17*INDEX(Cum_TILC,1,Assumptions!CL$77),0)+IF(Assumptions!CL$72=$D$18+RetailDowntime,((1-RetailRenewalProb)*NewLeaseTI+RetailRenewalProb*RenewalTI)*$B$18*INDEX(Cum_TILC,1,Assumptions!CL$77)+LeasingCommissionPct*$E$18*$B$18*INDEX(Cum_TILC,1,Assumptions!CL$77),0)+IF(Assumptions!CL$72=$D$19+RetailDowntime,((1-RetailRenewalProb)*NewLeaseTI+RetailRenewalProb*RenewalTI)*$B$19*INDEX(Cum_TILC,1,Assumptions!CL$77)+LeasingCommissionPct*$E$19*$B$19*INDEX(Cum_TILC,1,Assumptions!CL$77),0)+IF(Assumptions!CL$72=$D$20+RetailDowntime,((1-RetailRenewalProb)*NewLeaseTI+RetailRenewalProb*RenewalTI)*$B$20*INDEX(Cum_TILC,1,Assumptions!CL$77)+LeasingCommissionPct*$E$20*$B$20*INDEX(Cum_TILC,1,Assumptions!CL$77),0)+IF(Assumptions!CL$72=$D$21+RetailDowntime,((1-RetailRenewalProb)*NewLeaseTI+RetailRenewalProb*RenewalTI)*$B$21*INDEX(Cum_TILC,1,Assumptions!CL$77)+LeasingCommissionPct*$E$21*$B$21*INDEX(Cum_TILC,1,Assumptions!CL$77),0)+IF(Assumptions!CL$72=$D$22+RetailDowntime,((1-RetailRenewalProb)*NewLeaseTI+RetailRenewalProb*RenewalTI)*$B$22*INDEX(Cum_TILC,1,Assumptions!CL$77)+LeasingCommissionPct*$E$22*$B$22*INDEX(Cum_TILC,1,Assumptions!CL$77),0))*Assumptions!CL$74</f>
        <v/>
      </c>
      <c r="CM41" s="52">
        <f>(IF(Assumptions!CM$72=$D$17+RetailDowntime,((1-RetailRenewalProb)*NewLeaseTI+RetailRenewalProb*RenewalTI)*$B$17*INDEX(Cum_TILC,1,Assumptions!CM$77)+LeasingCommissionPct*$E$17*$B$17*INDEX(Cum_TILC,1,Assumptions!CM$77),0)+IF(Assumptions!CM$72=$D$18+RetailDowntime,((1-RetailRenewalProb)*NewLeaseTI+RetailRenewalProb*RenewalTI)*$B$18*INDEX(Cum_TILC,1,Assumptions!CM$77)+LeasingCommissionPct*$E$18*$B$18*INDEX(Cum_TILC,1,Assumptions!CM$77),0)+IF(Assumptions!CM$72=$D$19+RetailDowntime,((1-RetailRenewalProb)*NewLeaseTI+RetailRenewalProb*RenewalTI)*$B$19*INDEX(Cum_TILC,1,Assumptions!CM$77)+LeasingCommissionPct*$E$19*$B$19*INDEX(Cum_TILC,1,Assumptions!CM$77),0)+IF(Assumptions!CM$72=$D$20+RetailDowntime,((1-RetailRenewalProb)*NewLeaseTI+RetailRenewalProb*RenewalTI)*$B$20*INDEX(Cum_TILC,1,Assumptions!CM$77)+LeasingCommissionPct*$E$20*$B$20*INDEX(Cum_TILC,1,Assumptions!CM$77),0)+IF(Assumptions!CM$72=$D$21+RetailDowntime,((1-RetailRenewalProb)*NewLeaseTI+RetailRenewalProb*RenewalTI)*$B$21*INDEX(Cum_TILC,1,Assumptions!CM$77)+LeasingCommissionPct*$E$21*$B$21*INDEX(Cum_TILC,1,Assumptions!CM$77),0)+IF(Assumptions!CM$72=$D$22+RetailDowntime,((1-RetailRenewalProb)*NewLeaseTI+RetailRenewalProb*RenewalTI)*$B$22*INDEX(Cum_TILC,1,Assumptions!CM$77)+LeasingCommissionPct*$E$22*$B$22*INDEX(Cum_TILC,1,Assumptions!CM$77),0))*Assumptions!CM$74</f>
        <v/>
      </c>
      <c r="CN41" s="52">
        <f>(IF(Assumptions!CN$72=$D$17+RetailDowntime,((1-RetailRenewalProb)*NewLeaseTI+RetailRenewalProb*RenewalTI)*$B$17*INDEX(Cum_TILC,1,Assumptions!CN$77)+LeasingCommissionPct*$E$17*$B$17*INDEX(Cum_TILC,1,Assumptions!CN$77),0)+IF(Assumptions!CN$72=$D$18+RetailDowntime,((1-RetailRenewalProb)*NewLeaseTI+RetailRenewalProb*RenewalTI)*$B$18*INDEX(Cum_TILC,1,Assumptions!CN$77)+LeasingCommissionPct*$E$18*$B$18*INDEX(Cum_TILC,1,Assumptions!CN$77),0)+IF(Assumptions!CN$72=$D$19+RetailDowntime,((1-RetailRenewalProb)*NewLeaseTI+RetailRenewalProb*RenewalTI)*$B$19*INDEX(Cum_TILC,1,Assumptions!CN$77)+LeasingCommissionPct*$E$19*$B$19*INDEX(Cum_TILC,1,Assumptions!CN$77),0)+IF(Assumptions!CN$72=$D$20+RetailDowntime,((1-RetailRenewalProb)*NewLeaseTI+RetailRenewalProb*RenewalTI)*$B$20*INDEX(Cum_TILC,1,Assumptions!CN$77)+LeasingCommissionPct*$E$20*$B$20*INDEX(Cum_TILC,1,Assumptions!CN$77),0)+IF(Assumptions!CN$72=$D$21+RetailDowntime,((1-RetailRenewalProb)*NewLeaseTI+RetailRenewalProb*RenewalTI)*$B$21*INDEX(Cum_TILC,1,Assumptions!CN$77)+LeasingCommissionPct*$E$21*$B$21*INDEX(Cum_TILC,1,Assumptions!CN$77),0)+IF(Assumptions!CN$72=$D$22+RetailDowntime,((1-RetailRenewalProb)*NewLeaseTI+RetailRenewalProb*RenewalTI)*$B$22*INDEX(Cum_TILC,1,Assumptions!CN$77)+LeasingCommissionPct*$E$22*$B$22*INDEX(Cum_TILC,1,Assumptions!CN$77),0))*Assumptions!CN$74</f>
        <v/>
      </c>
      <c r="CO41" s="52">
        <f>(IF(Assumptions!CO$72=$D$17+RetailDowntime,((1-RetailRenewalProb)*NewLeaseTI+RetailRenewalProb*RenewalTI)*$B$17*INDEX(Cum_TILC,1,Assumptions!CO$77)+LeasingCommissionPct*$E$17*$B$17*INDEX(Cum_TILC,1,Assumptions!CO$77),0)+IF(Assumptions!CO$72=$D$18+RetailDowntime,((1-RetailRenewalProb)*NewLeaseTI+RetailRenewalProb*RenewalTI)*$B$18*INDEX(Cum_TILC,1,Assumptions!CO$77)+LeasingCommissionPct*$E$18*$B$18*INDEX(Cum_TILC,1,Assumptions!CO$77),0)+IF(Assumptions!CO$72=$D$19+RetailDowntime,((1-RetailRenewalProb)*NewLeaseTI+RetailRenewalProb*RenewalTI)*$B$19*INDEX(Cum_TILC,1,Assumptions!CO$77)+LeasingCommissionPct*$E$19*$B$19*INDEX(Cum_TILC,1,Assumptions!CO$77),0)+IF(Assumptions!CO$72=$D$20+RetailDowntime,((1-RetailRenewalProb)*NewLeaseTI+RetailRenewalProb*RenewalTI)*$B$20*INDEX(Cum_TILC,1,Assumptions!CO$77)+LeasingCommissionPct*$E$20*$B$20*INDEX(Cum_TILC,1,Assumptions!CO$77),0)+IF(Assumptions!CO$72=$D$21+RetailDowntime,((1-RetailRenewalProb)*NewLeaseTI+RetailRenewalProb*RenewalTI)*$B$21*INDEX(Cum_TILC,1,Assumptions!CO$77)+LeasingCommissionPct*$E$21*$B$21*INDEX(Cum_TILC,1,Assumptions!CO$77),0)+IF(Assumptions!CO$72=$D$22+RetailDowntime,((1-RetailRenewalProb)*NewLeaseTI+RetailRenewalProb*RenewalTI)*$B$22*INDEX(Cum_TILC,1,Assumptions!CO$77)+LeasingCommissionPct*$E$22*$B$22*INDEX(Cum_TILC,1,Assumptions!CO$77),0))*Assumptions!CO$74</f>
        <v/>
      </c>
      <c r="CP41" s="52">
        <f>(IF(Assumptions!CP$72=$D$17+RetailDowntime,((1-RetailRenewalProb)*NewLeaseTI+RetailRenewalProb*RenewalTI)*$B$17*INDEX(Cum_TILC,1,Assumptions!CP$77)+LeasingCommissionPct*$E$17*$B$17*INDEX(Cum_TILC,1,Assumptions!CP$77),0)+IF(Assumptions!CP$72=$D$18+RetailDowntime,((1-RetailRenewalProb)*NewLeaseTI+RetailRenewalProb*RenewalTI)*$B$18*INDEX(Cum_TILC,1,Assumptions!CP$77)+LeasingCommissionPct*$E$18*$B$18*INDEX(Cum_TILC,1,Assumptions!CP$77),0)+IF(Assumptions!CP$72=$D$19+RetailDowntime,((1-RetailRenewalProb)*NewLeaseTI+RetailRenewalProb*RenewalTI)*$B$19*INDEX(Cum_TILC,1,Assumptions!CP$77)+LeasingCommissionPct*$E$19*$B$19*INDEX(Cum_TILC,1,Assumptions!CP$77),0)+IF(Assumptions!CP$72=$D$20+RetailDowntime,((1-RetailRenewalProb)*NewLeaseTI+RetailRenewalProb*RenewalTI)*$B$20*INDEX(Cum_TILC,1,Assumptions!CP$77)+LeasingCommissionPct*$E$20*$B$20*INDEX(Cum_TILC,1,Assumptions!CP$77),0)+IF(Assumptions!CP$72=$D$21+RetailDowntime,((1-RetailRenewalProb)*NewLeaseTI+RetailRenewalProb*RenewalTI)*$B$21*INDEX(Cum_TILC,1,Assumptions!CP$77)+LeasingCommissionPct*$E$21*$B$21*INDEX(Cum_TILC,1,Assumptions!CP$77),0)+IF(Assumptions!CP$72=$D$22+RetailDowntime,((1-RetailRenewalProb)*NewLeaseTI+RetailRenewalProb*RenewalTI)*$B$22*INDEX(Cum_TILC,1,Assumptions!CP$77)+LeasingCommissionPct*$E$22*$B$22*INDEX(Cum_TILC,1,Assumptions!CP$77),0))*Assumptions!CP$74</f>
        <v/>
      </c>
      <c r="CQ41" s="52">
        <f>(IF(Assumptions!CQ$72=$D$17+RetailDowntime,((1-RetailRenewalProb)*NewLeaseTI+RetailRenewalProb*RenewalTI)*$B$17*INDEX(Cum_TILC,1,Assumptions!CQ$77)+LeasingCommissionPct*$E$17*$B$17*INDEX(Cum_TILC,1,Assumptions!CQ$77),0)+IF(Assumptions!CQ$72=$D$18+RetailDowntime,((1-RetailRenewalProb)*NewLeaseTI+RetailRenewalProb*RenewalTI)*$B$18*INDEX(Cum_TILC,1,Assumptions!CQ$77)+LeasingCommissionPct*$E$18*$B$18*INDEX(Cum_TILC,1,Assumptions!CQ$77),0)+IF(Assumptions!CQ$72=$D$19+RetailDowntime,((1-RetailRenewalProb)*NewLeaseTI+RetailRenewalProb*RenewalTI)*$B$19*INDEX(Cum_TILC,1,Assumptions!CQ$77)+LeasingCommissionPct*$E$19*$B$19*INDEX(Cum_TILC,1,Assumptions!CQ$77),0)+IF(Assumptions!CQ$72=$D$20+RetailDowntime,((1-RetailRenewalProb)*NewLeaseTI+RetailRenewalProb*RenewalTI)*$B$20*INDEX(Cum_TILC,1,Assumptions!CQ$77)+LeasingCommissionPct*$E$20*$B$20*INDEX(Cum_TILC,1,Assumptions!CQ$77),0)+IF(Assumptions!CQ$72=$D$21+RetailDowntime,((1-RetailRenewalProb)*NewLeaseTI+RetailRenewalProb*RenewalTI)*$B$21*INDEX(Cum_TILC,1,Assumptions!CQ$77)+LeasingCommissionPct*$E$21*$B$21*INDEX(Cum_TILC,1,Assumptions!CQ$77),0)+IF(Assumptions!CQ$72=$D$22+RetailDowntime,((1-RetailRenewalProb)*NewLeaseTI+RetailRenewalProb*RenewalTI)*$B$22*INDEX(Cum_TILC,1,Assumptions!CQ$77)+LeasingCommissionPct*$E$22*$B$22*INDEX(Cum_TILC,1,Assumptions!CQ$77),0))*Assumptions!CQ$74</f>
        <v/>
      </c>
      <c r="CR41" s="52">
        <f>(IF(Assumptions!CR$72=$D$17+RetailDowntime,((1-RetailRenewalProb)*NewLeaseTI+RetailRenewalProb*RenewalTI)*$B$17*INDEX(Cum_TILC,1,Assumptions!CR$77)+LeasingCommissionPct*$E$17*$B$17*INDEX(Cum_TILC,1,Assumptions!CR$77),0)+IF(Assumptions!CR$72=$D$18+RetailDowntime,((1-RetailRenewalProb)*NewLeaseTI+RetailRenewalProb*RenewalTI)*$B$18*INDEX(Cum_TILC,1,Assumptions!CR$77)+LeasingCommissionPct*$E$18*$B$18*INDEX(Cum_TILC,1,Assumptions!CR$77),0)+IF(Assumptions!CR$72=$D$19+RetailDowntime,((1-RetailRenewalProb)*NewLeaseTI+RetailRenewalProb*RenewalTI)*$B$19*INDEX(Cum_TILC,1,Assumptions!CR$77)+LeasingCommissionPct*$E$19*$B$19*INDEX(Cum_TILC,1,Assumptions!CR$77),0)+IF(Assumptions!CR$72=$D$20+RetailDowntime,((1-RetailRenewalProb)*NewLeaseTI+RetailRenewalProb*RenewalTI)*$B$20*INDEX(Cum_TILC,1,Assumptions!CR$77)+LeasingCommissionPct*$E$20*$B$20*INDEX(Cum_TILC,1,Assumptions!CR$77),0)+IF(Assumptions!CR$72=$D$21+RetailDowntime,((1-RetailRenewalProb)*NewLeaseTI+RetailRenewalProb*RenewalTI)*$B$21*INDEX(Cum_TILC,1,Assumptions!CR$77)+LeasingCommissionPct*$E$21*$B$21*INDEX(Cum_TILC,1,Assumptions!CR$77),0)+IF(Assumptions!CR$72=$D$22+RetailDowntime,((1-RetailRenewalProb)*NewLeaseTI+RetailRenewalProb*RenewalTI)*$B$22*INDEX(Cum_TILC,1,Assumptions!CR$77)+LeasingCommissionPct*$E$22*$B$22*INDEX(Cum_TILC,1,Assumptions!CR$77),0))*Assumptions!CR$74</f>
        <v/>
      </c>
      <c r="CS41" s="52">
        <f>(IF(Assumptions!CS$72=$D$17+RetailDowntime,((1-RetailRenewalProb)*NewLeaseTI+RetailRenewalProb*RenewalTI)*$B$17*INDEX(Cum_TILC,1,Assumptions!CS$77)+LeasingCommissionPct*$E$17*$B$17*INDEX(Cum_TILC,1,Assumptions!CS$77),0)+IF(Assumptions!CS$72=$D$18+RetailDowntime,((1-RetailRenewalProb)*NewLeaseTI+RetailRenewalProb*RenewalTI)*$B$18*INDEX(Cum_TILC,1,Assumptions!CS$77)+LeasingCommissionPct*$E$18*$B$18*INDEX(Cum_TILC,1,Assumptions!CS$77),0)+IF(Assumptions!CS$72=$D$19+RetailDowntime,((1-RetailRenewalProb)*NewLeaseTI+RetailRenewalProb*RenewalTI)*$B$19*INDEX(Cum_TILC,1,Assumptions!CS$77)+LeasingCommissionPct*$E$19*$B$19*INDEX(Cum_TILC,1,Assumptions!CS$77),0)+IF(Assumptions!CS$72=$D$20+RetailDowntime,((1-RetailRenewalProb)*NewLeaseTI+RetailRenewalProb*RenewalTI)*$B$20*INDEX(Cum_TILC,1,Assumptions!CS$77)+LeasingCommissionPct*$E$20*$B$20*INDEX(Cum_TILC,1,Assumptions!CS$77),0)+IF(Assumptions!CS$72=$D$21+RetailDowntime,((1-RetailRenewalProb)*NewLeaseTI+RetailRenewalProb*RenewalTI)*$B$21*INDEX(Cum_TILC,1,Assumptions!CS$77)+LeasingCommissionPct*$E$21*$B$21*INDEX(Cum_TILC,1,Assumptions!CS$77),0)+IF(Assumptions!CS$72=$D$22+RetailDowntime,((1-RetailRenewalProb)*NewLeaseTI+RetailRenewalProb*RenewalTI)*$B$22*INDEX(Cum_TILC,1,Assumptions!CS$77)+LeasingCommissionPct*$E$22*$B$22*INDEX(Cum_TILC,1,Assumptions!CS$77),0))*Assumptions!CS$74</f>
        <v/>
      </c>
      <c r="CT41" s="52">
        <f>(IF(Assumptions!CT$72=$D$17+RetailDowntime,((1-RetailRenewalProb)*NewLeaseTI+RetailRenewalProb*RenewalTI)*$B$17*INDEX(Cum_TILC,1,Assumptions!CT$77)+LeasingCommissionPct*$E$17*$B$17*INDEX(Cum_TILC,1,Assumptions!CT$77),0)+IF(Assumptions!CT$72=$D$18+RetailDowntime,((1-RetailRenewalProb)*NewLeaseTI+RetailRenewalProb*RenewalTI)*$B$18*INDEX(Cum_TILC,1,Assumptions!CT$77)+LeasingCommissionPct*$E$18*$B$18*INDEX(Cum_TILC,1,Assumptions!CT$77),0)+IF(Assumptions!CT$72=$D$19+RetailDowntime,((1-RetailRenewalProb)*NewLeaseTI+RetailRenewalProb*RenewalTI)*$B$19*INDEX(Cum_TILC,1,Assumptions!CT$77)+LeasingCommissionPct*$E$19*$B$19*INDEX(Cum_TILC,1,Assumptions!CT$77),0)+IF(Assumptions!CT$72=$D$20+RetailDowntime,((1-RetailRenewalProb)*NewLeaseTI+RetailRenewalProb*RenewalTI)*$B$20*INDEX(Cum_TILC,1,Assumptions!CT$77)+LeasingCommissionPct*$E$20*$B$20*INDEX(Cum_TILC,1,Assumptions!CT$77),0)+IF(Assumptions!CT$72=$D$21+RetailDowntime,((1-RetailRenewalProb)*NewLeaseTI+RetailRenewalProb*RenewalTI)*$B$21*INDEX(Cum_TILC,1,Assumptions!CT$77)+LeasingCommissionPct*$E$21*$B$21*INDEX(Cum_TILC,1,Assumptions!CT$77),0)+IF(Assumptions!CT$72=$D$22+RetailDowntime,((1-RetailRenewalProb)*NewLeaseTI+RetailRenewalProb*RenewalTI)*$B$22*INDEX(Cum_TILC,1,Assumptions!CT$77)+LeasingCommissionPct*$E$22*$B$22*INDEX(Cum_TILC,1,Assumptions!CT$77),0))*Assumptions!CT$74</f>
        <v/>
      </c>
      <c r="CU41" s="52">
        <f>(IF(Assumptions!CU$72=$D$17+RetailDowntime,((1-RetailRenewalProb)*NewLeaseTI+RetailRenewalProb*RenewalTI)*$B$17*INDEX(Cum_TILC,1,Assumptions!CU$77)+LeasingCommissionPct*$E$17*$B$17*INDEX(Cum_TILC,1,Assumptions!CU$77),0)+IF(Assumptions!CU$72=$D$18+RetailDowntime,((1-RetailRenewalProb)*NewLeaseTI+RetailRenewalProb*RenewalTI)*$B$18*INDEX(Cum_TILC,1,Assumptions!CU$77)+LeasingCommissionPct*$E$18*$B$18*INDEX(Cum_TILC,1,Assumptions!CU$77),0)+IF(Assumptions!CU$72=$D$19+RetailDowntime,((1-RetailRenewalProb)*NewLeaseTI+RetailRenewalProb*RenewalTI)*$B$19*INDEX(Cum_TILC,1,Assumptions!CU$77)+LeasingCommissionPct*$E$19*$B$19*INDEX(Cum_TILC,1,Assumptions!CU$77),0)+IF(Assumptions!CU$72=$D$20+RetailDowntime,((1-RetailRenewalProb)*NewLeaseTI+RetailRenewalProb*RenewalTI)*$B$20*INDEX(Cum_TILC,1,Assumptions!CU$77)+LeasingCommissionPct*$E$20*$B$20*INDEX(Cum_TILC,1,Assumptions!CU$77),0)+IF(Assumptions!CU$72=$D$21+RetailDowntime,((1-RetailRenewalProb)*NewLeaseTI+RetailRenewalProb*RenewalTI)*$B$21*INDEX(Cum_TILC,1,Assumptions!CU$77)+LeasingCommissionPct*$E$21*$B$21*INDEX(Cum_TILC,1,Assumptions!CU$77),0)+IF(Assumptions!CU$72=$D$22+RetailDowntime,((1-RetailRenewalProb)*NewLeaseTI+RetailRenewalProb*RenewalTI)*$B$22*INDEX(Cum_TILC,1,Assumptions!CU$77)+LeasingCommissionPct*$E$22*$B$22*INDEX(Cum_TILC,1,Assumptions!CU$77),0))*Assumptions!CU$74</f>
        <v/>
      </c>
      <c r="CV41" s="52">
        <f>(IF(Assumptions!CV$72=$D$17+RetailDowntime,((1-RetailRenewalProb)*NewLeaseTI+RetailRenewalProb*RenewalTI)*$B$17*INDEX(Cum_TILC,1,Assumptions!CV$77)+LeasingCommissionPct*$E$17*$B$17*INDEX(Cum_TILC,1,Assumptions!CV$77),0)+IF(Assumptions!CV$72=$D$18+RetailDowntime,((1-RetailRenewalProb)*NewLeaseTI+RetailRenewalProb*RenewalTI)*$B$18*INDEX(Cum_TILC,1,Assumptions!CV$77)+LeasingCommissionPct*$E$18*$B$18*INDEX(Cum_TILC,1,Assumptions!CV$77),0)+IF(Assumptions!CV$72=$D$19+RetailDowntime,((1-RetailRenewalProb)*NewLeaseTI+RetailRenewalProb*RenewalTI)*$B$19*INDEX(Cum_TILC,1,Assumptions!CV$77)+LeasingCommissionPct*$E$19*$B$19*INDEX(Cum_TILC,1,Assumptions!CV$77),0)+IF(Assumptions!CV$72=$D$20+RetailDowntime,((1-RetailRenewalProb)*NewLeaseTI+RetailRenewalProb*RenewalTI)*$B$20*INDEX(Cum_TILC,1,Assumptions!CV$77)+LeasingCommissionPct*$E$20*$B$20*INDEX(Cum_TILC,1,Assumptions!CV$77),0)+IF(Assumptions!CV$72=$D$21+RetailDowntime,((1-RetailRenewalProb)*NewLeaseTI+RetailRenewalProb*RenewalTI)*$B$21*INDEX(Cum_TILC,1,Assumptions!CV$77)+LeasingCommissionPct*$E$21*$B$21*INDEX(Cum_TILC,1,Assumptions!CV$77),0)+IF(Assumptions!CV$72=$D$22+RetailDowntime,((1-RetailRenewalProb)*NewLeaseTI+RetailRenewalProb*RenewalTI)*$B$22*INDEX(Cum_TILC,1,Assumptions!CV$77)+LeasingCommissionPct*$E$22*$B$22*INDEX(Cum_TILC,1,Assumptions!CV$77),0))*Assumptions!CV$74</f>
        <v/>
      </c>
      <c r="CW41" s="52">
        <f>(IF(Assumptions!CW$72=$D$17+RetailDowntime,((1-RetailRenewalProb)*NewLeaseTI+RetailRenewalProb*RenewalTI)*$B$17*INDEX(Cum_TILC,1,Assumptions!CW$77)+LeasingCommissionPct*$E$17*$B$17*INDEX(Cum_TILC,1,Assumptions!CW$77),0)+IF(Assumptions!CW$72=$D$18+RetailDowntime,((1-RetailRenewalProb)*NewLeaseTI+RetailRenewalProb*RenewalTI)*$B$18*INDEX(Cum_TILC,1,Assumptions!CW$77)+LeasingCommissionPct*$E$18*$B$18*INDEX(Cum_TILC,1,Assumptions!CW$77),0)+IF(Assumptions!CW$72=$D$19+RetailDowntime,((1-RetailRenewalProb)*NewLeaseTI+RetailRenewalProb*RenewalTI)*$B$19*INDEX(Cum_TILC,1,Assumptions!CW$77)+LeasingCommissionPct*$E$19*$B$19*INDEX(Cum_TILC,1,Assumptions!CW$77),0)+IF(Assumptions!CW$72=$D$20+RetailDowntime,((1-RetailRenewalProb)*NewLeaseTI+RetailRenewalProb*RenewalTI)*$B$20*INDEX(Cum_TILC,1,Assumptions!CW$77)+LeasingCommissionPct*$E$20*$B$20*INDEX(Cum_TILC,1,Assumptions!CW$77),0)+IF(Assumptions!CW$72=$D$21+RetailDowntime,((1-RetailRenewalProb)*NewLeaseTI+RetailRenewalProb*RenewalTI)*$B$21*INDEX(Cum_TILC,1,Assumptions!CW$77)+LeasingCommissionPct*$E$21*$B$21*INDEX(Cum_TILC,1,Assumptions!CW$77),0)+IF(Assumptions!CW$72=$D$22+RetailDowntime,((1-RetailRenewalProb)*NewLeaseTI+RetailRenewalProb*RenewalTI)*$B$22*INDEX(Cum_TILC,1,Assumptions!CW$77)+LeasingCommissionPct*$E$22*$B$22*INDEX(Cum_TILC,1,Assumptions!CW$77),0))*Assumptions!CW$74</f>
        <v/>
      </c>
      <c r="CX41" s="52">
        <f>(IF(Assumptions!CX$72=$D$17+RetailDowntime,((1-RetailRenewalProb)*NewLeaseTI+RetailRenewalProb*RenewalTI)*$B$17*INDEX(Cum_TILC,1,Assumptions!CX$77)+LeasingCommissionPct*$E$17*$B$17*INDEX(Cum_TILC,1,Assumptions!CX$77),0)+IF(Assumptions!CX$72=$D$18+RetailDowntime,((1-RetailRenewalProb)*NewLeaseTI+RetailRenewalProb*RenewalTI)*$B$18*INDEX(Cum_TILC,1,Assumptions!CX$77)+LeasingCommissionPct*$E$18*$B$18*INDEX(Cum_TILC,1,Assumptions!CX$77),0)+IF(Assumptions!CX$72=$D$19+RetailDowntime,((1-RetailRenewalProb)*NewLeaseTI+RetailRenewalProb*RenewalTI)*$B$19*INDEX(Cum_TILC,1,Assumptions!CX$77)+LeasingCommissionPct*$E$19*$B$19*INDEX(Cum_TILC,1,Assumptions!CX$77),0)+IF(Assumptions!CX$72=$D$20+RetailDowntime,((1-RetailRenewalProb)*NewLeaseTI+RetailRenewalProb*RenewalTI)*$B$20*INDEX(Cum_TILC,1,Assumptions!CX$77)+LeasingCommissionPct*$E$20*$B$20*INDEX(Cum_TILC,1,Assumptions!CX$77),0)+IF(Assumptions!CX$72=$D$21+RetailDowntime,((1-RetailRenewalProb)*NewLeaseTI+RetailRenewalProb*RenewalTI)*$B$21*INDEX(Cum_TILC,1,Assumptions!CX$77)+LeasingCommissionPct*$E$21*$B$21*INDEX(Cum_TILC,1,Assumptions!CX$77),0)+IF(Assumptions!CX$72=$D$22+RetailDowntime,((1-RetailRenewalProb)*NewLeaseTI+RetailRenewalProb*RenewalTI)*$B$22*INDEX(Cum_TILC,1,Assumptions!CX$77)+LeasingCommissionPct*$E$22*$B$22*INDEX(Cum_TILC,1,Assumptions!CX$77),0))*Assumptions!CX$74</f>
        <v/>
      </c>
      <c r="CY41" s="52">
        <f>(IF(Assumptions!CY$72=$D$17+RetailDowntime,((1-RetailRenewalProb)*NewLeaseTI+RetailRenewalProb*RenewalTI)*$B$17*INDEX(Cum_TILC,1,Assumptions!CY$77)+LeasingCommissionPct*$E$17*$B$17*INDEX(Cum_TILC,1,Assumptions!CY$77),0)+IF(Assumptions!CY$72=$D$18+RetailDowntime,((1-RetailRenewalProb)*NewLeaseTI+RetailRenewalProb*RenewalTI)*$B$18*INDEX(Cum_TILC,1,Assumptions!CY$77)+LeasingCommissionPct*$E$18*$B$18*INDEX(Cum_TILC,1,Assumptions!CY$77),0)+IF(Assumptions!CY$72=$D$19+RetailDowntime,((1-RetailRenewalProb)*NewLeaseTI+RetailRenewalProb*RenewalTI)*$B$19*INDEX(Cum_TILC,1,Assumptions!CY$77)+LeasingCommissionPct*$E$19*$B$19*INDEX(Cum_TILC,1,Assumptions!CY$77),0)+IF(Assumptions!CY$72=$D$20+RetailDowntime,((1-RetailRenewalProb)*NewLeaseTI+RetailRenewalProb*RenewalTI)*$B$20*INDEX(Cum_TILC,1,Assumptions!CY$77)+LeasingCommissionPct*$E$20*$B$20*INDEX(Cum_TILC,1,Assumptions!CY$77),0)+IF(Assumptions!CY$72=$D$21+RetailDowntime,((1-RetailRenewalProb)*NewLeaseTI+RetailRenewalProb*RenewalTI)*$B$21*INDEX(Cum_TILC,1,Assumptions!CY$77)+LeasingCommissionPct*$E$21*$B$21*INDEX(Cum_TILC,1,Assumptions!CY$77),0)+IF(Assumptions!CY$72=$D$22+RetailDowntime,((1-RetailRenewalProb)*NewLeaseTI+RetailRenewalProb*RenewalTI)*$B$22*INDEX(Cum_TILC,1,Assumptions!CY$77)+LeasingCommissionPct*$E$22*$B$22*INDEX(Cum_TILC,1,Assumptions!CY$77),0))*Assumptions!CY$74</f>
        <v/>
      </c>
      <c r="CZ41" s="52">
        <f>(IF(Assumptions!CZ$72=$D$17+RetailDowntime,((1-RetailRenewalProb)*NewLeaseTI+RetailRenewalProb*RenewalTI)*$B$17*INDEX(Cum_TILC,1,Assumptions!CZ$77)+LeasingCommissionPct*$E$17*$B$17*INDEX(Cum_TILC,1,Assumptions!CZ$77),0)+IF(Assumptions!CZ$72=$D$18+RetailDowntime,((1-RetailRenewalProb)*NewLeaseTI+RetailRenewalProb*RenewalTI)*$B$18*INDEX(Cum_TILC,1,Assumptions!CZ$77)+LeasingCommissionPct*$E$18*$B$18*INDEX(Cum_TILC,1,Assumptions!CZ$77),0)+IF(Assumptions!CZ$72=$D$19+RetailDowntime,((1-RetailRenewalProb)*NewLeaseTI+RetailRenewalProb*RenewalTI)*$B$19*INDEX(Cum_TILC,1,Assumptions!CZ$77)+LeasingCommissionPct*$E$19*$B$19*INDEX(Cum_TILC,1,Assumptions!CZ$77),0)+IF(Assumptions!CZ$72=$D$20+RetailDowntime,((1-RetailRenewalProb)*NewLeaseTI+RetailRenewalProb*RenewalTI)*$B$20*INDEX(Cum_TILC,1,Assumptions!CZ$77)+LeasingCommissionPct*$E$20*$B$20*INDEX(Cum_TILC,1,Assumptions!CZ$77),0)+IF(Assumptions!CZ$72=$D$21+RetailDowntime,((1-RetailRenewalProb)*NewLeaseTI+RetailRenewalProb*RenewalTI)*$B$21*INDEX(Cum_TILC,1,Assumptions!CZ$77)+LeasingCommissionPct*$E$21*$B$21*INDEX(Cum_TILC,1,Assumptions!CZ$77),0)+IF(Assumptions!CZ$72=$D$22+RetailDowntime,((1-RetailRenewalProb)*NewLeaseTI+RetailRenewalProb*RenewalTI)*$B$22*INDEX(Cum_TILC,1,Assumptions!CZ$77)+LeasingCommissionPct*$E$22*$B$22*INDEX(Cum_TILC,1,Assumptions!CZ$77),0))*Assumptions!CZ$74</f>
        <v/>
      </c>
      <c r="DA41" s="52">
        <f>(IF(Assumptions!DA$72=$D$17+RetailDowntime,((1-RetailRenewalProb)*NewLeaseTI+RetailRenewalProb*RenewalTI)*$B$17*INDEX(Cum_TILC,1,Assumptions!DA$77)+LeasingCommissionPct*$E$17*$B$17*INDEX(Cum_TILC,1,Assumptions!DA$77),0)+IF(Assumptions!DA$72=$D$18+RetailDowntime,((1-RetailRenewalProb)*NewLeaseTI+RetailRenewalProb*RenewalTI)*$B$18*INDEX(Cum_TILC,1,Assumptions!DA$77)+LeasingCommissionPct*$E$18*$B$18*INDEX(Cum_TILC,1,Assumptions!DA$77),0)+IF(Assumptions!DA$72=$D$19+RetailDowntime,((1-RetailRenewalProb)*NewLeaseTI+RetailRenewalProb*RenewalTI)*$B$19*INDEX(Cum_TILC,1,Assumptions!DA$77)+LeasingCommissionPct*$E$19*$B$19*INDEX(Cum_TILC,1,Assumptions!DA$77),0)+IF(Assumptions!DA$72=$D$20+RetailDowntime,((1-RetailRenewalProb)*NewLeaseTI+RetailRenewalProb*RenewalTI)*$B$20*INDEX(Cum_TILC,1,Assumptions!DA$77)+LeasingCommissionPct*$E$20*$B$20*INDEX(Cum_TILC,1,Assumptions!DA$77),0)+IF(Assumptions!DA$72=$D$21+RetailDowntime,((1-RetailRenewalProb)*NewLeaseTI+RetailRenewalProb*RenewalTI)*$B$21*INDEX(Cum_TILC,1,Assumptions!DA$77)+LeasingCommissionPct*$E$21*$B$21*INDEX(Cum_TILC,1,Assumptions!DA$77),0)+IF(Assumptions!DA$72=$D$22+RetailDowntime,((1-RetailRenewalProb)*NewLeaseTI+RetailRenewalProb*RenewalTI)*$B$22*INDEX(Cum_TILC,1,Assumptions!DA$77)+LeasingCommissionPct*$E$22*$B$22*INDEX(Cum_TILC,1,Assumptions!DA$77),0))*Assumptions!DA$74</f>
        <v/>
      </c>
      <c r="DB41" s="52">
        <f>(IF(Assumptions!DB$72=$D$17+RetailDowntime,((1-RetailRenewalProb)*NewLeaseTI+RetailRenewalProb*RenewalTI)*$B$17*INDEX(Cum_TILC,1,Assumptions!DB$77)+LeasingCommissionPct*$E$17*$B$17*INDEX(Cum_TILC,1,Assumptions!DB$77),0)+IF(Assumptions!DB$72=$D$18+RetailDowntime,((1-RetailRenewalProb)*NewLeaseTI+RetailRenewalProb*RenewalTI)*$B$18*INDEX(Cum_TILC,1,Assumptions!DB$77)+LeasingCommissionPct*$E$18*$B$18*INDEX(Cum_TILC,1,Assumptions!DB$77),0)+IF(Assumptions!DB$72=$D$19+RetailDowntime,((1-RetailRenewalProb)*NewLeaseTI+RetailRenewalProb*RenewalTI)*$B$19*INDEX(Cum_TILC,1,Assumptions!DB$77)+LeasingCommissionPct*$E$19*$B$19*INDEX(Cum_TILC,1,Assumptions!DB$77),0)+IF(Assumptions!DB$72=$D$20+RetailDowntime,((1-RetailRenewalProb)*NewLeaseTI+RetailRenewalProb*RenewalTI)*$B$20*INDEX(Cum_TILC,1,Assumptions!DB$77)+LeasingCommissionPct*$E$20*$B$20*INDEX(Cum_TILC,1,Assumptions!DB$77),0)+IF(Assumptions!DB$72=$D$21+RetailDowntime,((1-RetailRenewalProb)*NewLeaseTI+RetailRenewalProb*RenewalTI)*$B$21*INDEX(Cum_TILC,1,Assumptions!DB$77)+LeasingCommissionPct*$E$21*$B$21*INDEX(Cum_TILC,1,Assumptions!DB$77),0)+IF(Assumptions!DB$72=$D$22+RetailDowntime,((1-RetailRenewalProb)*NewLeaseTI+RetailRenewalProb*RenewalTI)*$B$22*INDEX(Cum_TILC,1,Assumptions!DB$77)+LeasingCommissionPct*$E$22*$B$22*INDEX(Cum_TILC,1,Assumptions!DB$77),0))*Assumptions!DB$74</f>
        <v/>
      </c>
      <c r="DC41" s="52">
        <f>(IF(Assumptions!DC$72=$D$17+RetailDowntime,((1-RetailRenewalProb)*NewLeaseTI+RetailRenewalProb*RenewalTI)*$B$17*INDEX(Cum_TILC,1,Assumptions!DC$77)+LeasingCommissionPct*$E$17*$B$17*INDEX(Cum_TILC,1,Assumptions!DC$77),0)+IF(Assumptions!DC$72=$D$18+RetailDowntime,((1-RetailRenewalProb)*NewLeaseTI+RetailRenewalProb*RenewalTI)*$B$18*INDEX(Cum_TILC,1,Assumptions!DC$77)+LeasingCommissionPct*$E$18*$B$18*INDEX(Cum_TILC,1,Assumptions!DC$77),0)+IF(Assumptions!DC$72=$D$19+RetailDowntime,((1-RetailRenewalProb)*NewLeaseTI+RetailRenewalProb*RenewalTI)*$B$19*INDEX(Cum_TILC,1,Assumptions!DC$77)+LeasingCommissionPct*$E$19*$B$19*INDEX(Cum_TILC,1,Assumptions!DC$77),0)+IF(Assumptions!DC$72=$D$20+RetailDowntime,((1-RetailRenewalProb)*NewLeaseTI+RetailRenewalProb*RenewalTI)*$B$20*INDEX(Cum_TILC,1,Assumptions!DC$77)+LeasingCommissionPct*$E$20*$B$20*INDEX(Cum_TILC,1,Assumptions!DC$77),0)+IF(Assumptions!DC$72=$D$21+RetailDowntime,((1-RetailRenewalProb)*NewLeaseTI+RetailRenewalProb*RenewalTI)*$B$21*INDEX(Cum_TILC,1,Assumptions!DC$77)+LeasingCommissionPct*$E$21*$B$21*INDEX(Cum_TILC,1,Assumptions!DC$77),0)+IF(Assumptions!DC$72=$D$22+RetailDowntime,((1-RetailRenewalProb)*NewLeaseTI+RetailRenewalProb*RenewalTI)*$B$22*INDEX(Cum_TILC,1,Assumptions!DC$77)+LeasingCommissionPct*$E$22*$B$22*INDEX(Cum_TILC,1,Assumptions!DC$77),0))*Assumptions!DC$74</f>
        <v/>
      </c>
      <c r="DD41" s="52">
        <f>(IF(Assumptions!DD$72=$D$17+RetailDowntime,((1-RetailRenewalProb)*NewLeaseTI+RetailRenewalProb*RenewalTI)*$B$17*INDEX(Cum_TILC,1,Assumptions!DD$77)+LeasingCommissionPct*$E$17*$B$17*INDEX(Cum_TILC,1,Assumptions!DD$77),0)+IF(Assumptions!DD$72=$D$18+RetailDowntime,((1-RetailRenewalProb)*NewLeaseTI+RetailRenewalProb*RenewalTI)*$B$18*INDEX(Cum_TILC,1,Assumptions!DD$77)+LeasingCommissionPct*$E$18*$B$18*INDEX(Cum_TILC,1,Assumptions!DD$77),0)+IF(Assumptions!DD$72=$D$19+RetailDowntime,((1-RetailRenewalProb)*NewLeaseTI+RetailRenewalProb*RenewalTI)*$B$19*INDEX(Cum_TILC,1,Assumptions!DD$77)+LeasingCommissionPct*$E$19*$B$19*INDEX(Cum_TILC,1,Assumptions!DD$77),0)+IF(Assumptions!DD$72=$D$20+RetailDowntime,((1-RetailRenewalProb)*NewLeaseTI+RetailRenewalProb*RenewalTI)*$B$20*INDEX(Cum_TILC,1,Assumptions!DD$77)+LeasingCommissionPct*$E$20*$B$20*INDEX(Cum_TILC,1,Assumptions!DD$77),0)+IF(Assumptions!DD$72=$D$21+RetailDowntime,((1-RetailRenewalProb)*NewLeaseTI+RetailRenewalProb*RenewalTI)*$B$21*INDEX(Cum_TILC,1,Assumptions!DD$77)+LeasingCommissionPct*$E$21*$B$21*INDEX(Cum_TILC,1,Assumptions!DD$77),0)+IF(Assumptions!DD$72=$D$22+RetailDowntime,((1-RetailRenewalProb)*NewLeaseTI+RetailRenewalProb*RenewalTI)*$B$22*INDEX(Cum_TILC,1,Assumptions!DD$77)+LeasingCommissionPct*$E$22*$B$22*INDEX(Cum_TILC,1,Assumptions!DD$77),0))*Assumptions!DD$74</f>
        <v/>
      </c>
      <c r="DE41" s="52">
        <f>(IF(Assumptions!DE$72=$D$17+RetailDowntime,((1-RetailRenewalProb)*NewLeaseTI+RetailRenewalProb*RenewalTI)*$B$17*INDEX(Cum_TILC,1,Assumptions!DE$77)+LeasingCommissionPct*$E$17*$B$17*INDEX(Cum_TILC,1,Assumptions!DE$77),0)+IF(Assumptions!DE$72=$D$18+RetailDowntime,((1-RetailRenewalProb)*NewLeaseTI+RetailRenewalProb*RenewalTI)*$B$18*INDEX(Cum_TILC,1,Assumptions!DE$77)+LeasingCommissionPct*$E$18*$B$18*INDEX(Cum_TILC,1,Assumptions!DE$77),0)+IF(Assumptions!DE$72=$D$19+RetailDowntime,((1-RetailRenewalProb)*NewLeaseTI+RetailRenewalProb*RenewalTI)*$B$19*INDEX(Cum_TILC,1,Assumptions!DE$77)+LeasingCommissionPct*$E$19*$B$19*INDEX(Cum_TILC,1,Assumptions!DE$77),0)+IF(Assumptions!DE$72=$D$20+RetailDowntime,((1-RetailRenewalProb)*NewLeaseTI+RetailRenewalProb*RenewalTI)*$B$20*INDEX(Cum_TILC,1,Assumptions!DE$77)+LeasingCommissionPct*$E$20*$B$20*INDEX(Cum_TILC,1,Assumptions!DE$77),0)+IF(Assumptions!DE$72=$D$21+RetailDowntime,((1-RetailRenewalProb)*NewLeaseTI+RetailRenewalProb*RenewalTI)*$B$21*INDEX(Cum_TILC,1,Assumptions!DE$77)+LeasingCommissionPct*$E$21*$B$21*INDEX(Cum_TILC,1,Assumptions!DE$77),0)+IF(Assumptions!DE$72=$D$22+RetailDowntime,((1-RetailRenewalProb)*NewLeaseTI+RetailRenewalProb*RenewalTI)*$B$22*INDEX(Cum_TILC,1,Assumptions!DE$77)+LeasingCommissionPct*$E$22*$B$22*INDEX(Cum_TILC,1,Assumptions!DE$77),0))*Assumptions!DE$74</f>
        <v/>
      </c>
      <c r="DF41" s="52">
        <f>(IF(Assumptions!DF$72=$D$17+RetailDowntime,((1-RetailRenewalProb)*NewLeaseTI+RetailRenewalProb*RenewalTI)*$B$17*INDEX(Cum_TILC,1,Assumptions!DF$77)+LeasingCommissionPct*$E$17*$B$17*INDEX(Cum_TILC,1,Assumptions!DF$77),0)+IF(Assumptions!DF$72=$D$18+RetailDowntime,((1-RetailRenewalProb)*NewLeaseTI+RetailRenewalProb*RenewalTI)*$B$18*INDEX(Cum_TILC,1,Assumptions!DF$77)+LeasingCommissionPct*$E$18*$B$18*INDEX(Cum_TILC,1,Assumptions!DF$77),0)+IF(Assumptions!DF$72=$D$19+RetailDowntime,((1-RetailRenewalProb)*NewLeaseTI+RetailRenewalProb*RenewalTI)*$B$19*INDEX(Cum_TILC,1,Assumptions!DF$77)+LeasingCommissionPct*$E$19*$B$19*INDEX(Cum_TILC,1,Assumptions!DF$77),0)+IF(Assumptions!DF$72=$D$20+RetailDowntime,((1-RetailRenewalProb)*NewLeaseTI+RetailRenewalProb*RenewalTI)*$B$20*INDEX(Cum_TILC,1,Assumptions!DF$77)+LeasingCommissionPct*$E$20*$B$20*INDEX(Cum_TILC,1,Assumptions!DF$77),0)+IF(Assumptions!DF$72=$D$21+RetailDowntime,((1-RetailRenewalProb)*NewLeaseTI+RetailRenewalProb*RenewalTI)*$B$21*INDEX(Cum_TILC,1,Assumptions!DF$77)+LeasingCommissionPct*$E$21*$B$21*INDEX(Cum_TILC,1,Assumptions!DF$77),0)+IF(Assumptions!DF$72=$D$22+RetailDowntime,((1-RetailRenewalProb)*NewLeaseTI+RetailRenewalProb*RenewalTI)*$B$22*INDEX(Cum_TILC,1,Assumptions!DF$77)+LeasingCommissionPct*$E$22*$B$22*INDEX(Cum_TILC,1,Assumptions!DF$77),0))*Assumptions!DF$74</f>
        <v/>
      </c>
      <c r="DG41" s="52">
        <f>(IF(Assumptions!DG$72=$D$17+RetailDowntime,((1-RetailRenewalProb)*NewLeaseTI+RetailRenewalProb*RenewalTI)*$B$17*INDEX(Cum_TILC,1,Assumptions!DG$77)+LeasingCommissionPct*$E$17*$B$17*INDEX(Cum_TILC,1,Assumptions!DG$77),0)+IF(Assumptions!DG$72=$D$18+RetailDowntime,((1-RetailRenewalProb)*NewLeaseTI+RetailRenewalProb*RenewalTI)*$B$18*INDEX(Cum_TILC,1,Assumptions!DG$77)+LeasingCommissionPct*$E$18*$B$18*INDEX(Cum_TILC,1,Assumptions!DG$77),0)+IF(Assumptions!DG$72=$D$19+RetailDowntime,((1-RetailRenewalProb)*NewLeaseTI+RetailRenewalProb*RenewalTI)*$B$19*INDEX(Cum_TILC,1,Assumptions!DG$77)+LeasingCommissionPct*$E$19*$B$19*INDEX(Cum_TILC,1,Assumptions!DG$77),0)+IF(Assumptions!DG$72=$D$20+RetailDowntime,((1-RetailRenewalProb)*NewLeaseTI+RetailRenewalProb*RenewalTI)*$B$20*INDEX(Cum_TILC,1,Assumptions!DG$77)+LeasingCommissionPct*$E$20*$B$20*INDEX(Cum_TILC,1,Assumptions!DG$77),0)+IF(Assumptions!DG$72=$D$21+RetailDowntime,((1-RetailRenewalProb)*NewLeaseTI+RetailRenewalProb*RenewalTI)*$B$21*INDEX(Cum_TILC,1,Assumptions!DG$77)+LeasingCommissionPct*$E$21*$B$21*INDEX(Cum_TILC,1,Assumptions!DG$77),0)+IF(Assumptions!DG$72=$D$22+RetailDowntime,((1-RetailRenewalProb)*NewLeaseTI+RetailRenewalProb*RenewalTI)*$B$22*INDEX(Cum_TILC,1,Assumptions!DG$77)+LeasingCommissionPct*$E$22*$B$22*INDEX(Cum_TILC,1,Assumptions!DG$77),0))*Assumptions!DG$74</f>
        <v/>
      </c>
      <c r="DH41" s="52">
        <f>(IF(Assumptions!DH$72=$D$17+RetailDowntime,((1-RetailRenewalProb)*NewLeaseTI+RetailRenewalProb*RenewalTI)*$B$17*INDEX(Cum_TILC,1,Assumptions!DH$77)+LeasingCommissionPct*$E$17*$B$17*INDEX(Cum_TILC,1,Assumptions!DH$77),0)+IF(Assumptions!DH$72=$D$18+RetailDowntime,((1-RetailRenewalProb)*NewLeaseTI+RetailRenewalProb*RenewalTI)*$B$18*INDEX(Cum_TILC,1,Assumptions!DH$77)+LeasingCommissionPct*$E$18*$B$18*INDEX(Cum_TILC,1,Assumptions!DH$77),0)+IF(Assumptions!DH$72=$D$19+RetailDowntime,((1-RetailRenewalProb)*NewLeaseTI+RetailRenewalProb*RenewalTI)*$B$19*INDEX(Cum_TILC,1,Assumptions!DH$77)+LeasingCommissionPct*$E$19*$B$19*INDEX(Cum_TILC,1,Assumptions!DH$77),0)+IF(Assumptions!DH$72=$D$20+RetailDowntime,((1-RetailRenewalProb)*NewLeaseTI+RetailRenewalProb*RenewalTI)*$B$20*INDEX(Cum_TILC,1,Assumptions!DH$77)+LeasingCommissionPct*$E$20*$B$20*INDEX(Cum_TILC,1,Assumptions!DH$77),0)+IF(Assumptions!DH$72=$D$21+RetailDowntime,((1-RetailRenewalProb)*NewLeaseTI+RetailRenewalProb*RenewalTI)*$B$21*INDEX(Cum_TILC,1,Assumptions!DH$77)+LeasingCommissionPct*$E$21*$B$21*INDEX(Cum_TILC,1,Assumptions!DH$77),0)+IF(Assumptions!DH$72=$D$22+RetailDowntime,((1-RetailRenewalProb)*NewLeaseTI+RetailRenewalProb*RenewalTI)*$B$22*INDEX(Cum_TILC,1,Assumptions!DH$77)+LeasingCommissionPct*$E$22*$B$22*INDEX(Cum_TILC,1,Assumptions!DH$77),0))*Assumptions!DH$74</f>
        <v/>
      </c>
      <c r="DI41" s="52">
        <f>(IF(Assumptions!DI$72=$D$17+RetailDowntime,((1-RetailRenewalProb)*NewLeaseTI+RetailRenewalProb*RenewalTI)*$B$17*INDEX(Cum_TILC,1,Assumptions!DI$77)+LeasingCommissionPct*$E$17*$B$17*INDEX(Cum_TILC,1,Assumptions!DI$77),0)+IF(Assumptions!DI$72=$D$18+RetailDowntime,((1-RetailRenewalProb)*NewLeaseTI+RetailRenewalProb*RenewalTI)*$B$18*INDEX(Cum_TILC,1,Assumptions!DI$77)+LeasingCommissionPct*$E$18*$B$18*INDEX(Cum_TILC,1,Assumptions!DI$77),0)+IF(Assumptions!DI$72=$D$19+RetailDowntime,((1-RetailRenewalProb)*NewLeaseTI+RetailRenewalProb*RenewalTI)*$B$19*INDEX(Cum_TILC,1,Assumptions!DI$77)+LeasingCommissionPct*$E$19*$B$19*INDEX(Cum_TILC,1,Assumptions!DI$77),0)+IF(Assumptions!DI$72=$D$20+RetailDowntime,((1-RetailRenewalProb)*NewLeaseTI+RetailRenewalProb*RenewalTI)*$B$20*INDEX(Cum_TILC,1,Assumptions!DI$77)+LeasingCommissionPct*$E$20*$B$20*INDEX(Cum_TILC,1,Assumptions!DI$77),0)+IF(Assumptions!DI$72=$D$21+RetailDowntime,((1-RetailRenewalProb)*NewLeaseTI+RetailRenewalProb*RenewalTI)*$B$21*INDEX(Cum_TILC,1,Assumptions!DI$77)+LeasingCommissionPct*$E$21*$B$21*INDEX(Cum_TILC,1,Assumptions!DI$77),0)+IF(Assumptions!DI$72=$D$22+RetailDowntime,((1-RetailRenewalProb)*NewLeaseTI+RetailRenewalProb*RenewalTI)*$B$22*INDEX(Cum_TILC,1,Assumptions!DI$77)+LeasingCommissionPct*$E$22*$B$22*INDEX(Cum_TILC,1,Assumptions!DI$77),0))*Assumptions!DI$74</f>
        <v/>
      </c>
      <c r="DJ41" s="52">
        <f>(IF(Assumptions!DJ$72=$D$17+RetailDowntime,((1-RetailRenewalProb)*NewLeaseTI+RetailRenewalProb*RenewalTI)*$B$17*INDEX(Cum_TILC,1,Assumptions!DJ$77)+LeasingCommissionPct*$E$17*$B$17*INDEX(Cum_TILC,1,Assumptions!DJ$77),0)+IF(Assumptions!DJ$72=$D$18+RetailDowntime,((1-RetailRenewalProb)*NewLeaseTI+RetailRenewalProb*RenewalTI)*$B$18*INDEX(Cum_TILC,1,Assumptions!DJ$77)+LeasingCommissionPct*$E$18*$B$18*INDEX(Cum_TILC,1,Assumptions!DJ$77),0)+IF(Assumptions!DJ$72=$D$19+RetailDowntime,((1-RetailRenewalProb)*NewLeaseTI+RetailRenewalProb*RenewalTI)*$B$19*INDEX(Cum_TILC,1,Assumptions!DJ$77)+LeasingCommissionPct*$E$19*$B$19*INDEX(Cum_TILC,1,Assumptions!DJ$77),0)+IF(Assumptions!DJ$72=$D$20+RetailDowntime,((1-RetailRenewalProb)*NewLeaseTI+RetailRenewalProb*RenewalTI)*$B$20*INDEX(Cum_TILC,1,Assumptions!DJ$77)+LeasingCommissionPct*$E$20*$B$20*INDEX(Cum_TILC,1,Assumptions!DJ$77),0)+IF(Assumptions!DJ$72=$D$21+RetailDowntime,((1-RetailRenewalProb)*NewLeaseTI+RetailRenewalProb*RenewalTI)*$B$21*INDEX(Cum_TILC,1,Assumptions!DJ$77)+LeasingCommissionPct*$E$21*$B$21*INDEX(Cum_TILC,1,Assumptions!DJ$77),0)+IF(Assumptions!DJ$72=$D$22+RetailDowntime,((1-RetailRenewalProb)*NewLeaseTI+RetailRenewalProb*RenewalTI)*$B$22*INDEX(Cum_TILC,1,Assumptions!DJ$77)+LeasingCommissionPct*$E$22*$B$22*INDEX(Cum_TILC,1,Assumptions!DJ$77),0))*Assumptions!DJ$74</f>
        <v/>
      </c>
      <c r="DK41" s="52">
        <f>(IF(Assumptions!DK$72=$D$17+RetailDowntime,((1-RetailRenewalProb)*NewLeaseTI+RetailRenewalProb*RenewalTI)*$B$17*INDEX(Cum_TILC,1,Assumptions!DK$77)+LeasingCommissionPct*$E$17*$B$17*INDEX(Cum_TILC,1,Assumptions!DK$77),0)+IF(Assumptions!DK$72=$D$18+RetailDowntime,((1-RetailRenewalProb)*NewLeaseTI+RetailRenewalProb*RenewalTI)*$B$18*INDEX(Cum_TILC,1,Assumptions!DK$77)+LeasingCommissionPct*$E$18*$B$18*INDEX(Cum_TILC,1,Assumptions!DK$77),0)+IF(Assumptions!DK$72=$D$19+RetailDowntime,((1-RetailRenewalProb)*NewLeaseTI+RetailRenewalProb*RenewalTI)*$B$19*INDEX(Cum_TILC,1,Assumptions!DK$77)+LeasingCommissionPct*$E$19*$B$19*INDEX(Cum_TILC,1,Assumptions!DK$77),0)+IF(Assumptions!DK$72=$D$20+RetailDowntime,((1-RetailRenewalProb)*NewLeaseTI+RetailRenewalProb*RenewalTI)*$B$20*INDEX(Cum_TILC,1,Assumptions!DK$77)+LeasingCommissionPct*$E$20*$B$20*INDEX(Cum_TILC,1,Assumptions!DK$77),0)+IF(Assumptions!DK$72=$D$21+RetailDowntime,((1-RetailRenewalProb)*NewLeaseTI+RetailRenewalProb*RenewalTI)*$B$21*INDEX(Cum_TILC,1,Assumptions!DK$77)+LeasingCommissionPct*$E$21*$B$21*INDEX(Cum_TILC,1,Assumptions!DK$77),0)+IF(Assumptions!DK$72=$D$22+RetailDowntime,((1-RetailRenewalProb)*NewLeaseTI+RetailRenewalProb*RenewalTI)*$B$22*INDEX(Cum_TILC,1,Assumptions!DK$77)+LeasingCommissionPct*$E$22*$B$22*INDEX(Cum_TILC,1,Assumptions!DK$77),0))*Assumptions!DK$74</f>
        <v/>
      </c>
      <c r="DL41" s="52">
        <f>(IF(Assumptions!DL$72=$D$17+RetailDowntime,((1-RetailRenewalProb)*NewLeaseTI+RetailRenewalProb*RenewalTI)*$B$17*INDEX(Cum_TILC,1,Assumptions!DL$77)+LeasingCommissionPct*$E$17*$B$17*INDEX(Cum_TILC,1,Assumptions!DL$77),0)+IF(Assumptions!DL$72=$D$18+RetailDowntime,((1-RetailRenewalProb)*NewLeaseTI+RetailRenewalProb*RenewalTI)*$B$18*INDEX(Cum_TILC,1,Assumptions!DL$77)+LeasingCommissionPct*$E$18*$B$18*INDEX(Cum_TILC,1,Assumptions!DL$77),0)+IF(Assumptions!DL$72=$D$19+RetailDowntime,((1-RetailRenewalProb)*NewLeaseTI+RetailRenewalProb*RenewalTI)*$B$19*INDEX(Cum_TILC,1,Assumptions!DL$77)+LeasingCommissionPct*$E$19*$B$19*INDEX(Cum_TILC,1,Assumptions!DL$77),0)+IF(Assumptions!DL$72=$D$20+RetailDowntime,((1-RetailRenewalProb)*NewLeaseTI+RetailRenewalProb*RenewalTI)*$B$20*INDEX(Cum_TILC,1,Assumptions!DL$77)+LeasingCommissionPct*$E$20*$B$20*INDEX(Cum_TILC,1,Assumptions!DL$77),0)+IF(Assumptions!DL$72=$D$21+RetailDowntime,((1-RetailRenewalProb)*NewLeaseTI+RetailRenewalProb*RenewalTI)*$B$21*INDEX(Cum_TILC,1,Assumptions!DL$77)+LeasingCommissionPct*$E$21*$B$21*INDEX(Cum_TILC,1,Assumptions!DL$77),0)+IF(Assumptions!DL$72=$D$22+RetailDowntime,((1-RetailRenewalProb)*NewLeaseTI+RetailRenewalProb*RenewalTI)*$B$22*INDEX(Cum_TILC,1,Assumptions!DL$77)+LeasingCommissionPct*$E$22*$B$22*INDEX(Cum_TILC,1,Assumptions!DL$77),0))*Assumptions!DL$74</f>
        <v/>
      </c>
      <c r="DM41" s="52">
        <f>(IF(Assumptions!DM$72=$D$17+RetailDowntime,((1-RetailRenewalProb)*NewLeaseTI+RetailRenewalProb*RenewalTI)*$B$17*INDEX(Cum_TILC,1,Assumptions!DM$77)+LeasingCommissionPct*$E$17*$B$17*INDEX(Cum_TILC,1,Assumptions!DM$77),0)+IF(Assumptions!DM$72=$D$18+RetailDowntime,((1-RetailRenewalProb)*NewLeaseTI+RetailRenewalProb*RenewalTI)*$B$18*INDEX(Cum_TILC,1,Assumptions!DM$77)+LeasingCommissionPct*$E$18*$B$18*INDEX(Cum_TILC,1,Assumptions!DM$77),0)+IF(Assumptions!DM$72=$D$19+RetailDowntime,((1-RetailRenewalProb)*NewLeaseTI+RetailRenewalProb*RenewalTI)*$B$19*INDEX(Cum_TILC,1,Assumptions!DM$77)+LeasingCommissionPct*$E$19*$B$19*INDEX(Cum_TILC,1,Assumptions!DM$77),0)+IF(Assumptions!DM$72=$D$20+RetailDowntime,((1-RetailRenewalProb)*NewLeaseTI+RetailRenewalProb*RenewalTI)*$B$20*INDEX(Cum_TILC,1,Assumptions!DM$77)+LeasingCommissionPct*$E$20*$B$20*INDEX(Cum_TILC,1,Assumptions!DM$77),0)+IF(Assumptions!DM$72=$D$21+RetailDowntime,((1-RetailRenewalProb)*NewLeaseTI+RetailRenewalProb*RenewalTI)*$B$21*INDEX(Cum_TILC,1,Assumptions!DM$77)+LeasingCommissionPct*$E$21*$B$21*INDEX(Cum_TILC,1,Assumptions!DM$77),0)+IF(Assumptions!DM$72=$D$22+RetailDowntime,((1-RetailRenewalProb)*NewLeaseTI+RetailRenewalProb*RenewalTI)*$B$22*INDEX(Cum_TILC,1,Assumptions!DM$77)+LeasingCommissionPct*$E$22*$B$22*INDEX(Cum_TILC,1,Assumptions!DM$77),0))*Assumptions!DM$74</f>
        <v/>
      </c>
      <c r="DN41" s="52">
        <f>(IF(Assumptions!DN$72=$D$17+RetailDowntime,((1-RetailRenewalProb)*NewLeaseTI+RetailRenewalProb*RenewalTI)*$B$17*INDEX(Cum_TILC,1,Assumptions!DN$77)+LeasingCommissionPct*$E$17*$B$17*INDEX(Cum_TILC,1,Assumptions!DN$77),0)+IF(Assumptions!DN$72=$D$18+RetailDowntime,((1-RetailRenewalProb)*NewLeaseTI+RetailRenewalProb*RenewalTI)*$B$18*INDEX(Cum_TILC,1,Assumptions!DN$77)+LeasingCommissionPct*$E$18*$B$18*INDEX(Cum_TILC,1,Assumptions!DN$77),0)+IF(Assumptions!DN$72=$D$19+RetailDowntime,((1-RetailRenewalProb)*NewLeaseTI+RetailRenewalProb*RenewalTI)*$B$19*INDEX(Cum_TILC,1,Assumptions!DN$77)+LeasingCommissionPct*$E$19*$B$19*INDEX(Cum_TILC,1,Assumptions!DN$77),0)+IF(Assumptions!DN$72=$D$20+RetailDowntime,((1-RetailRenewalProb)*NewLeaseTI+RetailRenewalProb*RenewalTI)*$B$20*INDEX(Cum_TILC,1,Assumptions!DN$77)+LeasingCommissionPct*$E$20*$B$20*INDEX(Cum_TILC,1,Assumptions!DN$77),0)+IF(Assumptions!DN$72=$D$21+RetailDowntime,((1-RetailRenewalProb)*NewLeaseTI+RetailRenewalProb*RenewalTI)*$B$21*INDEX(Cum_TILC,1,Assumptions!DN$77)+LeasingCommissionPct*$E$21*$B$21*INDEX(Cum_TILC,1,Assumptions!DN$77),0)+IF(Assumptions!DN$72=$D$22+RetailDowntime,((1-RetailRenewalProb)*NewLeaseTI+RetailRenewalProb*RenewalTI)*$B$22*INDEX(Cum_TILC,1,Assumptions!DN$77)+LeasingCommissionPct*$E$22*$B$22*INDEX(Cum_TILC,1,Assumptions!DN$77),0))*Assumptions!DN$74</f>
        <v/>
      </c>
      <c r="DO41" s="52">
        <f>(IF(Assumptions!DO$72=$D$17+RetailDowntime,((1-RetailRenewalProb)*NewLeaseTI+RetailRenewalProb*RenewalTI)*$B$17*INDEX(Cum_TILC,1,Assumptions!DO$77)+LeasingCommissionPct*$E$17*$B$17*INDEX(Cum_TILC,1,Assumptions!DO$77),0)+IF(Assumptions!DO$72=$D$18+RetailDowntime,((1-RetailRenewalProb)*NewLeaseTI+RetailRenewalProb*RenewalTI)*$B$18*INDEX(Cum_TILC,1,Assumptions!DO$77)+LeasingCommissionPct*$E$18*$B$18*INDEX(Cum_TILC,1,Assumptions!DO$77),0)+IF(Assumptions!DO$72=$D$19+RetailDowntime,((1-RetailRenewalProb)*NewLeaseTI+RetailRenewalProb*RenewalTI)*$B$19*INDEX(Cum_TILC,1,Assumptions!DO$77)+LeasingCommissionPct*$E$19*$B$19*INDEX(Cum_TILC,1,Assumptions!DO$77),0)+IF(Assumptions!DO$72=$D$20+RetailDowntime,((1-RetailRenewalProb)*NewLeaseTI+RetailRenewalProb*RenewalTI)*$B$20*INDEX(Cum_TILC,1,Assumptions!DO$77)+LeasingCommissionPct*$E$20*$B$20*INDEX(Cum_TILC,1,Assumptions!DO$77),0)+IF(Assumptions!DO$72=$D$21+RetailDowntime,((1-RetailRenewalProb)*NewLeaseTI+RetailRenewalProb*RenewalTI)*$B$21*INDEX(Cum_TILC,1,Assumptions!DO$77)+LeasingCommissionPct*$E$21*$B$21*INDEX(Cum_TILC,1,Assumptions!DO$77),0)+IF(Assumptions!DO$72=$D$22+RetailDowntime,((1-RetailRenewalProb)*NewLeaseTI+RetailRenewalProb*RenewalTI)*$B$22*INDEX(Cum_TILC,1,Assumptions!DO$77)+LeasingCommissionPct*$E$22*$B$22*INDEX(Cum_TILC,1,Assumptions!DO$77),0))*Assumptions!DO$74</f>
        <v/>
      </c>
      <c r="DP41" s="52">
        <f>(IF(Assumptions!DP$72=$D$17+RetailDowntime,((1-RetailRenewalProb)*NewLeaseTI+RetailRenewalProb*RenewalTI)*$B$17*INDEX(Cum_TILC,1,Assumptions!DP$77)+LeasingCommissionPct*$E$17*$B$17*INDEX(Cum_TILC,1,Assumptions!DP$77),0)+IF(Assumptions!DP$72=$D$18+RetailDowntime,((1-RetailRenewalProb)*NewLeaseTI+RetailRenewalProb*RenewalTI)*$B$18*INDEX(Cum_TILC,1,Assumptions!DP$77)+LeasingCommissionPct*$E$18*$B$18*INDEX(Cum_TILC,1,Assumptions!DP$77),0)+IF(Assumptions!DP$72=$D$19+RetailDowntime,((1-RetailRenewalProb)*NewLeaseTI+RetailRenewalProb*RenewalTI)*$B$19*INDEX(Cum_TILC,1,Assumptions!DP$77)+LeasingCommissionPct*$E$19*$B$19*INDEX(Cum_TILC,1,Assumptions!DP$77),0)+IF(Assumptions!DP$72=$D$20+RetailDowntime,((1-RetailRenewalProb)*NewLeaseTI+RetailRenewalProb*RenewalTI)*$B$20*INDEX(Cum_TILC,1,Assumptions!DP$77)+LeasingCommissionPct*$E$20*$B$20*INDEX(Cum_TILC,1,Assumptions!DP$77),0)+IF(Assumptions!DP$72=$D$21+RetailDowntime,((1-RetailRenewalProb)*NewLeaseTI+RetailRenewalProb*RenewalTI)*$B$21*INDEX(Cum_TILC,1,Assumptions!DP$77)+LeasingCommissionPct*$E$21*$B$21*INDEX(Cum_TILC,1,Assumptions!DP$77),0)+IF(Assumptions!DP$72=$D$22+RetailDowntime,((1-RetailRenewalProb)*NewLeaseTI+RetailRenewalProb*RenewalTI)*$B$22*INDEX(Cum_TILC,1,Assumptions!DP$77)+LeasingCommissionPct*$E$22*$B$22*INDEX(Cum_TILC,1,Assumptions!DP$77),0))*Assumptions!DP$74</f>
        <v/>
      </c>
      <c r="DQ41" s="52">
        <f>(IF(Assumptions!DQ$72=$D$17+RetailDowntime,((1-RetailRenewalProb)*NewLeaseTI+RetailRenewalProb*RenewalTI)*$B$17*INDEX(Cum_TILC,1,Assumptions!DQ$77)+LeasingCommissionPct*$E$17*$B$17*INDEX(Cum_TILC,1,Assumptions!DQ$77),0)+IF(Assumptions!DQ$72=$D$18+RetailDowntime,((1-RetailRenewalProb)*NewLeaseTI+RetailRenewalProb*RenewalTI)*$B$18*INDEX(Cum_TILC,1,Assumptions!DQ$77)+LeasingCommissionPct*$E$18*$B$18*INDEX(Cum_TILC,1,Assumptions!DQ$77),0)+IF(Assumptions!DQ$72=$D$19+RetailDowntime,((1-RetailRenewalProb)*NewLeaseTI+RetailRenewalProb*RenewalTI)*$B$19*INDEX(Cum_TILC,1,Assumptions!DQ$77)+LeasingCommissionPct*$E$19*$B$19*INDEX(Cum_TILC,1,Assumptions!DQ$77),0)+IF(Assumptions!DQ$72=$D$20+RetailDowntime,((1-RetailRenewalProb)*NewLeaseTI+RetailRenewalProb*RenewalTI)*$B$20*INDEX(Cum_TILC,1,Assumptions!DQ$77)+LeasingCommissionPct*$E$20*$B$20*INDEX(Cum_TILC,1,Assumptions!DQ$77),0)+IF(Assumptions!DQ$72=$D$21+RetailDowntime,((1-RetailRenewalProb)*NewLeaseTI+RetailRenewalProb*RenewalTI)*$B$21*INDEX(Cum_TILC,1,Assumptions!DQ$77)+LeasingCommissionPct*$E$21*$B$21*INDEX(Cum_TILC,1,Assumptions!DQ$77),0)+IF(Assumptions!DQ$72=$D$22+RetailDowntime,((1-RetailRenewalProb)*NewLeaseTI+RetailRenewalProb*RenewalTI)*$B$22*INDEX(Cum_TILC,1,Assumptions!DQ$77)+LeasingCommissionPct*$E$22*$B$22*INDEX(Cum_TILC,1,Assumptions!DQ$77),0))*Assumptions!DQ$74</f>
        <v/>
      </c>
      <c r="DR41" s="52">
        <f>(IF(Assumptions!DR$72=$D$17+RetailDowntime,((1-RetailRenewalProb)*NewLeaseTI+RetailRenewalProb*RenewalTI)*$B$17*INDEX(Cum_TILC,1,Assumptions!DR$77)+LeasingCommissionPct*$E$17*$B$17*INDEX(Cum_TILC,1,Assumptions!DR$77),0)+IF(Assumptions!DR$72=$D$18+RetailDowntime,((1-RetailRenewalProb)*NewLeaseTI+RetailRenewalProb*RenewalTI)*$B$18*INDEX(Cum_TILC,1,Assumptions!DR$77)+LeasingCommissionPct*$E$18*$B$18*INDEX(Cum_TILC,1,Assumptions!DR$77),0)+IF(Assumptions!DR$72=$D$19+RetailDowntime,((1-RetailRenewalProb)*NewLeaseTI+RetailRenewalProb*RenewalTI)*$B$19*INDEX(Cum_TILC,1,Assumptions!DR$77)+LeasingCommissionPct*$E$19*$B$19*INDEX(Cum_TILC,1,Assumptions!DR$77),0)+IF(Assumptions!DR$72=$D$20+RetailDowntime,((1-RetailRenewalProb)*NewLeaseTI+RetailRenewalProb*RenewalTI)*$B$20*INDEX(Cum_TILC,1,Assumptions!DR$77)+LeasingCommissionPct*$E$20*$B$20*INDEX(Cum_TILC,1,Assumptions!DR$77),0)+IF(Assumptions!DR$72=$D$21+RetailDowntime,((1-RetailRenewalProb)*NewLeaseTI+RetailRenewalProb*RenewalTI)*$B$21*INDEX(Cum_TILC,1,Assumptions!DR$77)+LeasingCommissionPct*$E$21*$B$21*INDEX(Cum_TILC,1,Assumptions!DR$77),0)+IF(Assumptions!DR$72=$D$22+RetailDowntime,((1-RetailRenewalProb)*NewLeaseTI+RetailRenewalProb*RenewalTI)*$B$22*INDEX(Cum_TILC,1,Assumptions!DR$77)+LeasingCommissionPct*$E$22*$B$22*INDEX(Cum_TILC,1,Assumptions!DR$77),0))*Assumptions!DR$74</f>
        <v/>
      </c>
      <c r="DS41" s="52">
        <f>(IF(Assumptions!DS$72=$D$17+RetailDowntime,((1-RetailRenewalProb)*NewLeaseTI+RetailRenewalProb*RenewalTI)*$B$17*INDEX(Cum_TILC,1,Assumptions!DS$77)+LeasingCommissionPct*$E$17*$B$17*INDEX(Cum_TILC,1,Assumptions!DS$77),0)+IF(Assumptions!DS$72=$D$18+RetailDowntime,((1-RetailRenewalProb)*NewLeaseTI+RetailRenewalProb*RenewalTI)*$B$18*INDEX(Cum_TILC,1,Assumptions!DS$77)+LeasingCommissionPct*$E$18*$B$18*INDEX(Cum_TILC,1,Assumptions!DS$77),0)+IF(Assumptions!DS$72=$D$19+RetailDowntime,((1-RetailRenewalProb)*NewLeaseTI+RetailRenewalProb*RenewalTI)*$B$19*INDEX(Cum_TILC,1,Assumptions!DS$77)+LeasingCommissionPct*$E$19*$B$19*INDEX(Cum_TILC,1,Assumptions!DS$77),0)+IF(Assumptions!DS$72=$D$20+RetailDowntime,((1-RetailRenewalProb)*NewLeaseTI+RetailRenewalProb*RenewalTI)*$B$20*INDEX(Cum_TILC,1,Assumptions!DS$77)+LeasingCommissionPct*$E$20*$B$20*INDEX(Cum_TILC,1,Assumptions!DS$77),0)+IF(Assumptions!DS$72=$D$21+RetailDowntime,((1-RetailRenewalProb)*NewLeaseTI+RetailRenewalProb*RenewalTI)*$B$21*INDEX(Cum_TILC,1,Assumptions!DS$77)+LeasingCommissionPct*$E$21*$B$21*INDEX(Cum_TILC,1,Assumptions!DS$77),0)+IF(Assumptions!DS$72=$D$22+RetailDowntime,((1-RetailRenewalProb)*NewLeaseTI+RetailRenewalProb*RenewalTI)*$B$22*INDEX(Cum_TILC,1,Assumptions!DS$77)+LeasingCommissionPct*$E$22*$B$22*INDEX(Cum_TILC,1,Assumptions!DS$77),0))*Assumptions!DS$74</f>
        <v/>
      </c>
      <c r="DT41" s="52">
        <f>(IF(Assumptions!DT$72=$D$17+RetailDowntime,((1-RetailRenewalProb)*NewLeaseTI+RetailRenewalProb*RenewalTI)*$B$17*INDEX(Cum_TILC,1,Assumptions!DT$77)+LeasingCommissionPct*$E$17*$B$17*INDEX(Cum_TILC,1,Assumptions!DT$77),0)+IF(Assumptions!DT$72=$D$18+RetailDowntime,((1-RetailRenewalProb)*NewLeaseTI+RetailRenewalProb*RenewalTI)*$B$18*INDEX(Cum_TILC,1,Assumptions!DT$77)+LeasingCommissionPct*$E$18*$B$18*INDEX(Cum_TILC,1,Assumptions!DT$77),0)+IF(Assumptions!DT$72=$D$19+RetailDowntime,((1-RetailRenewalProb)*NewLeaseTI+RetailRenewalProb*RenewalTI)*$B$19*INDEX(Cum_TILC,1,Assumptions!DT$77)+LeasingCommissionPct*$E$19*$B$19*INDEX(Cum_TILC,1,Assumptions!DT$77),0)+IF(Assumptions!DT$72=$D$20+RetailDowntime,((1-RetailRenewalProb)*NewLeaseTI+RetailRenewalProb*RenewalTI)*$B$20*INDEX(Cum_TILC,1,Assumptions!DT$77)+LeasingCommissionPct*$E$20*$B$20*INDEX(Cum_TILC,1,Assumptions!DT$77),0)+IF(Assumptions!DT$72=$D$21+RetailDowntime,((1-RetailRenewalProb)*NewLeaseTI+RetailRenewalProb*RenewalTI)*$B$21*INDEX(Cum_TILC,1,Assumptions!DT$77)+LeasingCommissionPct*$E$21*$B$21*INDEX(Cum_TILC,1,Assumptions!DT$77),0)+IF(Assumptions!DT$72=$D$22+RetailDowntime,((1-RetailRenewalProb)*NewLeaseTI+RetailRenewalProb*RenewalTI)*$B$22*INDEX(Cum_TILC,1,Assumptions!DT$77)+LeasingCommissionPct*$E$22*$B$22*INDEX(Cum_TILC,1,Assumptions!DT$77),0))*Assumptions!DT$74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T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OPERATING EXPENSES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37" t="inlineStr">
        <is>
          <t>Line item</t>
        </is>
      </c>
      <c r="B5" s="37" t="inlineStr">
        <is>
          <t>$/unit/yr (base)</t>
        </is>
      </c>
    </row>
    <row r="6">
      <c r="A6" s="11" t="inlineStr">
        <is>
          <t>Payroll</t>
        </is>
      </c>
      <c r="B6" s="55" t="n">
        <v>1400</v>
      </c>
    </row>
    <row r="7">
      <c r="A7" s="11" t="inlineStr">
        <is>
          <t>R&amp;M</t>
        </is>
      </c>
      <c r="B7" s="55" t="n">
        <v>900</v>
      </c>
    </row>
    <row r="8">
      <c r="A8" s="11" t="inlineStr">
        <is>
          <t>Utilities</t>
        </is>
      </c>
      <c r="B8" s="55" t="n">
        <v>1100</v>
      </c>
    </row>
    <row r="9">
      <c r="A9" s="11" t="inlineStr">
        <is>
          <t>G&amp;A</t>
        </is>
      </c>
      <c r="B9" s="55" t="n">
        <v>500</v>
      </c>
    </row>
    <row r="10">
      <c r="A10" s="11" t="inlineStr">
        <is>
          <t>Marketing</t>
        </is>
      </c>
      <c r="B10" s="55" t="n">
        <v>250</v>
      </c>
    </row>
    <row r="11">
      <c r="A11" s="11" t="inlineStr">
        <is>
          <t>Insurance</t>
        </is>
      </c>
      <c r="B11" s="55" t="n">
        <v>600</v>
      </c>
    </row>
    <row r="12">
      <c r="A12" s="11" t="inlineStr">
        <is>
          <t>Other</t>
        </is>
      </c>
      <c r="B12" s="55" t="n">
        <v>300</v>
      </c>
    </row>
    <row r="14">
      <c r="A14" s="8" t="inlineStr">
        <is>
          <t>MONTHLY OPEX BUILD (negative outflows)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3" t="inlineStr">
        <is>
          <t>Month index</t>
        </is>
      </c>
      <c r="E15" s="6">
        <f>Assumptions!E$72</f>
        <v/>
      </c>
      <c r="F15" s="6">
        <f>Assumptions!F$72</f>
        <v/>
      </c>
      <c r="G15" s="6">
        <f>Assumptions!G$72</f>
        <v/>
      </c>
      <c r="H15" s="6">
        <f>Assumptions!H$72</f>
        <v/>
      </c>
      <c r="I15" s="6">
        <f>Assumptions!I$72</f>
        <v/>
      </c>
      <c r="J15" s="6">
        <f>Assumptions!J$72</f>
        <v/>
      </c>
      <c r="K15" s="6">
        <f>Assumptions!K$72</f>
        <v/>
      </c>
      <c r="L15" s="6">
        <f>Assumptions!L$72</f>
        <v/>
      </c>
      <c r="M15" s="6">
        <f>Assumptions!M$72</f>
        <v/>
      </c>
      <c r="N15" s="6">
        <f>Assumptions!N$72</f>
        <v/>
      </c>
      <c r="O15" s="6">
        <f>Assumptions!O$72</f>
        <v/>
      </c>
      <c r="P15" s="6">
        <f>Assumptions!P$72</f>
        <v/>
      </c>
      <c r="Q15" s="6">
        <f>Assumptions!Q$72</f>
        <v/>
      </c>
      <c r="R15" s="6">
        <f>Assumptions!R$72</f>
        <v/>
      </c>
      <c r="S15" s="6">
        <f>Assumptions!S$72</f>
        <v/>
      </c>
      <c r="T15" s="6">
        <f>Assumptions!T$72</f>
        <v/>
      </c>
      <c r="U15" s="6">
        <f>Assumptions!U$72</f>
        <v/>
      </c>
      <c r="V15" s="6">
        <f>Assumptions!V$72</f>
        <v/>
      </c>
      <c r="W15" s="6">
        <f>Assumptions!W$72</f>
        <v/>
      </c>
      <c r="X15" s="6">
        <f>Assumptions!X$72</f>
        <v/>
      </c>
      <c r="Y15" s="6">
        <f>Assumptions!Y$72</f>
        <v/>
      </c>
      <c r="Z15" s="6">
        <f>Assumptions!Z$72</f>
        <v/>
      </c>
      <c r="AA15" s="6">
        <f>Assumptions!AA$72</f>
        <v/>
      </c>
      <c r="AB15" s="6">
        <f>Assumptions!AB$72</f>
        <v/>
      </c>
      <c r="AC15" s="6">
        <f>Assumptions!AC$72</f>
        <v/>
      </c>
      <c r="AD15" s="6">
        <f>Assumptions!AD$72</f>
        <v/>
      </c>
      <c r="AE15" s="6">
        <f>Assumptions!AE$72</f>
        <v/>
      </c>
      <c r="AF15" s="6">
        <f>Assumptions!AF$72</f>
        <v/>
      </c>
      <c r="AG15" s="6">
        <f>Assumptions!AG$72</f>
        <v/>
      </c>
      <c r="AH15" s="6">
        <f>Assumptions!AH$72</f>
        <v/>
      </c>
      <c r="AI15" s="6">
        <f>Assumptions!AI$72</f>
        <v/>
      </c>
      <c r="AJ15" s="6">
        <f>Assumptions!AJ$72</f>
        <v/>
      </c>
      <c r="AK15" s="6">
        <f>Assumptions!AK$72</f>
        <v/>
      </c>
      <c r="AL15" s="6">
        <f>Assumptions!AL$72</f>
        <v/>
      </c>
      <c r="AM15" s="6">
        <f>Assumptions!AM$72</f>
        <v/>
      </c>
      <c r="AN15" s="6">
        <f>Assumptions!AN$72</f>
        <v/>
      </c>
      <c r="AO15" s="6">
        <f>Assumptions!AO$72</f>
        <v/>
      </c>
      <c r="AP15" s="6">
        <f>Assumptions!AP$72</f>
        <v/>
      </c>
      <c r="AQ15" s="6">
        <f>Assumptions!AQ$72</f>
        <v/>
      </c>
      <c r="AR15" s="6">
        <f>Assumptions!AR$72</f>
        <v/>
      </c>
      <c r="AS15" s="6">
        <f>Assumptions!AS$72</f>
        <v/>
      </c>
      <c r="AT15" s="6">
        <f>Assumptions!AT$72</f>
        <v/>
      </c>
      <c r="AU15" s="6">
        <f>Assumptions!AU$72</f>
        <v/>
      </c>
      <c r="AV15" s="6">
        <f>Assumptions!AV$72</f>
        <v/>
      </c>
      <c r="AW15" s="6">
        <f>Assumptions!AW$72</f>
        <v/>
      </c>
      <c r="AX15" s="6">
        <f>Assumptions!AX$72</f>
        <v/>
      </c>
      <c r="AY15" s="6">
        <f>Assumptions!AY$72</f>
        <v/>
      </c>
      <c r="AZ15" s="6">
        <f>Assumptions!AZ$72</f>
        <v/>
      </c>
      <c r="BA15" s="6">
        <f>Assumptions!BA$72</f>
        <v/>
      </c>
      <c r="BB15" s="6">
        <f>Assumptions!BB$72</f>
        <v/>
      </c>
      <c r="BC15" s="6">
        <f>Assumptions!BC$72</f>
        <v/>
      </c>
      <c r="BD15" s="6">
        <f>Assumptions!BD$72</f>
        <v/>
      </c>
      <c r="BE15" s="6">
        <f>Assumptions!BE$72</f>
        <v/>
      </c>
      <c r="BF15" s="6">
        <f>Assumptions!BF$72</f>
        <v/>
      </c>
      <c r="BG15" s="6">
        <f>Assumptions!BG$72</f>
        <v/>
      </c>
      <c r="BH15" s="6">
        <f>Assumptions!BH$72</f>
        <v/>
      </c>
      <c r="BI15" s="6">
        <f>Assumptions!BI$72</f>
        <v/>
      </c>
      <c r="BJ15" s="6">
        <f>Assumptions!BJ$72</f>
        <v/>
      </c>
      <c r="BK15" s="6">
        <f>Assumptions!BK$72</f>
        <v/>
      </c>
      <c r="BL15" s="6">
        <f>Assumptions!BL$72</f>
        <v/>
      </c>
      <c r="BM15" s="6">
        <f>Assumptions!BM$72</f>
        <v/>
      </c>
      <c r="BN15" s="6">
        <f>Assumptions!BN$72</f>
        <v/>
      </c>
      <c r="BO15" s="6">
        <f>Assumptions!BO$72</f>
        <v/>
      </c>
      <c r="BP15" s="6">
        <f>Assumptions!BP$72</f>
        <v/>
      </c>
      <c r="BQ15" s="6">
        <f>Assumptions!BQ$72</f>
        <v/>
      </c>
      <c r="BR15" s="6">
        <f>Assumptions!BR$72</f>
        <v/>
      </c>
      <c r="BS15" s="6">
        <f>Assumptions!BS$72</f>
        <v/>
      </c>
      <c r="BT15" s="6">
        <f>Assumptions!BT$72</f>
        <v/>
      </c>
      <c r="BU15" s="6">
        <f>Assumptions!BU$72</f>
        <v/>
      </c>
      <c r="BV15" s="6">
        <f>Assumptions!BV$72</f>
        <v/>
      </c>
      <c r="BW15" s="6">
        <f>Assumptions!BW$72</f>
        <v/>
      </c>
      <c r="BX15" s="6">
        <f>Assumptions!BX$72</f>
        <v/>
      </c>
      <c r="BY15" s="6">
        <f>Assumptions!BY$72</f>
        <v/>
      </c>
      <c r="BZ15" s="6">
        <f>Assumptions!BZ$72</f>
        <v/>
      </c>
      <c r="CA15" s="6">
        <f>Assumptions!CA$72</f>
        <v/>
      </c>
      <c r="CB15" s="6">
        <f>Assumptions!CB$72</f>
        <v/>
      </c>
      <c r="CC15" s="6">
        <f>Assumptions!CC$72</f>
        <v/>
      </c>
      <c r="CD15" s="6">
        <f>Assumptions!CD$72</f>
        <v/>
      </c>
      <c r="CE15" s="6">
        <f>Assumptions!CE$72</f>
        <v/>
      </c>
      <c r="CF15" s="6">
        <f>Assumptions!CF$72</f>
        <v/>
      </c>
      <c r="CG15" s="6">
        <f>Assumptions!CG$72</f>
        <v/>
      </c>
      <c r="CH15" s="6">
        <f>Assumptions!CH$72</f>
        <v/>
      </c>
      <c r="CI15" s="6">
        <f>Assumptions!CI$72</f>
        <v/>
      </c>
      <c r="CJ15" s="6">
        <f>Assumptions!CJ$72</f>
        <v/>
      </c>
      <c r="CK15" s="6">
        <f>Assumptions!CK$72</f>
        <v/>
      </c>
      <c r="CL15" s="6">
        <f>Assumptions!CL$72</f>
        <v/>
      </c>
      <c r="CM15" s="6">
        <f>Assumptions!CM$72</f>
        <v/>
      </c>
      <c r="CN15" s="6">
        <f>Assumptions!CN$72</f>
        <v/>
      </c>
      <c r="CO15" s="6">
        <f>Assumptions!CO$72</f>
        <v/>
      </c>
      <c r="CP15" s="6">
        <f>Assumptions!CP$72</f>
        <v/>
      </c>
      <c r="CQ15" s="6">
        <f>Assumptions!CQ$72</f>
        <v/>
      </c>
      <c r="CR15" s="6">
        <f>Assumptions!CR$72</f>
        <v/>
      </c>
      <c r="CS15" s="6">
        <f>Assumptions!CS$72</f>
        <v/>
      </c>
      <c r="CT15" s="6">
        <f>Assumptions!CT$72</f>
        <v/>
      </c>
      <c r="CU15" s="6">
        <f>Assumptions!CU$72</f>
        <v/>
      </c>
      <c r="CV15" s="6">
        <f>Assumptions!CV$72</f>
        <v/>
      </c>
      <c r="CW15" s="6">
        <f>Assumptions!CW$72</f>
        <v/>
      </c>
      <c r="CX15" s="6">
        <f>Assumptions!CX$72</f>
        <v/>
      </c>
      <c r="CY15" s="6">
        <f>Assumptions!CY$72</f>
        <v/>
      </c>
      <c r="CZ15" s="6">
        <f>Assumptions!CZ$72</f>
        <v/>
      </c>
      <c r="DA15" s="6">
        <f>Assumptions!DA$72</f>
        <v/>
      </c>
      <c r="DB15" s="6">
        <f>Assumptions!DB$72</f>
        <v/>
      </c>
      <c r="DC15" s="6">
        <f>Assumptions!DC$72</f>
        <v/>
      </c>
      <c r="DD15" s="6">
        <f>Assumptions!DD$72</f>
        <v/>
      </c>
      <c r="DE15" s="6">
        <f>Assumptions!DE$72</f>
        <v/>
      </c>
      <c r="DF15" s="6">
        <f>Assumptions!DF$72</f>
        <v/>
      </c>
      <c r="DG15" s="6">
        <f>Assumptions!DG$72</f>
        <v/>
      </c>
      <c r="DH15" s="6">
        <f>Assumptions!DH$72</f>
        <v/>
      </c>
      <c r="DI15" s="6">
        <f>Assumptions!DI$72</f>
        <v/>
      </c>
      <c r="DJ15" s="6">
        <f>Assumptions!DJ$72</f>
        <v/>
      </c>
      <c r="DK15" s="6">
        <f>Assumptions!DK$72</f>
        <v/>
      </c>
      <c r="DL15" s="6">
        <f>Assumptions!DL$72</f>
        <v/>
      </c>
      <c r="DM15" s="6">
        <f>Assumptions!DM$72</f>
        <v/>
      </c>
      <c r="DN15" s="6">
        <f>Assumptions!DN$72</f>
        <v/>
      </c>
      <c r="DO15" s="6">
        <f>Assumptions!DO$72</f>
        <v/>
      </c>
      <c r="DP15" s="6">
        <f>Assumptions!DP$72</f>
        <v/>
      </c>
      <c r="DQ15" s="6">
        <f>Assumptions!DQ$72</f>
        <v/>
      </c>
      <c r="DR15" s="6">
        <f>Assumptions!DR$72</f>
        <v/>
      </c>
      <c r="DS15" s="6">
        <f>Assumptions!DS$72</f>
        <v/>
      </c>
      <c r="DT15" s="6">
        <f>Assumptions!DT$72</f>
        <v/>
      </c>
    </row>
    <row r="16">
      <c r="A16" s="10" t="inlineStr">
        <is>
          <t>Controllable OpEx ($/mo, neg)</t>
        </is>
      </c>
      <c r="E16" s="52">
        <f>-SUM($B$6:$B$12)*MF_UnitCount/12*INDEX(Cum_OpEx,1,Assumptions!E$77)*Assumptions!E$74</f>
        <v/>
      </c>
      <c r="F16" s="52">
        <f>-SUM($B$6:$B$12)*MF_UnitCount/12*INDEX(Cum_OpEx,1,Assumptions!F$77)*Assumptions!F$74</f>
        <v/>
      </c>
      <c r="G16" s="52">
        <f>-SUM($B$6:$B$12)*MF_UnitCount/12*INDEX(Cum_OpEx,1,Assumptions!G$77)*Assumptions!G$74</f>
        <v/>
      </c>
      <c r="H16" s="52">
        <f>-SUM($B$6:$B$12)*MF_UnitCount/12*INDEX(Cum_OpEx,1,Assumptions!H$77)*Assumptions!H$74</f>
        <v/>
      </c>
      <c r="I16" s="52">
        <f>-SUM($B$6:$B$12)*MF_UnitCount/12*INDEX(Cum_OpEx,1,Assumptions!I$77)*Assumptions!I$74</f>
        <v/>
      </c>
      <c r="J16" s="52">
        <f>-SUM($B$6:$B$12)*MF_UnitCount/12*INDEX(Cum_OpEx,1,Assumptions!J$77)*Assumptions!J$74</f>
        <v/>
      </c>
      <c r="K16" s="52">
        <f>-SUM($B$6:$B$12)*MF_UnitCount/12*INDEX(Cum_OpEx,1,Assumptions!K$77)*Assumptions!K$74</f>
        <v/>
      </c>
      <c r="L16" s="52">
        <f>-SUM($B$6:$B$12)*MF_UnitCount/12*INDEX(Cum_OpEx,1,Assumptions!L$77)*Assumptions!L$74</f>
        <v/>
      </c>
      <c r="M16" s="52">
        <f>-SUM($B$6:$B$12)*MF_UnitCount/12*INDEX(Cum_OpEx,1,Assumptions!M$77)*Assumptions!M$74</f>
        <v/>
      </c>
      <c r="N16" s="52">
        <f>-SUM($B$6:$B$12)*MF_UnitCount/12*INDEX(Cum_OpEx,1,Assumptions!N$77)*Assumptions!N$74</f>
        <v/>
      </c>
      <c r="O16" s="52">
        <f>-SUM($B$6:$B$12)*MF_UnitCount/12*INDEX(Cum_OpEx,1,Assumptions!O$77)*Assumptions!O$74</f>
        <v/>
      </c>
      <c r="P16" s="52">
        <f>-SUM($B$6:$B$12)*MF_UnitCount/12*INDEX(Cum_OpEx,1,Assumptions!P$77)*Assumptions!P$74</f>
        <v/>
      </c>
      <c r="Q16" s="52">
        <f>-SUM($B$6:$B$12)*MF_UnitCount/12*INDEX(Cum_OpEx,1,Assumptions!Q$77)*Assumptions!Q$74</f>
        <v/>
      </c>
      <c r="R16" s="52">
        <f>-SUM($B$6:$B$12)*MF_UnitCount/12*INDEX(Cum_OpEx,1,Assumptions!R$77)*Assumptions!R$74</f>
        <v/>
      </c>
      <c r="S16" s="52">
        <f>-SUM($B$6:$B$12)*MF_UnitCount/12*INDEX(Cum_OpEx,1,Assumptions!S$77)*Assumptions!S$74</f>
        <v/>
      </c>
      <c r="T16" s="52">
        <f>-SUM($B$6:$B$12)*MF_UnitCount/12*INDEX(Cum_OpEx,1,Assumptions!T$77)*Assumptions!T$74</f>
        <v/>
      </c>
      <c r="U16" s="52">
        <f>-SUM($B$6:$B$12)*MF_UnitCount/12*INDEX(Cum_OpEx,1,Assumptions!U$77)*Assumptions!U$74</f>
        <v/>
      </c>
      <c r="V16" s="52">
        <f>-SUM($B$6:$B$12)*MF_UnitCount/12*INDEX(Cum_OpEx,1,Assumptions!V$77)*Assumptions!V$74</f>
        <v/>
      </c>
      <c r="W16" s="52">
        <f>-SUM($B$6:$B$12)*MF_UnitCount/12*INDEX(Cum_OpEx,1,Assumptions!W$77)*Assumptions!W$74</f>
        <v/>
      </c>
      <c r="X16" s="52">
        <f>-SUM($B$6:$B$12)*MF_UnitCount/12*INDEX(Cum_OpEx,1,Assumptions!X$77)*Assumptions!X$74</f>
        <v/>
      </c>
      <c r="Y16" s="52">
        <f>-SUM($B$6:$B$12)*MF_UnitCount/12*INDEX(Cum_OpEx,1,Assumptions!Y$77)*Assumptions!Y$74</f>
        <v/>
      </c>
      <c r="Z16" s="52">
        <f>-SUM($B$6:$B$12)*MF_UnitCount/12*INDEX(Cum_OpEx,1,Assumptions!Z$77)*Assumptions!Z$74</f>
        <v/>
      </c>
      <c r="AA16" s="52">
        <f>-SUM($B$6:$B$12)*MF_UnitCount/12*INDEX(Cum_OpEx,1,Assumptions!AA$77)*Assumptions!AA$74</f>
        <v/>
      </c>
      <c r="AB16" s="52">
        <f>-SUM($B$6:$B$12)*MF_UnitCount/12*INDEX(Cum_OpEx,1,Assumptions!AB$77)*Assumptions!AB$74</f>
        <v/>
      </c>
      <c r="AC16" s="52">
        <f>-SUM($B$6:$B$12)*MF_UnitCount/12*INDEX(Cum_OpEx,1,Assumptions!AC$77)*Assumptions!AC$74</f>
        <v/>
      </c>
      <c r="AD16" s="52">
        <f>-SUM($B$6:$B$12)*MF_UnitCount/12*INDEX(Cum_OpEx,1,Assumptions!AD$77)*Assumptions!AD$74</f>
        <v/>
      </c>
      <c r="AE16" s="52">
        <f>-SUM($B$6:$B$12)*MF_UnitCount/12*INDEX(Cum_OpEx,1,Assumptions!AE$77)*Assumptions!AE$74</f>
        <v/>
      </c>
      <c r="AF16" s="52">
        <f>-SUM($B$6:$B$12)*MF_UnitCount/12*INDEX(Cum_OpEx,1,Assumptions!AF$77)*Assumptions!AF$74</f>
        <v/>
      </c>
      <c r="AG16" s="52">
        <f>-SUM($B$6:$B$12)*MF_UnitCount/12*INDEX(Cum_OpEx,1,Assumptions!AG$77)*Assumptions!AG$74</f>
        <v/>
      </c>
      <c r="AH16" s="52">
        <f>-SUM($B$6:$B$12)*MF_UnitCount/12*INDEX(Cum_OpEx,1,Assumptions!AH$77)*Assumptions!AH$74</f>
        <v/>
      </c>
      <c r="AI16" s="52">
        <f>-SUM($B$6:$B$12)*MF_UnitCount/12*INDEX(Cum_OpEx,1,Assumptions!AI$77)*Assumptions!AI$74</f>
        <v/>
      </c>
      <c r="AJ16" s="52">
        <f>-SUM($B$6:$B$12)*MF_UnitCount/12*INDEX(Cum_OpEx,1,Assumptions!AJ$77)*Assumptions!AJ$74</f>
        <v/>
      </c>
      <c r="AK16" s="52">
        <f>-SUM($B$6:$B$12)*MF_UnitCount/12*INDEX(Cum_OpEx,1,Assumptions!AK$77)*Assumptions!AK$74</f>
        <v/>
      </c>
      <c r="AL16" s="52">
        <f>-SUM($B$6:$B$12)*MF_UnitCount/12*INDEX(Cum_OpEx,1,Assumptions!AL$77)*Assumptions!AL$74</f>
        <v/>
      </c>
      <c r="AM16" s="52">
        <f>-SUM($B$6:$B$12)*MF_UnitCount/12*INDEX(Cum_OpEx,1,Assumptions!AM$77)*Assumptions!AM$74</f>
        <v/>
      </c>
      <c r="AN16" s="52">
        <f>-SUM($B$6:$B$12)*MF_UnitCount/12*INDEX(Cum_OpEx,1,Assumptions!AN$77)*Assumptions!AN$74</f>
        <v/>
      </c>
      <c r="AO16" s="52">
        <f>-SUM($B$6:$B$12)*MF_UnitCount/12*INDEX(Cum_OpEx,1,Assumptions!AO$77)*Assumptions!AO$74</f>
        <v/>
      </c>
      <c r="AP16" s="52">
        <f>-SUM($B$6:$B$12)*MF_UnitCount/12*INDEX(Cum_OpEx,1,Assumptions!AP$77)*Assumptions!AP$74</f>
        <v/>
      </c>
      <c r="AQ16" s="52">
        <f>-SUM($B$6:$B$12)*MF_UnitCount/12*INDEX(Cum_OpEx,1,Assumptions!AQ$77)*Assumptions!AQ$74</f>
        <v/>
      </c>
      <c r="AR16" s="52">
        <f>-SUM($B$6:$B$12)*MF_UnitCount/12*INDEX(Cum_OpEx,1,Assumptions!AR$77)*Assumptions!AR$74</f>
        <v/>
      </c>
      <c r="AS16" s="52">
        <f>-SUM($B$6:$B$12)*MF_UnitCount/12*INDEX(Cum_OpEx,1,Assumptions!AS$77)*Assumptions!AS$74</f>
        <v/>
      </c>
      <c r="AT16" s="52">
        <f>-SUM($B$6:$B$12)*MF_UnitCount/12*INDEX(Cum_OpEx,1,Assumptions!AT$77)*Assumptions!AT$74</f>
        <v/>
      </c>
      <c r="AU16" s="52">
        <f>-SUM($B$6:$B$12)*MF_UnitCount/12*INDEX(Cum_OpEx,1,Assumptions!AU$77)*Assumptions!AU$74</f>
        <v/>
      </c>
      <c r="AV16" s="52">
        <f>-SUM($B$6:$B$12)*MF_UnitCount/12*INDEX(Cum_OpEx,1,Assumptions!AV$77)*Assumptions!AV$74</f>
        <v/>
      </c>
      <c r="AW16" s="52">
        <f>-SUM($B$6:$B$12)*MF_UnitCount/12*INDEX(Cum_OpEx,1,Assumptions!AW$77)*Assumptions!AW$74</f>
        <v/>
      </c>
      <c r="AX16" s="52">
        <f>-SUM($B$6:$B$12)*MF_UnitCount/12*INDEX(Cum_OpEx,1,Assumptions!AX$77)*Assumptions!AX$74</f>
        <v/>
      </c>
      <c r="AY16" s="52">
        <f>-SUM($B$6:$B$12)*MF_UnitCount/12*INDEX(Cum_OpEx,1,Assumptions!AY$77)*Assumptions!AY$74</f>
        <v/>
      </c>
      <c r="AZ16" s="52">
        <f>-SUM($B$6:$B$12)*MF_UnitCount/12*INDEX(Cum_OpEx,1,Assumptions!AZ$77)*Assumptions!AZ$74</f>
        <v/>
      </c>
      <c r="BA16" s="52">
        <f>-SUM($B$6:$B$12)*MF_UnitCount/12*INDEX(Cum_OpEx,1,Assumptions!BA$77)*Assumptions!BA$74</f>
        <v/>
      </c>
      <c r="BB16" s="52">
        <f>-SUM($B$6:$B$12)*MF_UnitCount/12*INDEX(Cum_OpEx,1,Assumptions!BB$77)*Assumptions!BB$74</f>
        <v/>
      </c>
      <c r="BC16" s="52">
        <f>-SUM($B$6:$B$12)*MF_UnitCount/12*INDEX(Cum_OpEx,1,Assumptions!BC$77)*Assumptions!BC$74</f>
        <v/>
      </c>
      <c r="BD16" s="52">
        <f>-SUM($B$6:$B$12)*MF_UnitCount/12*INDEX(Cum_OpEx,1,Assumptions!BD$77)*Assumptions!BD$74</f>
        <v/>
      </c>
      <c r="BE16" s="52">
        <f>-SUM($B$6:$B$12)*MF_UnitCount/12*INDEX(Cum_OpEx,1,Assumptions!BE$77)*Assumptions!BE$74</f>
        <v/>
      </c>
      <c r="BF16" s="52">
        <f>-SUM($B$6:$B$12)*MF_UnitCount/12*INDEX(Cum_OpEx,1,Assumptions!BF$77)*Assumptions!BF$74</f>
        <v/>
      </c>
      <c r="BG16" s="52">
        <f>-SUM($B$6:$B$12)*MF_UnitCount/12*INDEX(Cum_OpEx,1,Assumptions!BG$77)*Assumptions!BG$74</f>
        <v/>
      </c>
      <c r="BH16" s="52">
        <f>-SUM($B$6:$B$12)*MF_UnitCount/12*INDEX(Cum_OpEx,1,Assumptions!BH$77)*Assumptions!BH$74</f>
        <v/>
      </c>
      <c r="BI16" s="52">
        <f>-SUM($B$6:$B$12)*MF_UnitCount/12*INDEX(Cum_OpEx,1,Assumptions!BI$77)*Assumptions!BI$74</f>
        <v/>
      </c>
      <c r="BJ16" s="52">
        <f>-SUM($B$6:$B$12)*MF_UnitCount/12*INDEX(Cum_OpEx,1,Assumptions!BJ$77)*Assumptions!BJ$74</f>
        <v/>
      </c>
      <c r="BK16" s="52">
        <f>-SUM($B$6:$B$12)*MF_UnitCount/12*INDEX(Cum_OpEx,1,Assumptions!BK$77)*Assumptions!BK$74</f>
        <v/>
      </c>
      <c r="BL16" s="52">
        <f>-SUM($B$6:$B$12)*MF_UnitCount/12*INDEX(Cum_OpEx,1,Assumptions!BL$77)*Assumptions!BL$74</f>
        <v/>
      </c>
      <c r="BM16" s="52">
        <f>-SUM($B$6:$B$12)*MF_UnitCount/12*INDEX(Cum_OpEx,1,Assumptions!BM$77)*Assumptions!BM$74</f>
        <v/>
      </c>
      <c r="BN16" s="52">
        <f>-SUM($B$6:$B$12)*MF_UnitCount/12*INDEX(Cum_OpEx,1,Assumptions!BN$77)*Assumptions!BN$74</f>
        <v/>
      </c>
      <c r="BO16" s="52">
        <f>-SUM($B$6:$B$12)*MF_UnitCount/12*INDEX(Cum_OpEx,1,Assumptions!BO$77)*Assumptions!BO$74</f>
        <v/>
      </c>
      <c r="BP16" s="52">
        <f>-SUM($B$6:$B$12)*MF_UnitCount/12*INDEX(Cum_OpEx,1,Assumptions!BP$77)*Assumptions!BP$74</f>
        <v/>
      </c>
      <c r="BQ16" s="52">
        <f>-SUM($B$6:$B$12)*MF_UnitCount/12*INDEX(Cum_OpEx,1,Assumptions!BQ$77)*Assumptions!BQ$74</f>
        <v/>
      </c>
      <c r="BR16" s="52">
        <f>-SUM($B$6:$B$12)*MF_UnitCount/12*INDEX(Cum_OpEx,1,Assumptions!BR$77)*Assumptions!BR$74</f>
        <v/>
      </c>
      <c r="BS16" s="52">
        <f>-SUM($B$6:$B$12)*MF_UnitCount/12*INDEX(Cum_OpEx,1,Assumptions!BS$77)*Assumptions!BS$74</f>
        <v/>
      </c>
      <c r="BT16" s="52">
        <f>-SUM($B$6:$B$12)*MF_UnitCount/12*INDEX(Cum_OpEx,1,Assumptions!BT$77)*Assumptions!BT$74</f>
        <v/>
      </c>
      <c r="BU16" s="52">
        <f>-SUM($B$6:$B$12)*MF_UnitCount/12*INDEX(Cum_OpEx,1,Assumptions!BU$77)*Assumptions!BU$74</f>
        <v/>
      </c>
      <c r="BV16" s="52">
        <f>-SUM($B$6:$B$12)*MF_UnitCount/12*INDEX(Cum_OpEx,1,Assumptions!BV$77)*Assumptions!BV$74</f>
        <v/>
      </c>
      <c r="BW16" s="52">
        <f>-SUM($B$6:$B$12)*MF_UnitCount/12*INDEX(Cum_OpEx,1,Assumptions!BW$77)*Assumptions!BW$74</f>
        <v/>
      </c>
      <c r="BX16" s="52">
        <f>-SUM($B$6:$B$12)*MF_UnitCount/12*INDEX(Cum_OpEx,1,Assumptions!BX$77)*Assumptions!BX$74</f>
        <v/>
      </c>
      <c r="BY16" s="52">
        <f>-SUM($B$6:$B$12)*MF_UnitCount/12*INDEX(Cum_OpEx,1,Assumptions!BY$77)*Assumptions!BY$74</f>
        <v/>
      </c>
      <c r="BZ16" s="52">
        <f>-SUM($B$6:$B$12)*MF_UnitCount/12*INDEX(Cum_OpEx,1,Assumptions!BZ$77)*Assumptions!BZ$74</f>
        <v/>
      </c>
      <c r="CA16" s="52">
        <f>-SUM($B$6:$B$12)*MF_UnitCount/12*INDEX(Cum_OpEx,1,Assumptions!CA$77)*Assumptions!CA$74</f>
        <v/>
      </c>
      <c r="CB16" s="52">
        <f>-SUM($B$6:$B$12)*MF_UnitCount/12*INDEX(Cum_OpEx,1,Assumptions!CB$77)*Assumptions!CB$74</f>
        <v/>
      </c>
      <c r="CC16" s="52">
        <f>-SUM($B$6:$B$12)*MF_UnitCount/12*INDEX(Cum_OpEx,1,Assumptions!CC$77)*Assumptions!CC$74</f>
        <v/>
      </c>
      <c r="CD16" s="52">
        <f>-SUM($B$6:$B$12)*MF_UnitCount/12*INDEX(Cum_OpEx,1,Assumptions!CD$77)*Assumptions!CD$74</f>
        <v/>
      </c>
      <c r="CE16" s="52">
        <f>-SUM($B$6:$B$12)*MF_UnitCount/12*INDEX(Cum_OpEx,1,Assumptions!CE$77)*Assumptions!CE$74</f>
        <v/>
      </c>
      <c r="CF16" s="52">
        <f>-SUM($B$6:$B$12)*MF_UnitCount/12*INDEX(Cum_OpEx,1,Assumptions!CF$77)*Assumptions!CF$74</f>
        <v/>
      </c>
      <c r="CG16" s="52">
        <f>-SUM($B$6:$B$12)*MF_UnitCount/12*INDEX(Cum_OpEx,1,Assumptions!CG$77)*Assumptions!CG$74</f>
        <v/>
      </c>
      <c r="CH16" s="52">
        <f>-SUM($B$6:$B$12)*MF_UnitCount/12*INDEX(Cum_OpEx,1,Assumptions!CH$77)*Assumptions!CH$74</f>
        <v/>
      </c>
      <c r="CI16" s="52">
        <f>-SUM($B$6:$B$12)*MF_UnitCount/12*INDEX(Cum_OpEx,1,Assumptions!CI$77)*Assumptions!CI$74</f>
        <v/>
      </c>
      <c r="CJ16" s="52">
        <f>-SUM($B$6:$B$12)*MF_UnitCount/12*INDEX(Cum_OpEx,1,Assumptions!CJ$77)*Assumptions!CJ$74</f>
        <v/>
      </c>
      <c r="CK16" s="52">
        <f>-SUM($B$6:$B$12)*MF_UnitCount/12*INDEX(Cum_OpEx,1,Assumptions!CK$77)*Assumptions!CK$74</f>
        <v/>
      </c>
      <c r="CL16" s="52">
        <f>-SUM($B$6:$B$12)*MF_UnitCount/12*INDEX(Cum_OpEx,1,Assumptions!CL$77)*Assumptions!CL$74</f>
        <v/>
      </c>
      <c r="CM16" s="52">
        <f>-SUM($B$6:$B$12)*MF_UnitCount/12*INDEX(Cum_OpEx,1,Assumptions!CM$77)*Assumptions!CM$74</f>
        <v/>
      </c>
      <c r="CN16" s="52">
        <f>-SUM($B$6:$B$12)*MF_UnitCount/12*INDEX(Cum_OpEx,1,Assumptions!CN$77)*Assumptions!CN$74</f>
        <v/>
      </c>
      <c r="CO16" s="52">
        <f>-SUM($B$6:$B$12)*MF_UnitCount/12*INDEX(Cum_OpEx,1,Assumptions!CO$77)*Assumptions!CO$74</f>
        <v/>
      </c>
      <c r="CP16" s="52">
        <f>-SUM($B$6:$B$12)*MF_UnitCount/12*INDEX(Cum_OpEx,1,Assumptions!CP$77)*Assumptions!CP$74</f>
        <v/>
      </c>
      <c r="CQ16" s="52">
        <f>-SUM($B$6:$B$12)*MF_UnitCount/12*INDEX(Cum_OpEx,1,Assumptions!CQ$77)*Assumptions!CQ$74</f>
        <v/>
      </c>
      <c r="CR16" s="52">
        <f>-SUM($B$6:$B$12)*MF_UnitCount/12*INDEX(Cum_OpEx,1,Assumptions!CR$77)*Assumptions!CR$74</f>
        <v/>
      </c>
      <c r="CS16" s="52">
        <f>-SUM($B$6:$B$12)*MF_UnitCount/12*INDEX(Cum_OpEx,1,Assumptions!CS$77)*Assumptions!CS$74</f>
        <v/>
      </c>
      <c r="CT16" s="52">
        <f>-SUM($B$6:$B$12)*MF_UnitCount/12*INDEX(Cum_OpEx,1,Assumptions!CT$77)*Assumptions!CT$74</f>
        <v/>
      </c>
      <c r="CU16" s="52">
        <f>-SUM($B$6:$B$12)*MF_UnitCount/12*INDEX(Cum_OpEx,1,Assumptions!CU$77)*Assumptions!CU$74</f>
        <v/>
      </c>
      <c r="CV16" s="52">
        <f>-SUM($B$6:$B$12)*MF_UnitCount/12*INDEX(Cum_OpEx,1,Assumptions!CV$77)*Assumptions!CV$74</f>
        <v/>
      </c>
      <c r="CW16" s="52">
        <f>-SUM($B$6:$B$12)*MF_UnitCount/12*INDEX(Cum_OpEx,1,Assumptions!CW$77)*Assumptions!CW$74</f>
        <v/>
      </c>
      <c r="CX16" s="52">
        <f>-SUM($B$6:$B$12)*MF_UnitCount/12*INDEX(Cum_OpEx,1,Assumptions!CX$77)*Assumptions!CX$74</f>
        <v/>
      </c>
      <c r="CY16" s="52">
        <f>-SUM($B$6:$B$12)*MF_UnitCount/12*INDEX(Cum_OpEx,1,Assumptions!CY$77)*Assumptions!CY$74</f>
        <v/>
      </c>
      <c r="CZ16" s="52">
        <f>-SUM($B$6:$B$12)*MF_UnitCount/12*INDEX(Cum_OpEx,1,Assumptions!CZ$77)*Assumptions!CZ$74</f>
        <v/>
      </c>
      <c r="DA16" s="52">
        <f>-SUM($B$6:$B$12)*MF_UnitCount/12*INDEX(Cum_OpEx,1,Assumptions!DA$77)*Assumptions!DA$74</f>
        <v/>
      </c>
      <c r="DB16" s="52">
        <f>-SUM($B$6:$B$12)*MF_UnitCount/12*INDEX(Cum_OpEx,1,Assumptions!DB$77)*Assumptions!DB$74</f>
        <v/>
      </c>
      <c r="DC16" s="52">
        <f>-SUM($B$6:$B$12)*MF_UnitCount/12*INDEX(Cum_OpEx,1,Assumptions!DC$77)*Assumptions!DC$74</f>
        <v/>
      </c>
      <c r="DD16" s="52">
        <f>-SUM($B$6:$B$12)*MF_UnitCount/12*INDEX(Cum_OpEx,1,Assumptions!DD$77)*Assumptions!DD$74</f>
        <v/>
      </c>
      <c r="DE16" s="52">
        <f>-SUM($B$6:$B$12)*MF_UnitCount/12*INDEX(Cum_OpEx,1,Assumptions!DE$77)*Assumptions!DE$74</f>
        <v/>
      </c>
      <c r="DF16" s="52">
        <f>-SUM($B$6:$B$12)*MF_UnitCount/12*INDEX(Cum_OpEx,1,Assumptions!DF$77)*Assumptions!DF$74</f>
        <v/>
      </c>
      <c r="DG16" s="52">
        <f>-SUM($B$6:$B$12)*MF_UnitCount/12*INDEX(Cum_OpEx,1,Assumptions!DG$77)*Assumptions!DG$74</f>
        <v/>
      </c>
      <c r="DH16" s="52">
        <f>-SUM($B$6:$B$12)*MF_UnitCount/12*INDEX(Cum_OpEx,1,Assumptions!DH$77)*Assumptions!DH$74</f>
        <v/>
      </c>
      <c r="DI16" s="52">
        <f>-SUM($B$6:$B$12)*MF_UnitCount/12*INDEX(Cum_OpEx,1,Assumptions!DI$77)*Assumptions!DI$74</f>
        <v/>
      </c>
      <c r="DJ16" s="52">
        <f>-SUM($B$6:$B$12)*MF_UnitCount/12*INDEX(Cum_OpEx,1,Assumptions!DJ$77)*Assumptions!DJ$74</f>
        <v/>
      </c>
      <c r="DK16" s="52">
        <f>-SUM($B$6:$B$12)*MF_UnitCount/12*INDEX(Cum_OpEx,1,Assumptions!DK$77)*Assumptions!DK$74</f>
        <v/>
      </c>
      <c r="DL16" s="52">
        <f>-SUM($B$6:$B$12)*MF_UnitCount/12*INDEX(Cum_OpEx,1,Assumptions!DL$77)*Assumptions!DL$74</f>
        <v/>
      </c>
      <c r="DM16" s="52">
        <f>-SUM($B$6:$B$12)*MF_UnitCount/12*INDEX(Cum_OpEx,1,Assumptions!DM$77)*Assumptions!DM$74</f>
        <v/>
      </c>
      <c r="DN16" s="52">
        <f>-SUM($B$6:$B$12)*MF_UnitCount/12*INDEX(Cum_OpEx,1,Assumptions!DN$77)*Assumptions!DN$74</f>
        <v/>
      </c>
      <c r="DO16" s="52">
        <f>-SUM($B$6:$B$12)*MF_UnitCount/12*INDEX(Cum_OpEx,1,Assumptions!DO$77)*Assumptions!DO$74</f>
        <v/>
      </c>
      <c r="DP16" s="52">
        <f>-SUM($B$6:$B$12)*MF_UnitCount/12*INDEX(Cum_OpEx,1,Assumptions!DP$77)*Assumptions!DP$74</f>
        <v/>
      </c>
      <c r="DQ16" s="52">
        <f>-SUM($B$6:$B$12)*MF_UnitCount/12*INDEX(Cum_OpEx,1,Assumptions!DQ$77)*Assumptions!DQ$74</f>
        <v/>
      </c>
      <c r="DR16" s="52">
        <f>-SUM($B$6:$B$12)*MF_UnitCount/12*INDEX(Cum_OpEx,1,Assumptions!DR$77)*Assumptions!DR$74</f>
        <v/>
      </c>
      <c r="DS16" s="52">
        <f>-SUM($B$6:$B$12)*MF_UnitCount/12*INDEX(Cum_OpEx,1,Assumptions!DS$77)*Assumptions!DS$74</f>
        <v/>
      </c>
      <c r="DT16" s="52">
        <f>-SUM($B$6:$B$12)*MF_UnitCount/12*INDEX(Cum_OpEx,1,Assumptions!DT$77)*Assumptions!DT$74</f>
        <v/>
      </c>
    </row>
    <row r="17">
      <c r="A17" s="10" t="inlineStr">
        <is>
          <t>Management fee ($/mo, neg)</t>
        </is>
      </c>
      <c r="E17" s="50">
        <f>-('MF Revenue'!E$114+'Retail Revenue'!E$40)*MgmtFeePct</f>
        <v/>
      </c>
      <c r="F17" s="50">
        <f>-('MF Revenue'!F$114+'Retail Revenue'!F$40)*MgmtFeePct</f>
        <v/>
      </c>
      <c r="G17" s="50">
        <f>-('MF Revenue'!G$114+'Retail Revenue'!G$40)*MgmtFeePct</f>
        <v/>
      </c>
      <c r="H17" s="50">
        <f>-('MF Revenue'!H$114+'Retail Revenue'!H$40)*MgmtFeePct</f>
        <v/>
      </c>
      <c r="I17" s="50">
        <f>-('MF Revenue'!I$114+'Retail Revenue'!I$40)*MgmtFeePct</f>
        <v/>
      </c>
      <c r="J17" s="50">
        <f>-('MF Revenue'!J$114+'Retail Revenue'!J$40)*MgmtFeePct</f>
        <v/>
      </c>
      <c r="K17" s="50">
        <f>-('MF Revenue'!K$114+'Retail Revenue'!K$40)*MgmtFeePct</f>
        <v/>
      </c>
      <c r="L17" s="50">
        <f>-('MF Revenue'!L$114+'Retail Revenue'!L$40)*MgmtFeePct</f>
        <v/>
      </c>
      <c r="M17" s="50">
        <f>-('MF Revenue'!M$114+'Retail Revenue'!M$40)*MgmtFeePct</f>
        <v/>
      </c>
      <c r="N17" s="50">
        <f>-('MF Revenue'!N$114+'Retail Revenue'!N$40)*MgmtFeePct</f>
        <v/>
      </c>
      <c r="O17" s="50">
        <f>-('MF Revenue'!O$114+'Retail Revenue'!O$40)*MgmtFeePct</f>
        <v/>
      </c>
      <c r="P17" s="50">
        <f>-('MF Revenue'!P$114+'Retail Revenue'!P$40)*MgmtFeePct</f>
        <v/>
      </c>
      <c r="Q17" s="50">
        <f>-('MF Revenue'!Q$114+'Retail Revenue'!Q$40)*MgmtFeePct</f>
        <v/>
      </c>
      <c r="R17" s="50">
        <f>-('MF Revenue'!R$114+'Retail Revenue'!R$40)*MgmtFeePct</f>
        <v/>
      </c>
      <c r="S17" s="50">
        <f>-('MF Revenue'!S$114+'Retail Revenue'!S$40)*MgmtFeePct</f>
        <v/>
      </c>
      <c r="T17" s="50">
        <f>-('MF Revenue'!T$114+'Retail Revenue'!T$40)*MgmtFeePct</f>
        <v/>
      </c>
      <c r="U17" s="50">
        <f>-('MF Revenue'!U$114+'Retail Revenue'!U$40)*MgmtFeePct</f>
        <v/>
      </c>
      <c r="V17" s="50">
        <f>-('MF Revenue'!V$114+'Retail Revenue'!V$40)*MgmtFeePct</f>
        <v/>
      </c>
      <c r="W17" s="50">
        <f>-('MF Revenue'!W$114+'Retail Revenue'!W$40)*MgmtFeePct</f>
        <v/>
      </c>
      <c r="X17" s="50">
        <f>-('MF Revenue'!X$114+'Retail Revenue'!X$40)*MgmtFeePct</f>
        <v/>
      </c>
      <c r="Y17" s="50">
        <f>-('MF Revenue'!Y$114+'Retail Revenue'!Y$40)*MgmtFeePct</f>
        <v/>
      </c>
      <c r="Z17" s="50">
        <f>-('MF Revenue'!Z$114+'Retail Revenue'!Z$40)*MgmtFeePct</f>
        <v/>
      </c>
      <c r="AA17" s="50">
        <f>-('MF Revenue'!AA$114+'Retail Revenue'!AA$40)*MgmtFeePct</f>
        <v/>
      </c>
      <c r="AB17" s="50">
        <f>-('MF Revenue'!AB$114+'Retail Revenue'!AB$40)*MgmtFeePct</f>
        <v/>
      </c>
      <c r="AC17" s="50">
        <f>-('MF Revenue'!AC$114+'Retail Revenue'!AC$40)*MgmtFeePct</f>
        <v/>
      </c>
      <c r="AD17" s="50">
        <f>-('MF Revenue'!AD$114+'Retail Revenue'!AD$40)*MgmtFeePct</f>
        <v/>
      </c>
      <c r="AE17" s="50">
        <f>-('MF Revenue'!AE$114+'Retail Revenue'!AE$40)*MgmtFeePct</f>
        <v/>
      </c>
      <c r="AF17" s="50">
        <f>-('MF Revenue'!AF$114+'Retail Revenue'!AF$40)*MgmtFeePct</f>
        <v/>
      </c>
      <c r="AG17" s="50">
        <f>-('MF Revenue'!AG$114+'Retail Revenue'!AG$40)*MgmtFeePct</f>
        <v/>
      </c>
      <c r="AH17" s="50">
        <f>-('MF Revenue'!AH$114+'Retail Revenue'!AH$40)*MgmtFeePct</f>
        <v/>
      </c>
      <c r="AI17" s="50">
        <f>-('MF Revenue'!AI$114+'Retail Revenue'!AI$40)*MgmtFeePct</f>
        <v/>
      </c>
      <c r="AJ17" s="50">
        <f>-('MF Revenue'!AJ$114+'Retail Revenue'!AJ$40)*MgmtFeePct</f>
        <v/>
      </c>
      <c r="AK17" s="50">
        <f>-('MF Revenue'!AK$114+'Retail Revenue'!AK$40)*MgmtFeePct</f>
        <v/>
      </c>
      <c r="AL17" s="50">
        <f>-('MF Revenue'!AL$114+'Retail Revenue'!AL$40)*MgmtFeePct</f>
        <v/>
      </c>
      <c r="AM17" s="50">
        <f>-('MF Revenue'!AM$114+'Retail Revenue'!AM$40)*MgmtFeePct</f>
        <v/>
      </c>
      <c r="AN17" s="50">
        <f>-('MF Revenue'!AN$114+'Retail Revenue'!AN$40)*MgmtFeePct</f>
        <v/>
      </c>
      <c r="AO17" s="50">
        <f>-('MF Revenue'!AO$114+'Retail Revenue'!AO$40)*MgmtFeePct</f>
        <v/>
      </c>
      <c r="AP17" s="50">
        <f>-('MF Revenue'!AP$114+'Retail Revenue'!AP$40)*MgmtFeePct</f>
        <v/>
      </c>
      <c r="AQ17" s="50">
        <f>-('MF Revenue'!AQ$114+'Retail Revenue'!AQ$40)*MgmtFeePct</f>
        <v/>
      </c>
      <c r="AR17" s="50">
        <f>-('MF Revenue'!AR$114+'Retail Revenue'!AR$40)*MgmtFeePct</f>
        <v/>
      </c>
      <c r="AS17" s="50">
        <f>-('MF Revenue'!AS$114+'Retail Revenue'!AS$40)*MgmtFeePct</f>
        <v/>
      </c>
      <c r="AT17" s="50">
        <f>-('MF Revenue'!AT$114+'Retail Revenue'!AT$40)*MgmtFeePct</f>
        <v/>
      </c>
      <c r="AU17" s="50">
        <f>-('MF Revenue'!AU$114+'Retail Revenue'!AU$40)*MgmtFeePct</f>
        <v/>
      </c>
      <c r="AV17" s="50">
        <f>-('MF Revenue'!AV$114+'Retail Revenue'!AV$40)*MgmtFeePct</f>
        <v/>
      </c>
      <c r="AW17" s="50">
        <f>-('MF Revenue'!AW$114+'Retail Revenue'!AW$40)*MgmtFeePct</f>
        <v/>
      </c>
      <c r="AX17" s="50">
        <f>-('MF Revenue'!AX$114+'Retail Revenue'!AX$40)*MgmtFeePct</f>
        <v/>
      </c>
      <c r="AY17" s="50">
        <f>-('MF Revenue'!AY$114+'Retail Revenue'!AY$40)*MgmtFeePct</f>
        <v/>
      </c>
      <c r="AZ17" s="50">
        <f>-('MF Revenue'!AZ$114+'Retail Revenue'!AZ$40)*MgmtFeePct</f>
        <v/>
      </c>
      <c r="BA17" s="50">
        <f>-('MF Revenue'!BA$114+'Retail Revenue'!BA$40)*MgmtFeePct</f>
        <v/>
      </c>
      <c r="BB17" s="50">
        <f>-('MF Revenue'!BB$114+'Retail Revenue'!BB$40)*MgmtFeePct</f>
        <v/>
      </c>
      <c r="BC17" s="50">
        <f>-('MF Revenue'!BC$114+'Retail Revenue'!BC$40)*MgmtFeePct</f>
        <v/>
      </c>
      <c r="BD17" s="50">
        <f>-('MF Revenue'!BD$114+'Retail Revenue'!BD$40)*MgmtFeePct</f>
        <v/>
      </c>
      <c r="BE17" s="50">
        <f>-('MF Revenue'!BE$114+'Retail Revenue'!BE$40)*MgmtFeePct</f>
        <v/>
      </c>
      <c r="BF17" s="50">
        <f>-('MF Revenue'!BF$114+'Retail Revenue'!BF$40)*MgmtFeePct</f>
        <v/>
      </c>
      <c r="BG17" s="50">
        <f>-('MF Revenue'!BG$114+'Retail Revenue'!BG$40)*MgmtFeePct</f>
        <v/>
      </c>
      <c r="BH17" s="50">
        <f>-('MF Revenue'!BH$114+'Retail Revenue'!BH$40)*MgmtFeePct</f>
        <v/>
      </c>
      <c r="BI17" s="50">
        <f>-('MF Revenue'!BI$114+'Retail Revenue'!BI$40)*MgmtFeePct</f>
        <v/>
      </c>
      <c r="BJ17" s="50">
        <f>-('MF Revenue'!BJ$114+'Retail Revenue'!BJ$40)*MgmtFeePct</f>
        <v/>
      </c>
      <c r="BK17" s="50">
        <f>-('MF Revenue'!BK$114+'Retail Revenue'!BK$40)*MgmtFeePct</f>
        <v/>
      </c>
      <c r="BL17" s="50">
        <f>-('MF Revenue'!BL$114+'Retail Revenue'!BL$40)*MgmtFeePct</f>
        <v/>
      </c>
      <c r="BM17" s="50">
        <f>-('MF Revenue'!BM$114+'Retail Revenue'!BM$40)*MgmtFeePct</f>
        <v/>
      </c>
      <c r="BN17" s="50">
        <f>-('MF Revenue'!BN$114+'Retail Revenue'!BN$40)*MgmtFeePct</f>
        <v/>
      </c>
      <c r="BO17" s="50">
        <f>-('MF Revenue'!BO$114+'Retail Revenue'!BO$40)*MgmtFeePct</f>
        <v/>
      </c>
      <c r="BP17" s="50">
        <f>-('MF Revenue'!BP$114+'Retail Revenue'!BP$40)*MgmtFeePct</f>
        <v/>
      </c>
      <c r="BQ17" s="50">
        <f>-('MF Revenue'!BQ$114+'Retail Revenue'!BQ$40)*MgmtFeePct</f>
        <v/>
      </c>
      <c r="BR17" s="50">
        <f>-('MF Revenue'!BR$114+'Retail Revenue'!BR$40)*MgmtFeePct</f>
        <v/>
      </c>
      <c r="BS17" s="50">
        <f>-('MF Revenue'!BS$114+'Retail Revenue'!BS$40)*MgmtFeePct</f>
        <v/>
      </c>
      <c r="BT17" s="50">
        <f>-('MF Revenue'!BT$114+'Retail Revenue'!BT$40)*MgmtFeePct</f>
        <v/>
      </c>
      <c r="BU17" s="50">
        <f>-('MF Revenue'!BU$114+'Retail Revenue'!BU$40)*MgmtFeePct</f>
        <v/>
      </c>
      <c r="BV17" s="50">
        <f>-('MF Revenue'!BV$114+'Retail Revenue'!BV$40)*MgmtFeePct</f>
        <v/>
      </c>
      <c r="BW17" s="50">
        <f>-('MF Revenue'!BW$114+'Retail Revenue'!BW$40)*MgmtFeePct</f>
        <v/>
      </c>
      <c r="BX17" s="50">
        <f>-('MF Revenue'!BX$114+'Retail Revenue'!BX$40)*MgmtFeePct</f>
        <v/>
      </c>
      <c r="BY17" s="50">
        <f>-('MF Revenue'!BY$114+'Retail Revenue'!BY$40)*MgmtFeePct</f>
        <v/>
      </c>
      <c r="BZ17" s="50">
        <f>-('MF Revenue'!BZ$114+'Retail Revenue'!BZ$40)*MgmtFeePct</f>
        <v/>
      </c>
      <c r="CA17" s="50">
        <f>-('MF Revenue'!CA$114+'Retail Revenue'!CA$40)*MgmtFeePct</f>
        <v/>
      </c>
      <c r="CB17" s="50">
        <f>-('MF Revenue'!CB$114+'Retail Revenue'!CB$40)*MgmtFeePct</f>
        <v/>
      </c>
      <c r="CC17" s="50">
        <f>-('MF Revenue'!CC$114+'Retail Revenue'!CC$40)*MgmtFeePct</f>
        <v/>
      </c>
      <c r="CD17" s="50">
        <f>-('MF Revenue'!CD$114+'Retail Revenue'!CD$40)*MgmtFeePct</f>
        <v/>
      </c>
      <c r="CE17" s="50">
        <f>-('MF Revenue'!CE$114+'Retail Revenue'!CE$40)*MgmtFeePct</f>
        <v/>
      </c>
      <c r="CF17" s="50">
        <f>-('MF Revenue'!CF$114+'Retail Revenue'!CF$40)*MgmtFeePct</f>
        <v/>
      </c>
      <c r="CG17" s="50">
        <f>-('MF Revenue'!CG$114+'Retail Revenue'!CG$40)*MgmtFeePct</f>
        <v/>
      </c>
      <c r="CH17" s="50">
        <f>-('MF Revenue'!CH$114+'Retail Revenue'!CH$40)*MgmtFeePct</f>
        <v/>
      </c>
      <c r="CI17" s="50">
        <f>-('MF Revenue'!CI$114+'Retail Revenue'!CI$40)*MgmtFeePct</f>
        <v/>
      </c>
      <c r="CJ17" s="50">
        <f>-('MF Revenue'!CJ$114+'Retail Revenue'!CJ$40)*MgmtFeePct</f>
        <v/>
      </c>
      <c r="CK17" s="50">
        <f>-('MF Revenue'!CK$114+'Retail Revenue'!CK$40)*MgmtFeePct</f>
        <v/>
      </c>
      <c r="CL17" s="50">
        <f>-('MF Revenue'!CL$114+'Retail Revenue'!CL$40)*MgmtFeePct</f>
        <v/>
      </c>
      <c r="CM17" s="50">
        <f>-('MF Revenue'!CM$114+'Retail Revenue'!CM$40)*MgmtFeePct</f>
        <v/>
      </c>
      <c r="CN17" s="50">
        <f>-('MF Revenue'!CN$114+'Retail Revenue'!CN$40)*MgmtFeePct</f>
        <v/>
      </c>
      <c r="CO17" s="50">
        <f>-('MF Revenue'!CO$114+'Retail Revenue'!CO$40)*MgmtFeePct</f>
        <v/>
      </c>
      <c r="CP17" s="50">
        <f>-('MF Revenue'!CP$114+'Retail Revenue'!CP$40)*MgmtFeePct</f>
        <v/>
      </c>
      <c r="CQ17" s="50">
        <f>-('MF Revenue'!CQ$114+'Retail Revenue'!CQ$40)*MgmtFeePct</f>
        <v/>
      </c>
      <c r="CR17" s="50">
        <f>-('MF Revenue'!CR$114+'Retail Revenue'!CR$40)*MgmtFeePct</f>
        <v/>
      </c>
      <c r="CS17" s="50">
        <f>-('MF Revenue'!CS$114+'Retail Revenue'!CS$40)*MgmtFeePct</f>
        <v/>
      </c>
      <c r="CT17" s="50">
        <f>-('MF Revenue'!CT$114+'Retail Revenue'!CT$40)*MgmtFeePct</f>
        <v/>
      </c>
      <c r="CU17" s="50">
        <f>-('MF Revenue'!CU$114+'Retail Revenue'!CU$40)*MgmtFeePct</f>
        <v/>
      </c>
      <c r="CV17" s="50">
        <f>-('MF Revenue'!CV$114+'Retail Revenue'!CV$40)*MgmtFeePct</f>
        <v/>
      </c>
      <c r="CW17" s="50">
        <f>-('MF Revenue'!CW$114+'Retail Revenue'!CW$40)*MgmtFeePct</f>
        <v/>
      </c>
      <c r="CX17" s="50">
        <f>-('MF Revenue'!CX$114+'Retail Revenue'!CX$40)*MgmtFeePct</f>
        <v/>
      </c>
      <c r="CY17" s="50">
        <f>-('MF Revenue'!CY$114+'Retail Revenue'!CY$40)*MgmtFeePct</f>
        <v/>
      </c>
      <c r="CZ17" s="50">
        <f>-('MF Revenue'!CZ$114+'Retail Revenue'!CZ$40)*MgmtFeePct</f>
        <v/>
      </c>
      <c r="DA17" s="50">
        <f>-('MF Revenue'!DA$114+'Retail Revenue'!DA$40)*MgmtFeePct</f>
        <v/>
      </c>
      <c r="DB17" s="50">
        <f>-('MF Revenue'!DB$114+'Retail Revenue'!DB$40)*MgmtFeePct</f>
        <v/>
      </c>
      <c r="DC17" s="50">
        <f>-('MF Revenue'!DC$114+'Retail Revenue'!DC$40)*MgmtFeePct</f>
        <v/>
      </c>
      <c r="DD17" s="50">
        <f>-('MF Revenue'!DD$114+'Retail Revenue'!DD$40)*MgmtFeePct</f>
        <v/>
      </c>
      <c r="DE17" s="50">
        <f>-('MF Revenue'!DE$114+'Retail Revenue'!DE$40)*MgmtFeePct</f>
        <v/>
      </c>
      <c r="DF17" s="50">
        <f>-('MF Revenue'!DF$114+'Retail Revenue'!DF$40)*MgmtFeePct</f>
        <v/>
      </c>
      <c r="DG17" s="50">
        <f>-('MF Revenue'!DG$114+'Retail Revenue'!DG$40)*MgmtFeePct</f>
        <v/>
      </c>
      <c r="DH17" s="50">
        <f>-('MF Revenue'!DH$114+'Retail Revenue'!DH$40)*MgmtFeePct</f>
        <v/>
      </c>
      <c r="DI17" s="50">
        <f>-('MF Revenue'!DI$114+'Retail Revenue'!DI$40)*MgmtFeePct</f>
        <v/>
      </c>
      <c r="DJ17" s="50">
        <f>-('MF Revenue'!DJ$114+'Retail Revenue'!DJ$40)*MgmtFeePct</f>
        <v/>
      </c>
      <c r="DK17" s="50">
        <f>-('MF Revenue'!DK$114+'Retail Revenue'!DK$40)*MgmtFeePct</f>
        <v/>
      </c>
      <c r="DL17" s="50">
        <f>-('MF Revenue'!DL$114+'Retail Revenue'!DL$40)*MgmtFeePct</f>
        <v/>
      </c>
      <c r="DM17" s="50">
        <f>-('MF Revenue'!DM$114+'Retail Revenue'!DM$40)*MgmtFeePct</f>
        <v/>
      </c>
      <c r="DN17" s="50">
        <f>-('MF Revenue'!DN$114+'Retail Revenue'!DN$40)*MgmtFeePct</f>
        <v/>
      </c>
      <c r="DO17" s="50">
        <f>-('MF Revenue'!DO$114+'Retail Revenue'!DO$40)*MgmtFeePct</f>
        <v/>
      </c>
      <c r="DP17" s="50">
        <f>-('MF Revenue'!DP$114+'Retail Revenue'!DP$40)*MgmtFeePct</f>
        <v/>
      </c>
      <c r="DQ17" s="50">
        <f>-('MF Revenue'!DQ$114+'Retail Revenue'!DQ$40)*MgmtFeePct</f>
        <v/>
      </c>
      <c r="DR17" s="50">
        <f>-('MF Revenue'!DR$114+'Retail Revenue'!DR$40)*MgmtFeePct</f>
        <v/>
      </c>
      <c r="DS17" s="50">
        <f>-('MF Revenue'!DS$114+'Retail Revenue'!DS$40)*MgmtFeePct</f>
        <v/>
      </c>
      <c r="DT17" s="50">
        <f>-('MF Revenue'!DT$114+'Retail Revenue'!DT$40)*MgmtFeePct</f>
        <v/>
      </c>
    </row>
    <row r="18">
      <c r="A18" s="10" t="inlineStr">
        <is>
          <t>Replacement reserves ($/mo, neg)</t>
        </is>
      </c>
      <c r="E18" s="52">
        <f>-ReplReservePU*MF_UnitCount/12*Assumptions!E$74</f>
        <v/>
      </c>
      <c r="F18" s="52">
        <f>-ReplReservePU*MF_UnitCount/12*Assumptions!F$74</f>
        <v/>
      </c>
      <c r="G18" s="52">
        <f>-ReplReservePU*MF_UnitCount/12*Assumptions!G$74</f>
        <v/>
      </c>
      <c r="H18" s="52">
        <f>-ReplReservePU*MF_UnitCount/12*Assumptions!H$74</f>
        <v/>
      </c>
      <c r="I18" s="52">
        <f>-ReplReservePU*MF_UnitCount/12*Assumptions!I$74</f>
        <v/>
      </c>
      <c r="J18" s="52">
        <f>-ReplReservePU*MF_UnitCount/12*Assumptions!J$74</f>
        <v/>
      </c>
      <c r="K18" s="52">
        <f>-ReplReservePU*MF_UnitCount/12*Assumptions!K$74</f>
        <v/>
      </c>
      <c r="L18" s="52">
        <f>-ReplReservePU*MF_UnitCount/12*Assumptions!L$74</f>
        <v/>
      </c>
      <c r="M18" s="52">
        <f>-ReplReservePU*MF_UnitCount/12*Assumptions!M$74</f>
        <v/>
      </c>
      <c r="N18" s="52">
        <f>-ReplReservePU*MF_UnitCount/12*Assumptions!N$74</f>
        <v/>
      </c>
      <c r="O18" s="52">
        <f>-ReplReservePU*MF_UnitCount/12*Assumptions!O$74</f>
        <v/>
      </c>
      <c r="P18" s="52">
        <f>-ReplReservePU*MF_UnitCount/12*Assumptions!P$74</f>
        <v/>
      </c>
      <c r="Q18" s="52">
        <f>-ReplReservePU*MF_UnitCount/12*Assumptions!Q$74</f>
        <v/>
      </c>
      <c r="R18" s="52">
        <f>-ReplReservePU*MF_UnitCount/12*Assumptions!R$74</f>
        <v/>
      </c>
      <c r="S18" s="52">
        <f>-ReplReservePU*MF_UnitCount/12*Assumptions!S$74</f>
        <v/>
      </c>
      <c r="T18" s="52">
        <f>-ReplReservePU*MF_UnitCount/12*Assumptions!T$74</f>
        <v/>
      </c>
      <c r="U18" s="52">
        <f>-ReplReservePU*MF_UnitCount/12*Assumptions!U$74</f>
        <v/>
      </c>
      <c r="V18" s="52">
        <f>-ReplReservePU*MF_UnitCount/12*Assumptions!V$74</f>
        <v/>
      </c>
      <c r="W18" s="52">
        <f>-ReplReservePU*MF_UnitCount/12*Assumptions!W$74</f>
        <v/>
      </c>
      <c r="X18" s="52">
        <f>-ReplReservePU*MF_UnitCount/12*Assumptions!X$74</f>
        <v/>
      </c>
      <c r="Y18" s="52">
        <f>-ReplReservePU*MF_UnitCount/12*Assumptions!Y$74</f>
        <v/>
      </c>
      <c r="Z18" s="52">
        <f>-ReplReservePU*MF_UnitCount/12*Assumptions!Z$74</f>
        <v/>
      </c>
      <c r="AA18" s="52">
        <f>-ReplReservePU*MF_UnitCount/12*Assumptions!AA$74</f>
        <v/>
      </c>
      <c r="AB18" s="52">
        <f>-ReplReservePU*MF_UnitCount/12*Assumptions!AB$74</f>
        <v/>
      </c>
      <c r="AC18" s="52">
        <f>-ReplReservePU*MF_UnitCount/12*Assumptions!AC$74</f>
        <v/>
      </c>
      <c r="AD18" s="52">
        <f>-ReplReservePU*MF_UnitCount/12*Assumptions!AD$74</f>
        <v/>
      </c>
      <c r="AE18" s="52">
        <f>-ReplReservePU*MF_UnitCount/12*Assumptions!AE$74</f>
        <v/>
      </c>
      <c r="AF18" s="52">
        <f>-ReplReservePU*MF_UnitCount/12*Assumptions!AF$74</f>
        <v/>
      </c>
      <c r="AG18" s="52">
        <f>-ReplReservePU*MF_UnitCount/12*Assumptions!AG$74</f>
        <v/>
      </c>
      <c r="AH18" s="52">
        <f>-ReplReservePU*MF_UnitCount/12*Assumptions!AH$74</f>
        <v/>
      </c>
      <c r="AI18" s="52">
        <f>-ReplReservePU*MF_UnitCount/12*Assumptions!AI$74</f>
        <v/>
      </c>
      <c r="AJ18" s="52">
        <f>-ReplReservePU*MF_UnitCount/12*Assumptions!AJ$74</f>
        <v/>
      </c>
      <c r="AK18" s="52">
        <f>-ReplReservePU*MF_UnitCount/12*Assumptions!AK$74</f>
        <v/>
      </c>
      <c r="AL18" s="52">
        <f>-ReplReservePU*MF_UnitCount/12*Assumptions!AL$74</f>
        <v/>
      </c>
      <c r="AM18" s="52">
        <f>-ReplReservePU*MF_UnitCount/12*Assumptions!AM$74</f>
        <v/>
      </c>
      <c r="AN18" s="52">
        <f>-ReplReservePU*MF_UnitCount/12*Assumptions!AN$74</f>
        <v/>
      </c>
      <c r="AO18" s="52">
        <f>-ReplReservePU*MF_UnitCount/12*Assumptions!AO$74</f>
        <v/>
      </c>
      <c r="AP18" s="52">
        <f>-ReplReservePU*MF_UnitCount/12*Assumptions!AP$74</f>
        <v/>
      </c>
      <c r="AQ18" s="52">
        <f>-ReplReservePU*MF_UnitCount/12*Assumptions!AQ$74</f>
        <v/>
      </c>
      <c r="AR18" s="52">
        <f>-ReplReservePU*MF_UnitCount/12*Assumptions!AR$74</f>
        <v/>
      </c>
      <c r="AS18" s="52">
        <f>-ReplReservePU*MF_UnitCount/12*Assumptions!AS$74</f>
        <v/>
      </c>
      <c r="AT18" s="52">
        <f>-ReplReservePU*MF_UnitCount/12*Assumptions!AT$74</f>
        <v/>
      </c>
      <c r="AU18" s="52">
        <f>-ReplReservePU*MF_UnitCount/12*Assumptions!AU$74</f>
        <v/>
      </c>
      <c r="AV18" s="52">
        <f>-ReplReservePU*MF_UnitCount/12*Assumptions!AV$74</f>
        <v/>
      </c>
      <c r="AW18" s="52">
        <f>-ReplReservePU*MF_UnitCount/12*Assumptions!AW$74</f>
        <v/>
      </c>
      <c r="AX18" s="52">
        <f>-ReplReservePU*MF_UnitCount/12*Assumptions!AX$74</f>
        <v/>
      </c>
      <c r="AY18" s="52">
        <f>-ReplReservePU*MF_UnitCount/12*Assumptions!AY$74</f>
        <v/>
      </c>
      <c r="AZ18" s="52">
        <f>-ReplReservePU*MF_UnitCount/12*Assumptions!AZ$74</f>
        <v/>
      </c>
      <c r="BA18" s="52">
        <f>-ReplReservePU*MF_UnitCount/12*Assumptions!BA$74</f>
        <v/>
      </c>
      <c r="BB18" s="52">
        <f>-ReplReservePU*MF_UnitCount/12*Assumptions!BB$74</f>
        <v/>
      </c>
      <c r="BC18" s="52">
        <f>-ReplReservePU*MF_UnitCount/12*Assumptions!BC$74</f>
        <v/>
      </c>
      <c r="BD18" s="52">
        <f>-ReplReservePU*MF_UnitCount/12*Assumptions!BD$74</f>
        <v/>
      </c>
      <c r="BE18" s="52">
        <f>-ReplReservePU*MF_UnitCount/12*Assumptions!BE$74</f>
        <v/>
      </c>
      <c r="BF18" s="52">
        <f>-ReplReservePU*MF_UnitCount/12*Assumptions!BF$74</f>
        <v/>
      </c>
      <c r="BG18" s="52">
        <f>-ReplReservePU*MF_UnitCount/12*Assumptions!BG$74</f>
        <v/>
      </c>
      <c r="BH18" s="52">
        <f>-ReplReservePU*MF_UnitCount/12*Assumptions!BH$74</f>
        <v/>
      </c>
      <c r="BI18" s="52">
        <f>-ReplReservePU*MF_UnitCount/12*Assumptions!BI$74</f>
        <v/>
      </c>
      <c r="BJ18" s="52">
        <f>-ReplReservePU*MF_UnitCount/12*Assumptions!BJ$74</f>
        <v/>
      </c>
      <c r="BK18" s="52">
        <f>-ReplReservePU*MF_UnitCount/12*Assumptions!BK$74</f>
        <v/>
      </c>
      <c r="BL18" s="52">
        <f>-ReplReservePU*MF_UnitCount/12*Assumptions!BL$74</f>
        <v/>
      </c>
      <c r="BM18" s="52">
        <f>-ReplReservePU*MF_UnitCount/12*Assumptions!BM$74</f>
        <v/>
      </c>
      <c r="BN18" s="52">
        <f>-ReplReservePU*MF_UnitCount/12*Assumptions!BN$74</f>
        <v/>
      </c>
      <c r="BO18" s="52">
        <f>-ReplReservePU*MF_UnitCount/12*Assumptions!BO$74</f>
        <v/>
      </c>
      <c r="BP18" s="52">
        <f>-ReplReservePU*MF_UnitCount/12*Assumptions!BP$74</f>
        <v/>
      </c>
      <c r="BQ18" s="52">
        <f>-ReplReservePU*MF_UnitCount/12*Assumptions!BQ$74</f>
        <v/>
      </c>
      <c r="BR18" s="52">
        <f>-ReplReservePU*MF_UnitCount/12*Assumptions!BR$74</f>
        <v/>
      </c>
      <c r="BS18" s="52">
        <f>-ReplReservePU*MF_UnitCount/12*Assumptions!BS$74</f>
        <v/>
      </c>
      <c r="BT18" s="52">
        <f>-ReplReservePU*MF_UnitCount/12*Assumptions!BT$74</f>
        <v/>
      </c>
      <c r="BU18" s="52">
        <f>-ReplReservePU*MF_UnitCount/12*Assumptions!BU$74</f>
        <v/>
      </c>
      <c r="BV18" s="52">
        <f>-ReplReservePU*MF_UnitCount/12*Assumptions!BV$74</f>
        <v/>
      </c>
      <c r="BW18" s="52">
        <f>-ReplReservePU*MF_UnitCount/12*Assumptions!BW$74</f>
        <v/>
      </c>
      <c r="BX18" s="52">
        <f>-ReplReservePU*MF_UnitCount/12*Assumptions!BX$74</f>
        <v/>
      </c>
      <c r="BY18" s="52">
        <f>-ReplReservePU*MF_UnitCount/12*Assumptions!BY$74</f>
        <v/>
      </c>
      <c r="BZ18" s="52">
        <f>-ReplReservePU*MF_UnitCount/12*Assumptions!BZ$74</f>
        <v/>
      </c>
      <c r="CA18" s="52">
        <f>-ReplReservePU*MF_UnitCount/12*Assumptions!CA$74</f>
        <v/>
      </c>
      <c r="CB18" s="52">
        <f>-ReplReservePU*MF_UnitCount/12*Assumptions!CB$74</f>
        <v/>
      </c>
      <c r="CC18" s="52">
        <f>-ReplReservePU*MF_UnitCount/12*Assumptions!CC$74</f>
        <v/>
      </c>
      <c r="CD18" s="52">
        <f>-ReplReservePU*MF_UnitCount/12*Assumptions!CD$74</f>
        <v/>
      </c>
      <c r="CE18" s="52">
        <f>-ReplReservePU*MF_UnitCount/12*Assumptions!CE$74</f>
        <v/>
      </c>
      <c r="CF18" s="52">
        <f>-ReplReservePU*MF_UnitCount/12*Assumptions!CF$74</f>
        <v/>
      </c>
      <c r="CG18" s="52">
        <f>-ReplReservePU*MF_UnitCount/12*Assumptions!CG$74</f>
        <v/>
      </c>
      <c r="CH18" s="52">
        <f>-ReplReservePU*MF_UnitCount/12*Assumptions!CH$74</f>
        <v/>
      </c>
      <c r="CI18" s="52">
        <f>-ReplReservePU*MF_UnitCount/12*Assumptions!CI$74</f>
        <v/>
      </c>
      <c r="CJ18" s="52">
        <f>-ReplReservePU*MF_UnitCount/12*Assumptions!CJ$74</f>
        <v/>
      </c>
      <c r="CK18" s="52">
        <f>-ReplReservePU*MF_UnitCount/12*Assumptions!CK$74</f>
        <v/>
      </c>
      <c r="CL18" s="52">
        <f>-ReplReservePU*MF_UnitCount/12*Assumptions!CL$74</f>
        <v/>
      </c>
      <c r="CM18" s="52">
        <f>-ReplReservePU*MF_UnitCount/12*Assumptions!CM$74</f>
        <v/>
      </c>
      <c r="CN18" s="52">
        <f>-ReplReservePU*MF_UnitCount/12*Assumptions!CN$74</f>
        <v/>
      </c>
      <c r="CO18" s="52">
        <f>-ReplReservePU*MF_UnitCount/12*Assumptions!CO$74</f>
        <v/>
      </c>
      <c r="CP18" s="52">
        <f>-ReplReservePU*MF_UnitCount/12*Assumptions!CP$74</f>
        <v/>
      </c>
      <c r="CQ18" s="52">
        <f>-ReplReservePU*MF_UnitCount/12*Assumptions!CQ$74</f>
        <v/>
      </c>
      <c r="CR18" s="52">
        <f>-ReplReservePU*MF_UnitCount/12*Assumptions!CR$74</f>
        <v/>
      </c>
      <c r="CS18" s="52">
        <f>-ReplReservePU*MF_UnitCount/12*Assumptions!CS$74</f>
        <v/>
      </c>
      <c r="CT18" s="52">
        <f>-ReplReservePU*MF_UnitCount/12*Assumptions!CT$74</f>
        <v/>
      </c>
      <c r="CU18" s="52">
        <f>-ReplReservePU*MF_UnitCount/12*Assumptions!CU$74</f>
        <v/>
      </c>
      <c r="CV18" s="52">
        <f>-ReplReservePU*MF_UnitCount/12*Assumptions!CV$74</f>
        <v/>
      </c>
      <c r="CW18" s="52">
        <f>-ReplReservePU*MF_UnitCount/12*Assumptions!CW$74</f>
        <v/>
      </c>
      <c r="CX18" s="52">
        <f>-ReplReservePU*MF_UnitCount/12*Assumptions!CX$74</f>
        <v/>
      </c>
      <c r="CY18" s="52">
        <f>-ReplReservePU*MF_UnitCount/12*Assumptions!CY$74</f>
        <v/>
      </c>
      <c r="CZ18" s="52">
        <f>-ReplReservePU*MF_UnitCount/12*Assumptions!CZ$74</f>
        <v/>
      </c>
      <c r="DA18" s="52">
        <f>-ReplReservePU*MF_UnitCount/12*Assumptions!DA$74</f>
        <v/>
      </c>
      <c r="DB18" s="52">
        <f>-ReplReservePU*MF_UnitCount/12*Assumptions!DB$74</f>
        <v/>
      </c>
      <c r="DC18" s="52">
        <f>-ReplReservePU*MF_UnitCount/12*Assumptions!DC$74</f>
        <v/>
      </c>
      <c r="DD18" s="52">
        <f>-ReplReservePU*MF_UnitCount/12*Assumptions!DD$74</f>
        <v/>
      </c>
      <c r="DE18" s="52">
        <f>-ReplReservePU*MF_UnitCount/12*Assumptions!DE$74</f>
        <v/>
      </c>
      <c r="DF18" s="52">
        <f>-ReplReservePU*MF_UnitCount/12*Assumptions!DF$74</f>
        <v/>
      </c>
      <c r="DG18" s="52">
        <f>-ReplReservePU*MF_UnitCount/12*Assumptions!DG$74</f>
        <v/>
      </c>
      <c r="DH18" s="52">
        <f>-ReplReservePU*MF_UnitCount/12*Assumptions!DH$74</f>
        <v/>
      </c>
      <c r="DI18" s="52">
        <f>-ReplReservePU*MF_UnitCount/12*Assumptions!DI$74</f>
        <v/>
      </c>
      <c r="DJ18" s="52">
        <f>-ReplReservePU*MF_UnitCount/12*Assumptions!DJ$74</f>
        <v/>
      </c>
      <c r="DK18" s="52">
        <f>-ReplReservePU*MF_UnitCount/12*Assumptions!DK$74</f>
        <v/>
      </c>
      <c r="DL18" s="52">
        <f>-ReplReservePU*MF_UnitCount/12*Assumptions!DL$74</f>
        <v/>
      </c>
      <c r="DM18" s="52">
        <f>-ReplReservePU*MF_UnitCount/12*Assumptions!DM$74</f>
        <v/>
      </c>
      <c r="DN18" s="52">
        <f>-ReplReservePU*MF_UnitCount/12*Assumptions!DN$74</f>
        <v/>
      </c>
      <c r="DO18" s="52">
        <f>-ReplReservePU*MF_UnitCount/12*Assumptions!DO$74</f>
        <v/>
      </c>
      <c r="DP18" s="52">
        <f>-ReplReservePU*MF_UnitCount/12*Assumptions!DP$74</f>
        <v/>
      </c>
      <c r="DQ18" s="52">
        <f>-ReplReservePU*MF_UnitCount/12*Assumptions!DQ$74</f>
        <v/>
      </c>
      <c r="DR18" s="52">
        <f>-ReplReservePU*MF_UnitCount/12*Assumptions!DR$74</f>
        <v/>
      </c>
      <c r="DS18" s="52">
        <f>-ReplReservePU*MF_UnitCount/12*Assumptions!DS$74</f>
        <v/>
      </c>
      <c r="DT18" s="52">
        <f>-ReplReservePU*MF_UnitCount/12*Assumptions!DT$74</f>
        <v/>
      </c>
    </row>
    <row r="19">
      <c r="A19" s="3" t="inlineStr">
        <is>
          <t>Total OpEx excl. taxes &amp; reserves ($/mo, neg)</t>
        </is>
      </c>
      <c r="E19" s="62">
        <f>E$16+E$17</f>
        <v/>
      </c>
      <c r="F19" s="62">
        <f>F$16+F$17</f>
        <v/>
      </c>
      <c r="G19" s="62">
        <f>G$16+G$17</f>
        <v/>
      </c>
      <c r="H19" s="62">
        <f>H$16+H$17</f>
        <v/>
      </c>
      <c r="I19" s="62">
        <f>I$16+I$17</f>
        <v/>
      </c>
      <c r="J19" s="62">
        <f>J$16+J$17</f>
        <v/>
      </c>
      <c r="K19" s="62">
        <f>K$16+K$17</f>
        <v/>
      </c>
      <c r="L19" s="62">
        <f>L$16+L$17</f>
        <v/>
      </c>
      <c r="M19" s="62">
        <f>M$16+M$17</f>
        <v/>
      </c>
      <c r="N19" s="62">
        <f>N$16+N$17</f>
        <v/>
      </c>
      <c r="O19" s="62">
        <f>O$16+O$17</f>
        <v/>
      </c>
      <c r="P19" s="62">
        <f>P$16+P$17</f>
        <v/>
      </c>
      <c r="Q19" s="62">
        <f>Q$16+Q$17</f>
        <v/>
      </c>
      <c r="R19" s="62">
        <f>R$16+R$17</f>
        <v/>
      </c>
      <c r="S19" s="62">
        <f>S$16+S$17</f>
        <v/>
      </c>
      <c r="T19" s="62">
        <f>T$16+T$17</f>
        <v/>
      </c>
      <c r="U19" s="62">
        <f>U$16+U$17</f>
        <v/>
      </c>
      <c r="V19" s="62">
        <f>V$16+V$17</f>
        <v/>
      </c>
      <c r="W19" s="62">
        <f>W$16+W$17</f>
        <v/>
      </c>
      <c r="X19" s="62">
        <f>X$16+X$17</f>
        <v/>
      </c>
      <c r="Y19" s="62">
        <f>Y$16+Y$17</f>
        <v/>
      </c>
      <c r="Z19" s="62">
        <f>Z$16+Z$17</f>
        <v/>
      </c>
      <c r="AA19" s="62">
        <f>AA$16+AA$17</f>
        <v/>
      </c>
      <c r="AB19" s="62">
        <f>AB$16+AB$17</f>
        <v/>
      </c>
      <c r="AC19" s="62">
        <f>AC$16+AC$17</f>
        <v/>
      </c>
      <c r="AD19" s="62">
        <f>AD$16+AD$17</f>
        <v/>
      </c>
      <c r="AE19" s="62">
        <f>AE$16+AE$17</f>
        <v/>
      </c>
      <c r="AF19" s="62">
        <f>AF$16+AF$17</f>
        <v/>
      </c>
      <c r="AG19" s="62">
        <f>AG$16+AG$17</f>
        <v/>
      </c>
      <c r="AH19" s="62">
        <f>AH$16+AH$17</f>
        <v/>
      </c>
      <c r="AI19" s="62">
        <f>AI$16+AI$17</f>
        <v/>
      </c>
      <c r="AJ19" s="62">
        <f>AJ$16+AJ$17</f>
        <v/>
      </c>
      <c r="AK19" s="62">
        <f>AK$16+AK$17</f>
        <v/>
      </c>
      <c r="AL19" s="62">
        <f>AL$16+AL$17</f>
        <v/>
      </c>
      <c r="AM19" s="62">
        <f>AM$16+AM$17</f>
        <v/>
      </c>
      <c r="AN19" s="62">
        <f>AN$16+AN$17</f>
        <v/>
      </c>
      <c r="AO19" s="62">
        <f>AO$16+AO$17</f>
        <v/>
      </c>
      <c r="AP19" s="62">
        <f>AP$16+AP$17</f>
        <v/>
      </c>
      <c r="AQ19" s="62">
        <f>AQ$16+AQ$17</f>
        <v/>
      </c>
      <c r="AR19" s="62">
        <f>AR$16+AR$17</f>
        <v/>
      </c>
      <c r="AS19" s="62">
        <f>AS$16+AS$17</f>
        <v/>
      </c>
      <c r="AT19" s="62">
        <f>AT$16+AT$17</f>
        <v/>
      </c>
      <c r="AU19" s="62">
        <f>AU$16+AU$17</f>
        <v/>
      </c>
      <c r="AV19" s="62">
        <f>AV$16+AV$17</f>
        <v/>
      </c>
      <c r="AW19" s="62">
        <f>AW$16+AW$17</f>
        <v/>
      </c>
      <c r="AX19" s="62">
        <f>AX$16+AX$17</f>
        <v/>
      </c>
      <c r="AY19" s="62">
        <f>AY$16+AY$17</f>
        <v/>
      </c>
      <c r="AZ19" s="62">
        <f>AZ$16+AZ$17</f>
        <v/>
      </c>
      <c r="BA19" s="62">
        <f>BA$16+BA$17</f>
        <v/>
      </c>
      <c r="BB19" s="62">
        <f>BB$16+BB$17</f>
        <v/>
      </c>
      <c r="BC19" s="62">
        <f>BC$16+BC$17</f>
        <v/>
      </c>
      <c r="BD19" s="62">
        <f>BD$16+BD$17</f>
        <v/>
      </c>
      <c r="BE19" s="62">
        <f>BE$16+BE$17</f>
        <v/>
      </c>
      <c r="BF19" s="62">
        <f>BF$16+BF$17</f>
        <v/>
      </c>
      <c r="BG19" s="62">
        <f>BG$16+BG$17</f>
        <v/>
      </c>
      <c r="BH19" s="62">
        <f>BH$16+BH$17</f>
        <v/>
      </c>
      <c r="BI19" s="62">
        <f>BI$16+BI$17</f>
        <v/>
      </c>
      <c r="BJ19" s="62">
        <f>BJ$16+BJ$17</f>
        <v/>
      </c>
      <c r="BK19" s="62">
        <f>BK$16+BK$17</f>
        <v/>
      </c>
      <c r="BL19" s="62">
        <f>BL$16+BL$17</f>
        <v/>
      </c>
      <c r="BM19" s="62">
        <f>BM$16+BM$17</f>
        <v/>
      </c>
      <c r="BN19" s="62">
        <f>BN$16+BN$17</f>
        <v/>
      </c>
      <c r="BO19" s="62">
        <f>BO$16+BO$17</f>
        <v/>
      </c>
      <c r="BP19" s="62">
        <f>BP$16+BP$17</f>
        <v/>
      </c>
      <c r="BQ19" s="62">
        <f>BQ$16+BQ$17</f>
        <v/>
      </c>
      <c r="BR19" s="62">
        <f>BR$16+BR$17</f>
        <v/>
      </c>
      <c r="BS19" s="62">
        <f>BS$16+BS$17</f>
        <v/>
      </c>
      <c r="BT19" s="62">
        <f>BT$16+BT$17</f>
        <v/>
      </c>
      <c r="BU19" s="62">
        <f>BU$16+BU$17</f>
        <v/>
      </c>
      <c r="BV19" s="62">
        <f>BV$16+BV$17</f>
        <v/>
      </c>
      <c r="BW19" s="62">
        <f>BW$16+BW$17</f>
        <v/>
      </c>
      <c r="BX19" s="62">
        <f>BX$16+BX$17</f>
        <v/>
      </c>
      <c r="BY19" s="62">
        <f>BY$16+BY$17</f>
        <v/>
      </c>
      <c r="BZ19" s="62">
        <f>BZ$16+BZ$17</f>
        <v/>
      </c>
      <c r="CA19" s="62">
        <f>CA$16+CA$17</f>
        <v/>
      </c>
      <c r="CB19" s="62">
        <f>CB$16+CB$17</f>
        <v/>
      </c>
      <c r="CC19" s="62">
        <f>CC$16+CC$17</f>
        <v/>
      </c>
      <c r="CD19" s="62">
        <f>CD$16+CD$17</f>
        <v/>
      </c>
      <c r="CE19" s="62">
        <f>CE$16+CE$17</f>
        <v/>
      </c>
      <c r="CF19" s="62">
        <f>CF$16+CF$17</f>
        <v/>
      </c>
      <c r="CG19" s="62">
        <f>CG$16+CG$17</f>
        <v/>
      </c>
      <c r="CH19" s="62">
        <f>CH$16+CH$17</f>
        <v/>
      </c>
      <c r="CI19" s="62">
        <f>CI$16+CI$17</f>
        <v/>
      </c>
      <c r="CJ19" s="62">
        <f>CJ$16+CJ$17</f>
        <v/>
      </c>
      <c r="CK19" s="62">
        <f>CK$16+CK$17</f>
        <v/>
      </c>
      <c r="CL19" s="62">
        <f>CL$16+CL$17</f>
        <v/>
      </c>
      <c r="CM19" s="62">
        <f>CM$16+CM$17</f>
        <v/>
      </c>
      <c r="CN19" s="62">
        <f>CN$16+CN$17</f>
        <v/>
      </c>
      <c r="CO19" s="62">
        <f>CO$16+CO$17</f>
        <v/>
      </c>
      <c r="CP19" s="62">
        <f>CP$16+CP$17</f>
        <v/>
      </c>
      <c r="CQ19" s="62">
        <f>CQ$16+CQ$17</f>
        <v/>
      </c>
      <c r="CR19" s="62">
        <f>CR$16+CR$17</f>
        <v/>
      </c>
      <c r="CS19" s="62">
        <f>CS$16+CS$17</f>
        <v/>
      </c>
      <c r="CT19" s="62">
        <f>CT$16+CT$17</f>
        <v/>
      </c>
      <c r="CU19" s="62">
        <f>CU$16+CU$17</f>
        <v/>
      </c>
      <c r="CV19" s="62">
        <f>CV$16+CV$17</f>
        <v/>
      </c>
      <c r="CW19" s="62">
        <f>CW$16+CW$17</f>
        <v/>
      </c>
      <c r="CX19" s="62">
        <f>CX$16+CX$17</f>
        <v/>
      </c>
      <c r="CY19" s="62">
        <f>CY$16+CY$17</f>
        <v/>
      </c>
      <c r="CZ19" s="62">
        <f>CZ$16+CZ$17</f>
        <v/>
      </c>
      <c r="DA19" s="62">
        <f>DA$16+DA$17</f>
        <v/>
      </c>
      <c r="DB19" s="62">
        <f>DB$16+DB$17</f>
        <v/>
      </c>
      <c r="DC19" s="62">
        <f>DC$16+DC$17</f>
        <v/>
      </c>
      <c r="DD19" s="62">
        <f>DD$16+DD$17</f>
        <v/>
      </c>
      <c r="DE19" s="62">
        <f>DE$16+DE$17</f>
        <v/>
      </c>
      <c r="DF19" s="62">
        <f>DF$16+DF$17</f>
        <v/>
      </c>
      <c r="DG19" s="62">
        <f>DG$16+DG$17</f>
        <v/>
      </c>
      <c r="DH19" s="62">
        <f>DH$16+DH$17</f>
        <v/>
      </c>
      <c r="DI19" s="62">
        <f>DI$16+DI$17</f>
        <v/>
      </c>
      <c r="DJ19" s="62">
        <f>DJ$16+DJ$17</f>
        <v/>
      </c>
      <c r="DK19" s="62">
        <f>DK$16+DK$17</f>
        <v/>
      </c>
      <c r="DL19" s="62">
        <f>DL$16+DL$17</f>
        <v/>
      </c>
      <c r="DM19" s="62">
        <f>DM$16+DM$17</f>
        <v/>
      </c>
      <c r="DN19" s="62">
        <f>DN$16+DN$17</f>
        <v/>
      </c>
      <c r="DO19" s="62">
        <f>DO$16+DO$17</f>
        <v/>
      </c>
      <c r="DP19" s="62">
        <f>DP$16+DP$17</f>
        <v/>
      </c>
      <c r="DQ19" s="62">
        <f>DQ$16+DQ$17</f>
        <v/>
      </c>
      <c r="DR19" s="62">
        <f>DR$16+DR$17</f>
        <v/>
      </c>
      <c r="DS19" s="62">
        <f>DS$16+DS$17</f>
        <v/>
      </c>
      <c r="DT19" s="62">
        <f>DT$16+DT$17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T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REAL ESTATE TAXES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PILOT / Abatement schedule (annual $ by hold year; used when Tax Method = PILOT)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3" t="inlineStr">
        <is>
          <t>Hold year</t>
        </is>
      </c>
      <c r="E6" s="31" t="n">
        <v>1</v>
      </c>
      <c r="F6" s="31" t="n">
        <v>2</v>
      </c>
      <c r="G6" s="31" t="n">
        <v>3</v>
      </c>
      <c r="H6" s="31" t="n">
        <v>4</v>
      </c>
      <c r="I6" s="31" t="n">
        <v>5</v>
      </c>
      <c r="J6" s="31" t="n">
        <v>6</v>
      </c>
      <c r="K6" s="31" t="n">
        <v>7</v>
      </c>
      <c r="L6" s="31" t="n">
        <v>8</v>
      </c>
      <c r="M6" s="31" t="n">
        <v>9</v>
      </c>
      <c r="N6" s="31" t="n">
        <v>10</v>
      </c>
      <c r="O6" s="31" t="n">
        <v>11</v>
      </c>
    </row>
    <row r="7">
      <c r="A7" s="10" t="inlineStr">
        <is>
          <t>PILOT annual tax ($)</t>
        </is>
      </c>
      <c r="E7" s="55" t="n">
        <v>200000</v>
      </c>
      <c r="F7" s="55" t="n">
        <v>250000</v>
      </c>
      <c r="G7" s="55" t="n">
        <v>300000</v>
      </c>
      <c r="H7" s="55" t="n">
        <v>350000</v>
      </c>
      <c r="I7" s="55" t="n">
        <v>400000</v>
      </c>
      <c r="J7" s="55" t="n">
        <v>450000</v>
      </c>
      <c r="K7" s="55" t="n">
        <v>500000</v>
      </c>
      <c r="L7" s="55" t="n">
        <v>550000</v>
      </c>
      <c r="M7" s="55" t="n">
        <v>600000</v>
      </c>
      <c r="N7" s="55" t="n">
        <v>650000</v>
      </c>
      <c r="O7" s="55" t="n">
        <v>700000</v>
      </c>
    </row>
    <row r="9">
      <c r="A9" s="8" t="inlineStr">
        <is>
          <t>MONTHLY TAX BUILD (method per toggle #13)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3" t="inlineStr">
        <is>
          <t>Month index</t>
        </is>
      </c>
      <c r="E10" s="6">
        <f>Assumptions!E$72</f>
        <v/>
      </c>
      <c r="F10" s="6">
        <f>Assumptions!F$72</f>
        <v/>
      </c>
      <c r="G10" s="6">
        <f>Assumptions!G$72</f>
        <v/>
      </c>
      <c r="H10" s="6">
        <f>Assumptions!H$72</f>
        <v/>
      </c>
      <c r="I10" s="6">
        <f>Assumptions!I$72</f>
        <v/>
      </c>
      <c r="J10" s="6">
        <f>Assumptions!J$72</f>
        <v/>
      </c>
      <c r="K10" s="6">
        <f>Assumptions!K$72</f>
        <v/>
      </c>
      <c r="L10" s="6">
        <f>Assumptions!L$72</f>
        <v/>
      </c>
      <c r="M10" s="6">
        <f>Assumptions!M$72</f>
        <v/>
      </c>
      <c r="N10" s="6">
        <f>Assumptions!N$72</f>
        <v/>
      </c>
      <c r="O10" s="6">
        <f>Assumptions!O$72</f>
        <v/>
      </c>
      <c r="P10" s="6">
        <f>Assumptions!P$72</f>
        <v/>
      </c>
      <c r="Q10" s="6">
        <f>Assumptions!Q$72</f>
        <v/>
      </c>
      <c r="R10" s="6">
        <f>Assumptions!R$72</f>
        <v/>
      </c>
      <c r="S10" s="6">
        <f>Assumptions!S$72</f>
        <v/>
      </c>
      <c r="T10" s="6">
        <f>Assumptions!T$72</f>
        <v/>
      </c>
      <c r="U10" s="6">
        <f>Assumptions!U$72</f>
        <v/>
      </c>
      <c r="V10" s="6">
        <f>Assumptions!V$72</f>
        <v/>
      </c>
      <c r="W10" s="6">
        <f>Assumptions!W$72</f>
        <v/>
      </c>
      <c r="X10" s="6">
        <f>Assumptions!X$72</f>
        <v/>
      </c>
      <c r="Y10" s="6">
        <f>Assumptions!Y$72</f>
        <v/>
      </c>
      <c r="Z10" s="6">
        <f>Assumptions!Z$72</f>
        <v/>
      </c>
      <c r="AA10" s="6">
        <f>Assumptions!AA$72</f>
        <v/>
      </c>
      <c r="AB10" s="6">
        <f>Assumptions!AB$72</f>
        <v/>
      </c>
      <c r="AC10" s="6">
        <f>Assumptions!AC$72</f>
        <v/>
      </c>
      <c r="AD10" s="6">
        <f>Assumptions!AD$72</f>
        <v/>
      </c>
      <c r="AE10" s="6">
        <f>Assumptions!AE$72</f>
        <v/>
      </c>
      <c r="AF10" s="6">
        <f>Assumptions!AF$72</f>
        <v/>
      </c>
      <c r="AG10" s="6">
        <f>Assumptions!AG$72</f>
        <v/>
      </c>
      <c r="AH10" s="6">
        <f>Assumptions!AH$72</f>
        <v/>
      </c>
      <c r="AI10" s="6">
        <f>Assumptions!AI$72</f>
        <v/>
      </c>
      <c r="AJ10" s="6">
        <f>Assumptions!AJ$72</f>
        <v/>
      </c>
      <c r="AK10" s="6">
        <f>Assumptions!AK$72</f>
        <v/>
      </c>
      <c r="AL10" s="6">
        <f>Assumptions!AL$72</f>
        <v/>
      </c>
      <c r="AM10" s="6">
        <f>Assumptions!AM$72</f>
        <v/>
      </c>
      <c r="AN10" s="6">
        <f>Assumptions!AN$72</f>
        <v/>
      </c>
      <c r="AO10" s="6">
        <f>Assumptions!AO$72</f>
        <v/>
      </c>
      <c r="AP10" s="6">
        <f>Assumptions!AP$72</f>
        <v/>
      </c>
      <c r="AQ10" s="6">
        <f>Assumptions!AQ$72</f>
        <v/>
      </c>
      <c r="AR10" s="6">
        <f>Assumptions!AR$72</f>
        <v/>
      </c>
      <c r="AS10" s="6">
        <f>Assumptions!AS$72</f>
        <v/>
      </c>
      <c r="AT10" s="6">
        <f>Assumptions!AT$72</f>
        <v/>
      </c>
      <c r="AU10" s="6">
        <f>Assumptions!AU$72</f>
        <v/>
      </c>
      <c r="AV10" s="6">
        <f>Assumptions!AV$72</f>
        <v/>
      </c>
      <c r="AW10" s="6">
        <f>Assumptions!AW$72</f>
        <v/>
      </c>
      <c r="AX10" s="6">
        <f>Assumptions!AX$72</f>
        <v/>
      </c>
      <c r="AY10" s="6">
        <f>Assumptions!AY$72</f>
        <v/>
      </c>
      <c r="AZ10" s="6">
        <f>Assumptions!AZ$72</f>
        <v/>
      </c>
      <c r="BA10" s="6">
        <f>Assumptions!BA$72</f>
        <v/>
      </c>
      <c r="BB10" s="6">
        <f>Assumptions!BB$72</f>
        <v/>
      </c>
      <c r="BC10" s="6">
        <f>Assumptions!BC$72</f>
        <v/>
      </c>
      <c r="BD10" s="6">
        <f>Assumptions!BD$72</f>
        <v/>
      </c>
      <c r="BE10" s="6">
        <f>Assumptions!BE$72</f>
        <v/>
      </c>
      <c r="BF10" s="6">
        <f>Assumptions!BF$72</f>
        <v/>
      </c>
      <c r="BG10" s="6">
        <f>Assumptions!BG$72</f>
        <v/>
      </c>
      <c r="BH10" s="6">
        <f>Assumptions!BH$72</f>
        <v/>
      </c>
      <c r="BI10" s="6">
        <f>Assumptions!BI$72</f>
        <v/>
      </c>
      <c r="BJ10" s="6">
        <f>Assumptions!BJ$72</f>
        <v/>
      </c>
      <c r="BK10" s="6">
        <f>Assumptions!BK$72</f>
        <v/>
      </c>
      <c r="BL10" s="6">
        <f>Assumptions!BL$72</f>
        <v/>
      </c>
      <c r="BM10" s="6">
        <f>Assumptions!BM$72</f>
        <v/>
      </c>
      <c r="BN10" s="6">
        <f>Assumptions!BN$72</f>
        <v/>
      </c>
      <c r="BO10" s="6">
        <f>Assumptions!BO$72</f>
        <v/>
      </c>
      <c r="BP10" s="6">
        <f>Assumptions!BP$72</f>
        <v/>
      </c>
      <c r="BQ10" s="6">
        <f>Assumptions!BQ$72</f>
        <v/>
      </c>
      <c r="BR10" s="6">
        <f>Assumptions!BR$72</f>
        <v/>
      </c>
      <c r="BS10" s="6">
        <f>Assumptions!BS$72</f>
        <v/>
      </c>
      <c r="BT10" s="6">
        <f>Assumptions!BT$72</f>
        <v/>
      </c>
      <c r="BU10" s="6">
        <f>Assumptions!BU$72</f>
        <v/>
      </c>
      <c r="BV10" s="6">
        <f>Assumptions!BV$72</f>
        <v/>
      </c>
      <c r="BW10" s="6">
        <f>Assumptions!BW$72</f>
        <v/>
      </c>
      <c r="BX10" s="6">
        <f>Assumptions!BX$72</f>
        <v/>
      </c>
      <c r="BY10" s="6">
        <f>Assumptions!BY$72</f>
        <v/>
      </c>
      <c r="BZ10" s="6">
        <f>Assumptions!BZ$72</f>
        <v/>
      </c>
      <c r="CA10" s="6">
        <f>Assumptions!CA$72</f>
        <v/>
      </c>
      <c r="CB10" s="6">
        <f>Assumptions!CB$72</f>
        <v/>
      </c>
      <c r="CC10" s="6">
        <f>Assumptions!CC$72</f>
        <v/>
      </c>
      <c r="CD10" s="6">
        <f>Assumptions!CD$72</f>
        <v/>
      </c>
      <c r="CE10" s="6">
        <f>Assumptions!CE$72</f>
        <v/>
      </c>
      <c r="CF10" s="6">
        <f>Assumptions!CF$72</f>
        <v/>
      </c>
      <c r="CG10" s="6">
        <f>Assumptions!CG$72</f>
        <v/>
      </c>
      <c r="CH10" s="6">
        <f>Assumptions!CH$72</f>
        <v/>
      </c>
      <c r="CI10" s="6">
        <f>Assumptions!CI$72</f>
        <v/>
      </c>
      <c r="CJ10" s="6">
        <f>Assumptions!CJ$72</f>
        <v/>
      </c>
      <c r="CK10" s="6">
        <f>Assumptions!CK$72</f>
        <v/>
      </c>
      <c r="CL10" s="6">
        <f>Assumptions!CL$72</f>
        <v/>
      </c>
      <c r="CM10" s="6">
        <f>Assumptions!CM$72</f>
        <v/>
      </c>
      <c r="CN10" s="6">
        <f>Assumptions!CN$72</f>
        <v/>
      </c>
      <c r="CO10" s="6">
        <f>Assumptions!CO$72</f>
        <v/>
      </c>
      <c r="CP10" s="6">
        <f>Assumptions!CP$72</f>
        <v/>
      </c>
      <c r="CQ10" s="6">
        <f>Assumptions!CQ$72</f>
        <v/>
      </c>
      <c r="CR10" s="6">
        <f>Assumptions!CR$72</f>
        <v/>
      </c>
      <c r="CS10" s="6">
        <f>Assumptions!CS$72</f>
        <v/>
      </c>
      <c r="CT10" s="6">
        <f>Assumptions!CT$72</f>
        <v/>
      </c>
      <c r="CU10" s="6">
        <f>Assumptions!CU$72</f>
        <v/>
      </c>
      <c r="CV10" s="6">
        <f>Assumptions!CV$72</f>
        <v/>
      </c>
      <c r="CW10" s="6">
        <f>Assumptions!CW$72</f>
        <v/>
      </c>
      <c r="CX10" s="6">
        <f>Assumptions!CX$72</f>
        <v/>
      </c>
      <c r="CY10" s="6">
        <f>Assumptions!CY$72</f>
        <v/>
      </c>
      <c r="CZ10" s="6">
        <f>Assumptions!CZ$72</f>
        <v/>
      </c>
      <c r="DA10" s="6">
        <f>Assumptions!DA$72</f>
        <v/>
      </c>
      <c r="DB10" s="6">
        <f>Assumptions!DB$72</f>
        <v/>
      </c>
      <c r="DC10" s="6">
        <f>Assumptions!DC$72</f>
        <v/>
      </c>
      <c r="DD10" s="6">
        <f>Assumptions!DD$72</f>
        <v/>
      </c>
      <c r="DE10" s="6">
        <f>Assumptions!DE$72</f>
        <v/>
      </c>
      <c r="DF10" s="6">
        <f>Assumptions!DF$72</f>
        <v/>
      </c>
      <c r="DG10" s="6">
        <f>Assumptions!DG$72</f>
        <v/>
      </c>
      <c r="DH10" s="6">
        <f>Assumptions!DH$72</f>
        <v/>
      </c>
      <c r="DI10" s="6">
        <f>Assumptions!DI$72</f>
        <v/>
      </c>
      <c r="DJ10" s="6">
        <f>Assumptions!DJ$72</f>
        <v/>
      </c>
      <c r="DK10" s="6">
        <f>Assumptions!DK$72</f>
        <v/>
      </c>
      <c r="DL10" s="6">
        <f>Assumptions!DL$72</f>
        <v/>
      </c>
      <c r="DM10" s="6">
        <f>Assumptions!DM$72</f>
        <v/>
      </c>
      <c r="DN10" s="6">
        <f>Assumptions!DN$72</f>
        <v/>
      </c>
      <c r="DO10" s="6">
        <f>Assumptions!DO$72</f>
        <v/>
      </c>
      <c r="DP10" s="6">
        <f>Assumptions!DP$72</f>
        <v/>
      </c>
      <c r="DQ10" s="6">
        <f>Assumptions!DQ$72</f>
        <v/>
      </c>
      <c r="DR10" s="6">
        <f>Assumptions!DR$72</f>
        <v/>
      </c>
      <c r="DS10" s="6">
        <f>Assumptions!DS$72</f>
        <v/>
      </c>
      <c r="DT10" s="6">
        <f>Assumptions!DT$72</f>
        <v/>
      </c>
    </row>
    <row r="11">
      <c r="A11" s="10" t="inlineStr">
        <is>
          <t>Annual tax (method-driven $)</t>
        </is>
      </c>
      <c r="E11" s="52">
        <f>IF(TaxMethod="Flat Growth",BaseAnnualTax*(1+TaxFlatGrowth)^(MAX(Assumptions!E$75-1,0)),IF(TaxMethod="PILOT / Abatement",INDEX(PILOTSchedule,1,MIN(MAX(Assumptions!E$75,1),11)),PurchasePrice*AssessRatio*MillRate*(1+TaxFlatGrowth)^(MAX(Assumptions!E$75-1,0))))</f>
        <v/>
      </c>
      <c r="F11" s="52">
        <f>IF(TaxMethod="Flat Growth",BaseAnnualTax*(1+TaxFlatGrowth)^(MAX(Assumptions!F$75-1,0)),IF(TaxMethod="PILOT / Abatement",INDEX(PILOTSchedule,1,MIN(MAX(Assumptions!F$75,1),11)),PurchasePrice*AssessRatio*MillRate*(1+TaxFlatGrowth)^(MAX(Assumptions!F$75-1,0))))</f>
        <v/>
      </c>
      <c r="G11" s="52">
        <f>IF(TaxMethod="Flat Growth",BaseAnnualTax*(1+TaxFlatGrowth)^(MAX(Assumptions!G$75-1,0)),IF(TaxMethod="PILOT / Abatement",INDEX(PILOTSchedule,1,MIN(MAX(Assumptions!G$75,1),11)),PurchasePrice*AssessRatio*MillRate*(1+TaxFlatGrowth)^(MAX(Assumptions!G$75-1,0))))</f>
        <v/>
      </c>
      <c r="H11" s="52">
        <f>IF(TaxMethod="Flat Growth",BaseAnnualTax*(1+TaxFlatGrowth)^(MAX(Assumptions!H$75-1,0)),IF(TaxMethod="PILOT / Abatement",INDEX(PILOTSchedule,1,MIN(MAX(Assumptions!H$75,1),11)),PurchasePrice*AssessRatio*MillRate*(1+TaxFlatGrowth)^(MAX(Assumptions!H$75-1,0))))</f>
        <v/>
      </c>
      <c r="I11" s="52">
        <f>IF(TaxMethod="Flat Growth",BaseAnnualTax*(1+TaxFlatGrowth)^(MAX(Assumptions!I$75-1,0)),IF(TaxMethod="PILOT / Abatement",INDEX(PILOTSchedule,1,MIN(MAX(Assumptions!I$75,1),11)),PurchasePrice*AssessRatio*MillRate*(1+TaxFlatGrowth)^(MAX(Assumptions!I$75-1,0))))</f>
        <v/>
      </c>
      <c r="J11" s="52">
        <f>IF(TaxMethod="Flat Growth",BaseAnnualTax*(1+TaxFlatGrowth)^(MAX(Assumptions!J$75-1,0)),IF(TaxMethod="PILOT / Abatement",INDEX(PILOTSchedule,1,MIN(MAX(Assumptions!J$75,1),11)),PurchasePrice*AssessRatio*MillRate*(1+TaxFlatGrowth)^(MAX(Assumptions!J$75-1,0))))</f>
        <v/>
      </c>
      <c r="K11" s="52">
        <f>IF(TaxMethod="Flat Growth",BaseAnnualTax*(1+TaxFlatGrowth)^(MAX(Assumptions!K$75-1,0)),IF(TaxMethod="PILOT / Abatement",INDEX(PILOTSchedule,1,MIN(MAX(Assumptions!K$75,1),11)),PurchasePrice*AssessRatio*MillRate*(1+TaxFlatGrowth)^(MAX(Assumptions!K$75-1,0))))</f>
        <v/>
      </c>
      <c r="L11" s="52">
        <f>IF(TaxMethod="Flat Growth",BaseAnnualTax*(1+TaxFlatGrowth)^(MAX(Assumptions!L$75-1,0)),IF(TaxMethod="PILOT / Abatement",INDEX(PILOTSchedule,1,MIN(MAX(Assumptions!L$75,1),11)),PurchasePrice*AssessRatio*MillRate*(1+TaxFlatGrowth)^(MAX(Assumptions!L$75-1,0))))</f>
        <v/>
      </c>
      <c r="M11" s="52">
        <f>IF(TaxMethod="Flat Growth",BaseAnnualTax*(1+TaxFlatGrowth)^(MAX(Assumptions!M$75-1,0)),IF(TaxMethod="PILOT / Abatement",INDEX(PILOTSchedule,1,MIN(MAX(Assumptions!M$75,1),11)),PurchasePrice*AssessRatio*MillRate*(1+TaxFlatGrowth)^(MAX(Assumptions!M$75-1,0))))</f>
        <v/>
      </c>
      <c r="N11" s="52">
        <f>IF(TaxMethod="Flat Growth",BaseAnnualTax*(1+TaxFlatGrowth)^(MAX(Assumptions!N$75-1,0)),IF(TaxMethod="PILOT / Abatement",INDEX(PILOTSchedule,1,MIN(MAX(Assumptions!N$75,1),11)),PurchasePrice*AssessRatio*MillRate*(1+TaxFlatGrowth)^(MAX(Assumptions!N$75-1,0))))</f>
        <v/>
      </c>
      <c r="O11" s="52">
        <f>IF(TaxMethod="Flat Growth",BaseAnnualTax*(1+TaxFlatGrowth)^(MAX(Assumptions!O$75-1,0)),IF(TaxMethod="PILOT / Abatement",INDEX(PILOTSchedule,1,MIN(MAX(Assumptions!O$75,1),11)),PurchasePrice*AssessRatio*MillRate*(1+TaxFlatGrowth)^(MAX(Assumptions!O$75-1,0))))</f>
        <v/>
      </c>
      <c r="P11" s="52">
        <f>IF(TaxMethod="Flat Growth",BaseAnnualTax*(1+TaxFlatGrowth)^(MAX(Assumptions!P$75-1,0)),IF(TaxMethod="PILOT / Abatement",INDEX(PILOTSchedule,1,MIN(MAX(Assumptions!P$75,1),11)),PurchasePrice*AssessRatio*MillRate*(1+TaxFlatGrowth)^(MAX(Assumptions!P$75-1,0))))</f>
        <v/>
      </c>
      <c r="Q11" s="52">
        <f>IF(TaxMethod="Flat Growth",BaseAnnualTax*(1+TaxFlatGrowth)^(MAX(Assumptions!Q$75-1,0)),IF(TaxMethod="PILOT / Abatement",INDEX(PILOTSchedule,1,MIN(MAX(Assumptions!Q$75,1),11)),PurchasePrice*AssessRatio*MillRate*(1+TaxFlatGrowth)^(MAX(Assumptions!Q$75-1,0))))</f>
        <v/>
      </c>
      <c r="R11" s="52">
        <f>IF(TaxMethod="Flat Growth",BaseAnnualTax*(1+TaxFlatGrowth)^(MAX(Assumptions!R$75-1,0)),IF(TaxMethod="PILOT / Abatement",INDEX(PILOTSchedule,1,MIN(MAX(Assumptions!R$75,1),11)),PurchasePrice*AssessRatio*MillRate*(1+TaxFlatGrowth)^(MAX(Assumptions!R$75-1,0))))</f>
        <v/>
      </c>
      <c r="S11" s="52">
        <f>IF(TaxMethod="Flat Growth",BaseAnnualTax*(1+TaxFlatGrowth)^(MAX(Assumptions!S$75-1,0)),IF(TaxMethod="PILOT / Abatement",INDEX(PILOTSchedule,1,MIN(MAX(Assumptions!S$75,1),11)),PurchasePrice*AssessRatio*MillRate*(1+TaxFlatGrowth)^(MAX(Assumptions!S$75-1,0))))</f>
        <v/>
      </c>
      <c r="T11" s="52">
        <f>IF(TaxMethod="Flat Growth",BaseAnnualTax*(1+TaxFlatGrowth)^(MAX(Assumptions!T$75-1,0)),IF(TaxMethod="PILOT / Abatement",INDEX(PILOTSchedule,1,MIN(MAX(Assumptions!T$75,1),11)),PurchasePrice*AssessRatio*MillRate*(1+TaxFlatGrowth)^(MAX(Assumptions!T$75-1,0))))</f>
        <v/>
      </c>
      <c r="U11" s="52">
        <f>IF(TaxMethod="Flat Growth",BaseAnnualTax*(1+TaxFlatGrowth)^(MAX(Assumptions!U$75-1,0)),IF(TaxMethod="PILOT / Abatement",INDEX(PILOTSchedule,1,MIN(MAX(Assumptions!U$75,1),11)),PurchasePrice*AssessRatio*MillRate*(1+TaxFlatGrowth)^(MAX(Assumptions!U$75-1,0))))</f>
        <v/>
      </c>
      <c r="V11" s="52">
        <f>IF(TaxMethod="Flat Growth",BaseAnnualTax*(1+TaxFlatGrowth)^(MAX(Assumptions!V$75-1,0)),IF(TaxMethod="PILOT / Abatement",INDEX(PILOTSchedule,1,MIN(MAX(Assumptions!V$75,1),11)),PurchasePrice*AssessRatio*MillRate*(1+TaxFlatGrowth)^(MAX(Assumptions!V$75-1,0))))</f>
        <v/>
      </c>
      <c r="W11" s="52">
        <f>IF(TaxMethod="Flat Growth",BaseAnnualTax*(1+TaxFlatGrowth)^(MAX(Assumptions!W$75-1,0)),IF(TaxMethod="PILOT / Abatement",INDEX(PILOTSchedule,1,MIN(MAX(Assumptions!W$75,1),11)),PurchasePrice*AssessRatio*MillRate*(1+TaxFlatGrowth)^(MAX(Assumptions!W$75-1,0))))</f>
        <v/>
      </c>
      <c r="X11" s="52">
        <f>IF(TaxMethod="Flat Growth",BaseAnnualTax*(1+TaxFlatGrowth)^(MAX(Assumptions!X$75-1,0)),IF(TaxMethod="PILOT / Abatement",INDEX(PILOTSchedule,1,MIN(MAX(Assumptions!X$75,1),11)),PurchasePrice*AssessRatio*MillRate*(1+TaxFlatGrowth)^(MAX(Assumptions!X$75-1,0))))</f>
        <v/>
      </c>
      <c r="Y11" s="52">
        <f>IF(TaxMethod="Flat Growth",BaseAnnualTax*(1+TaxFlatGrowth)^(MAX(Assumptions!Y$75-1,0)),IF(TaxMethod="PILOT / Abatement",INDEX(PILOTSchedule,1,MIN(MAX(Assumptions!Y$75,1),11)),PurchasePrice*AssessRatio*MillRate*(1+TaxFlatGrowth)^(MAX(Assumptions!Y$75-1,0))))</f>
        <v/>
      </c>
      <c r="Z11" s="52">
        <f>IF(TaxMethod="Flat Growth",BaseAnnualTax*(1+TaxFlatGrowth)^(MAX(Assumptions!Z$75-1,0)),IF(TaxMethod="PILOT / Abatement",INDEX(PILOTSchedule,1,MIN(MAX(Assumptions!Z$75,1),11)),PurchasePrice*AssessRatio*MillRate*(1+TaxFlatGrowth)^(MAX(Assumptions!Z$75-1,0))))</f>
        <v/>
      </c>
      <c r="AA11" s="52">
        <f>IF(TaxMethod="Flat Growth",BaseAnnualTax*(1+TaxFlatGrowth)^(MAX(Assumptions!AA$75-1,0)),IF(TaxMethod="PILOT / Abatement",INDEX(PILOTSchedule,1,MIN(MAX(Assumptions!AA$75,1),11)),PurchasePrice*AssessRatio*MillRate*(1+TaxFlatGrowth)^(MAX(Assumptions!AA$75-1,0))))</f>
        <v/>
      </c>
      <c r="AB11" s="52">
        <f>IF(TaxMethod="Flat Growth",BaseAnnualTax*(1+TaxFlatGrowth)^(MAX(Assumptions!AB$75-1,0)),IF(TaxMethod="PILOT / Abatement",INDEX(PILOTSchedule,1,MIN(MAX(Assumptions!AB$75,1),11)),PurchasePrice*AssessRatio*MillRate*(1+TaxFlatGrowth)^(MAX(Assumptions!AB$75-1,0))))</f>
        <v/>
      </c>
      <c r="AC11" s="52">
        <f>IF(TaxMethod="Flat Growth",BaseAnnualTax*(1+TaxFlatGrowth)^(MAX(Assumptions!AC$75-1,0)),IF(TaxMethod="PILOT / Abatement",INDEX(PILOTSchedule,1,MIN(MAX(Assumptions!AC$75,1),11)),PurchasePrice*AssessRatio*MillRate*(1+TaxFlatGrowth)^(MAX(Assumptions!AC$75-1,0))))</f>
        <v/>
      </c>
      <c r="AD11" s="52">
        <f>IF(TaxMethod="Flat Growth",BaseAnnualTax*(1+TaxFlatGrowth)^(MAX(Assumptions!AD$75-1,0)),IF(TaxMethod="PILOT / Abatement",INDEX(PILOTSchedule,1,MIN(MAX(Assumptions!AD$75,1),11)),PurchasePrice*AssessRatio*MillRate*(1+TaxFlatGrowth)^(MAX(Assumptions!AD$75-1,0))))</f>
        <v/>
      </c>
      <c r="AE11" s="52">
        <f>IF(TaxMethod="Flat Growth",BaseAnnualTax*(1+TaxFlatGrowth)^(MAX(Assumptions!AE$75-1,0)),IF(TaxMethod="PILOT / Abatement",INDEX(PILOTSchedule,1,MIN(MAX(Assumptions!AE$75,1),11)),PurchasePrice*AssessRatio*MillRate*(1+TaxFlatGrowth)^(MAX(Assumptions!AE$75-1,0))))</f>
        <v/>
      </c>
      <c r="AF11" s="52">
        <f>IF(TaxMethod="Flat Growth",BaseAnnualTax*(1+TaxFlatGrowth)^(MAX(Assumptions!AF$75-1,0)),IF(TaxMethod="PILOT / Abatement",INDEX(PILOTSchedule,1,MIN(MAX(Assumptions!AF$75,1),11)),PurchasePrice*AssessRatio*MillRate*(1+TaxFlatGrowth)^(MAX(Assumptions!AF$75-1,0))))</f>
        <v/>
      </c>
      <c r="AG11" s="52">
        <f>IF(TaxMethod="Flat Growth",BaseAnnualTax*(1+TaxFlatGrowth)^(MAX(Assumptions!AG$75-1,0)),IF(TaxMethod="PILOT / Abatement",INDEX(PILOTSchedule,1,MIN(MAX(Assumptions!AG$75,1),11)),PurchasePrice*AssessRatio*MillRate*(1+TaxFlatGrowth)^(MAX(Assumptions!AG$75-1,0))))</f>
        <v/>
      </c>
      <c r="AH11" s="52">
        <f>IF(TaxMethod="Flat Growth",BaseAnnualTax*(1+TaxFlatGrowth)^(MAX(Assumptions!AH$75-1,0)),IF(TaxMethod="PILOT / Abatement",INDEX(PILOTSchedule,1,MIN(MAX(Assumptions!AH$75,1),11)),PurchasePrice*AssessRatio*MillRate*(1+TaxFlatGrowth)^(MAX(Assumptions!AH$75-1,0))))</f>
        <v/>
      </c>
      <c r="AI11" s="52">
        <f>IF(TaxMethod="Flat Growth",BaseAnnualTax*(1+TaxFlatGrowth)^(MAX(Assumptions!AI$75-1,0)),IF(TaxMethod="PILOT / Abatement",INDEX(PILOTSchedule,1,MIN(MAX(Assumptions!AI$75,1),11)),PurchasePrice*AssessRatio*MillRate*(1+TaxFlatGrowth)^(MAX(Assumptions!AI$75-1,0))))</f>
        <v/>
      </c>
      <c r="AJ11" s="52">
        <f>IF(TaxMethod="Flat Growth",BaseAnnualTax*(1+TaxFlatGrowth)^(MAX(Assumptions!AJ$75-1,0)),IF(TaxMethod="PILOT / Abatement",INDEX(PILOTSchedule,1,MIN(MAX(Assumptions!AJ$75,1),11)),PurchasePrice*AssessRatio*MillRate*(1+TaxFlatGrowth)^(MAX(Assumptions!AJ$75-1,0))))</f>
        <v/>
      </c>
      <c r="AK11" s="52">
        <f>IF(TaxMethod="Flat Growth",BaseAnnualTax*(1+TaxFlatGrowth)^(MAX(Assumptions!AK$75-1,0)),IF(TaxMethod="PILOT / Abatement",INDEX(PILOTSchedule,1,MIN(MAX(Assumptions!AK$75,1),11)),PurchasePrice*AssessRatio*MillRate*(1+TaxFlatGrowth)^(MAX(Assumptions!AK$75-1,0))))</f>
        <v/>
      </c>
      <c r="AL11" s="52">
        <f>IF(TaxMethod="Flat Growth",BaseAnnualTax*(1+TaxFlatGrowth)^(MAX(Assumptions!AL$75-1,0)),IF(TaxMethod="PILOT / Abatement",INDEX(PILOTSchedule,1,MIN(MAX(Assumptions!AL$75,1),11)),PurchasePrice*AssessRatio*MillRate*(1+TaxFlatGrowth)^(MAX(Assumptions!AL$75-1,0))))</f>
        <v/>
      </c>
      <c r="AM11" s="52">
        <f>IF(TaxMethod="Flat Growth",BaseAnnualTax*(1+TaxFlatGrowth)^(MAX(Assumptions!AM$75-1,0)),IF(TaxMethod="PILOT / Abatement",INDEX(PILOTSchedule,1,MIN(MAX(Assumptions!AM$75,1),11)),PurchasePrice*AssessRatio*MillRate*(1+TaxFlatGrowth)^(MAX(Assumptions!AM$75-1,0))))</f>
        <v/>
      </c>
      <c r="AN11" s="52">
        <f>IF(TaxMethod="Flat Growth",BaseAnnualTax*(1+TaxFlatGrowth)^(MAX(Assumptions!AN$75-1,0)),IF(TaxMethod="PILOT / Abatement",INDEX(PILOTSchedule,1,MIN(MAX(Assumptions!AN$75,1),11)),PurchasePrice*AssessRatio*MillRate*(1+TaxFlatGrowth)^(MAX(Assumptions!AN$75-1,0))))</f>
        <v/>
      </c>
      <c r="AO11" s="52">
        <f>IF(TaxMethod="Flat Growth",BaseAnnualTax*(1+TaxFlatGrowth)^(MAX(Assumptions!AO$75-1,0)),IF(TaxMethod="PILOT / Abatement",INDEX(PILOTSchedule,1,MIN(MAX(Assumptions!AO$75,1),11)),PurchasePrice*AssessRatio*MillRate*(1+TaxFlatGrowth)^(MAX(Assumptions!AO$75-1,0))))</f>
        <v/>
      </c>
      <c r="AP11" s="52">
        <f>IF(TaxMethod="Flat Growth",BaseAnnualTax*(1+TaxFlatGrowth)^(MAX(Assumptions!AP$75-1,0)),IF(TaxMethod="PILOT / Abatement",INDEX(PILOTSchedule,1,MIN(MAX(Assumptions!AP$75,1),11)),PurchasePrice*AssessRatio*MillRate*(1+TaxFlatGrowth)^(MAX(Assumptions!AP$75-1,0))))</f>
        <v/>
      </c>
      <c r="AQ11" s="52">
        <f>IF(TaxMethod="Flat Growth",BaseAnnualTax*(1+TaxFlatGrowth)^(MAX(Assumptions!AQ$75-1,0)),IF(TaxMethod="PILOT / Abatement",INDEX(PILOTSchedule,1,MIN(MAX(Assumptions!AQ$75,1),11)),PurchasePrice*AssessRatio*MillRate*(1+TaxFlatGrowth)^(MAX(Assumptions!AQ$75-1,0))))</f>
        <v/>
      </c>
      <c r="AR11" s="52">
        <f>IF(TaxMethod="Flat Growth",BaseAnnualTax*(1+TaxFlatGrowth)^(MAX(Assumptions!AR$75-1,0)),IF(TaxMethod="PILOT / Abatement",INDEX(PILOTSchedule,1,MIN(MAX(Assumptions!AR$75,1),11)),PurchasePrice*AssessRatio*MillRate*(1+TaxFlatGrowth)^(MAX(Assumptions!AR$75-1,0))))</f>
        <v/>
      </c>
      <c r="AS11" s="52">
        <f>IF(TaxMethod="Flat Growth",BaseAnnualTax*(1+TaxFlatGrowth)^(MAX(Assumptions!AS$75-1,0)),IF(TaxMethod="PILOT / Abatement",INDEX(PILOTSchedule,1,MIN(MAX(Assumptions!AS$75,1),11)),PurchasePrice*AssessRatio*MillRate*(1+TaxFlatGrowth)^(MAX(Assumptions!AS$75-1,0))))</f>
        <v/>
      </c>
      <c r="AT11" s="52">
        <f>IF(TaxMethod="Flat Growth",BaseAnnualTax*(1+TaxFlatGrowth)^(MAX(Assumptions!AT$75-1,0)),IF(TaxMethod="PILOT / Abatement",INDEX(PILOTSchedule,1,MIN(MAX(Assumptions!AT$75,1),11)),PurchasePrice*AssessRatio*MillRate*(1+TaxFlatGrowth)^(MAX(Assumptions!AT$75-1,0))))</f>
        <v/>
      </c>
      <c r="AU11" s="52">
        <f>IF(TaxMethod="Flat Growth",BaseAnnualTax*(1+TaxFlatGrowth)^(MAX(Assumptions!AU$75-1,0)),IF(TaxMethod="PILOT / Abatement",INDEX(PILOTSchedule,1,MIN(MAX(Assumptions!AU$75,1),11)),PurchasePrice*AssessRatio*MillRate*(1+TaxFlatGrowth)^(MAX(Assumptions!AU$75-1,0))))</f>
        <v/>
      </c>
      <c r="AV11" s="52">
        <f>IF(TaxMethod="Flat Growth",BaseAnnualTax*(1+TaxFlatGrowth)^(MAX(Assumptions!AV$75-1,0)),IF(TaxMethod="PILOT / Abatement",INDEX(PILOTSchedule,1,MIN(MAX(Assumptions!AV$75,1),11)),PurchasePrice*AssessRatio*MillRate*(1+TaxFlatGrowth)^(MAX(Assumptions!AV$75-1,0))))</f>
        <v/>
      </c>
      <c r="AW11" s="52">
        <f>IF(TaxMethod="Flat Growth",BaseAnnualTax*(1+TaxFlatGrowth)^(MAX(Assumptions!AW$75-1,0)),IF(TaxMethod="PILOT / Abatement",INDEX(PILOTSchedule,1,MIN(MAX(Assumptions!AW$75,1),11)),PurchasePrice*AssessRatio*MillRate*(1+TaxFlatGrowth)^(MAX(Assumptions!AW$75-1,0))))</f>
        <v/>
      </c>
      <c r="AX11" s="52">
        <f>IF(TaxMethod="Flat Growth",BaseAnnualTax*(1+TaxFlatGrowth)^(MAX(Assumptions!AX$75-1,0)),IF(TaxMethod="PILOT / Abatement",INDEX(PILOTSchedule,1,MIN(MAX(Assumptions!AX$75,1),11)),PurchasePrice*AssessRatio*MillRate*(1+TaxFlatGrowth)^(MAX(Assumptions!AX$75-1,0))))</f>
        <v/>
      </c>
      <c r="AY11" s="52">
        <f>IF(TaxMethod="Flat Growth",BaseAnnualTax*(1+TaxFlatGrowth)^(MAX(Assumptions!AY$75-1,0)),IF(TaxMethod="PILOT / Abatement",INDEX(PILOTSchedule,1,MIN(MAX(Assumptions!AY$75,1),11)),PurchasePrice*AssessRatio*MillRate*(1+TaxFlatGrowth)^(MAX(Assumptions!AY$75-1,0))))</f>
        <v/>
      </c>
      <c r="AZ11" s="52">
        <f>IF(TaxMethod="Flat Growth",BaseAnnualTax*(1+TaxFlatGrowth)^(MAX(Assumptions!AZ$75-1,0)),IF(TaxMethod="PILOT / Abatement",INDEX(PILOTSchedule,1,MIN(MAX(Assumptions!AZ$75,1),11)),PurchasePrice*AssessRatio*MillRate*(1+TaxFlatGrowth)^(MAX(Assumptions!AZ$75-1,0))))</f>
        <v/>
      </c>
      <c r="BA11" s="52">
        <f>IF(TaxMethod="Flat Growth",BaseAnnualTax*(1+TaxFlatGrowth)^(MAX(Assumptions!BA$75-1,0)),IF(TaxMethod="PILOT / Abatement",INDEX(PILOTSchedule,1,MIN(MAX(Assumptions!BA$75,1),11)),PurchasePrice*AssessRatio*MillRate*(1+TaxFlatGrowth)^(MAX(Assumptions!BA$75-1,0))))</f>
        <v/>
      </c>
      <c r="BB11" s="52">
        <f>IF(TaxMethod="Flat Growth",BaseAnnualTax*(1+TaxFlatGrowth)^(MAX(Assumptions!BB$75-1,0)),IF(TaxMethod="PILOT / Abatement",INDEX(PILOTSchedule,1,MIN(MAX(Assumptions!BB$75,1),11)),PurchasePrice*AssessRatio*MillRate*(1+TaxFlatGrowth)^(MAX(Assumptions!BB$75-1,0))))</f>
        <v/>
      </c>
      <c r="BC11" s="52">
        <f>IF(TaxMethod="Flat Growth",BaseAnnualTax*(1+TaxFlatGrowth)^(MAX(Assumptions!BC$75-1,0)),IF(TaxMethod="PILOT / Abatement",INDEX(PILOTSchedule,1,MIN(MAX(Assumptions!BC$75,1),11)),PurchasePrice*AssessRatio*MillRate*(1+TaxFlatGrowth)^(MAX(Assumptions!BC$75-1,0))))</f>
        <v/>
      </c>
      <c r="BD11" s="52">
        <f>IF(TaxMethod="Flat Growth",BaseAnnualTax*(1+TaxFlatGrowth)^(MAX(Assumptions!BD$75-1,0)),IF(TaxMethod="PILOT / Abatement",INDEX(PILOTSchedule,1,MIN(MAX(Assumptions!BD$75,1),11)),PurchasePrice*AssessRatio*MillRate*(1+TaxFlatGrowth)^(MAX(Assumptions!BD$75-1,0))))</f>
        <v/>
      </c>
      <c r="BE11" s="52">
        <f>IF(TaxMethod="Flat Growth",BaseAnnualTax*(1+TaxFlatGrowth)^(MAX(Assumptions!BE$75-1,0)),IF(TaxMethod="PILOT / Abatement",INDEX(PILOTSchedule,1,MIN(MAX(Assumptions!BE$75,1),11)),PurchasePrice*AssessRatio*MillRate*(1+TaxFlatGrowth)^(MAX(Assumptions!BE$75-1,0))))</f>
        <v/>
      </c>
      <c r="BF11" s="52">
        <f>IF(TaxMethod="Flat Growth",BaseAnnualTax*(1+TaxFlatGrowth)^(MAX(Assumptions!BF$75-1,0)),IF(TaxMethod="PILOT / Abatement",INDEX(PILOTSchedule,1,MIN(MAX(Assumptions!BF$75,1),11)),PurchasePrice*AssessRatio*MillRate*(1+TaxFlatGrowth)^(MAX(Assumptions!BF$75-1,0))))</f>
        <v/>
      </c>
      <c r="BG11" s="52">
        <f>IF(TaxMethod="Flat Growth",BaseAnnualTax*(1+TaxFlatGrowth)^(MAX(Assumptions!BG$75-1,0)),IF(TaxMethod="PILOT / Abatement",INDEX(PILOTSchedule,1,MIN(MAX(Assumptions!BG$75,1),11)),PurchasePrice*AssessRatio*MillRate*(1+TaxFlatGrowth)^(MAX(Assumptions!BG$75-1,0))))</f>
        <v/>
      </c>
      <c r="BH11" s="52">
        <f>IF(TaxMethod="Flat Growth",BaseAnnualTax*(1+TaxFlatGrowth)^(MAX(Assumptions!BH$75-1,0)),IF(TaxMethod="PILOT / Abatement",INDEX(PILOTSchedule,1,MIN(MAX(Assumptions!BH$75,1),11)),PurchasePrice*AssessRatio*MillRate*(1+TaxFlatGrowth)^(MAX(Assumptions!BH$75-1,0))))</f>
        <v/>
      </c>
      <c r="BI11" s="52">
        <f>IF(TaxMethod="Flat Growth",BaseAnnualTax*(1+TaxFlatGrowth)^(MAX(Assumptions!BI$75-1,0)),IF(TaxMethod="PILOT / Abatement",INDEX(PILOTSchedule,1,MIN(MAX(Assumptions!BI$75,1),11)),PurchasePrice*AssessRatio*MillRate*(1+TaxFlatGrowth)^(MAX(Assumptions!BI$75-1,0))))</f>
        <v/>
      </c>
      <c r="BJ11" s="52">
        <f>IF(TaxMethod="Flat Growth",BaseAnnualTax*(1+TaxFlatGrowth)^(MAX(Assumptions!BJ$75-1,0)),IF(TaxMethod="PILOT / Abatement",INDEX(PILOTSchedule,1,MIN(MAX(Assumptions!BJ$75,1),11)),PurchasePrice*AssessRatio*MillRate*(1+TaxFlatGrowth)^(MAX(Assumptions!BJ$75-1,0))))</f>
        <v/>
      </c>
      <c r="BK11" s="52">
        <f>IF(TaxMethod="Flat Growth",BaseAnnualTax*(1+TaxFlatGrowth)^(MAX(Assumptions!BK$75-1,0)),IF(TaxMethod="PILOT / Abatement",INDEX(PILOTSchedule,1,MIN(MAX(Assumptions!BK$75,1),11)),PurchasePrice*AssessRatio*MillRate*(1+TaxFlatGrowth)^(MAX(Assumptions!BK$75-1,0))))</f>
        <v/>
      </c>
      <c r="BL11" s="52">
        <f>IF(TaxMethod="Flat Growth",BaseAnnualTax*(1+TaxFlatGrowth)^(MAX(Assumptions!BL$75-1,0)),IF(TaxMethod="PILOT / Abatement",INDEX(PILOTSchedule,1,MIN(MAX(Assumptions!BL$75,1),11)),PurchasePrice*AssessRatio*MillRate*(1+TaxFlatGrowth)^(MAX(Assumptions!BL$75-1,0))))</f>
        <v/>
      </c>
      <c r="BM11" s="52">
        <f>IF(TaxMethod="Flat Growth",BaseAnnualTax*(1+TaxFlatGrowth)^(MAX(Assumptions!BM$75-1,0)),IF(TaxMethod="PILOT / Abatement",INDEX(PILOTSchedule,1,MIN(MAX(Assumptions!BM$75,1),11)),PurchasePrice*AssessRatio*MillRate*(1+TaxFlatGrowth)^(MAX(Assumptions!BM$75-1,0))))</f>
        <v/>
      </c>
      <c r="BN11" s="52">
        <f>IF(TaxMethod="Flat Growth",BaseAnnualTax*(1+TaxFlatGrowth)^(MAX(Assumptions!BN$75-1,0)),IF(TaxMethod="PILOT / Abatement",INDEX(PILOTSchedule,1,MIN(MAX(Assumptions!BN$75,1),11)),PurchasePrice*AssessRatio*MillRate*(1+TaxFlatGrowth)^(MAX(Assumptions!BN$75-1,0))))</f>
        <v/>
      </c>
      <c r="BO11" s="52">
        <f>IF(TaxMethod="Flat Growth",BaseAnnualTax*(1+TaxFlatGrowth)^(MAX(Assumptions!BO$75-1,0)),IF(TaxMethod="PILOT / Abatement",INDEX(PILOTSchedule,1,MIN(MAX(Assumptions!BO$75,1),11)),PurchasePrice*AssessRatio*MillRate*(1+TaxFlatGrowth)^(MAX(Assumptions!BO$75-1,0))))</f>
        <v/>
      </c>
      <c r="BP11" s="52">
        <f>IF(TaxMethod="Flat Growth",BaseAnnualTax*(1+TaxFlatGrowth)^(MAX(Assumptions!BP$75-1,0)),IF(TaxMethod="PILOT / Abatement",INDEX(PILOTSchedule,1,MIN(MAX(Assumptions!BP$75,1),11)),PurchasePrice*AssessRatio*MillRate*(1+TaxFlatGrowth)^(MAX(Assumptions!BP$75-1,0))))</f>
        <v/>
      </c>
      <c r="BQ11" s="52">
        <f>IF(TaxMethod="Flat Growth",BaseAnnualTax*(1+TaxFlatGrowth)^(MAX(Assumptions!BQ$75-1,0)),IF(TaxMethod="PILOT / Abatement",INDEX(PILOTSchedule,1,MIN(MAX(Assumptions!BQ$75,1),11)),PurchasePrice*AssessRatio*MillRate*(1+TaxFlatGrowth)^(MAX(Assumptions!BQ$75-1,0))))</f>
        <v/>
      </c>
      <c r="BR11" s="52">
        <f>IF(TaxMethod="Flat Growth",BaseAnnualTax*(1+TaxFlatGrowth)^(MAX(Assumptions!BR$75-1,0)),IF(TaxMethod="PILOT / Abatement",INDEX(PILOTSchedule,1,MIN(MAX(Assumptions!BR$75,1),11)),PurchasePrice*AssessRatio*MillRate*(1+TaxFlatGrowth)^(MAX(Assumptions!BR$75-1,0))))</f>
        <v/>
      </c>
      <c r="BS11" s="52">
        <f>IF(TaxMethod="Flat Growth",BaseAnnualTax*(1+TaxFlatGrowth)^(MAX(Assumptions!BS$75-1,0)),IF(TaxMethod="PILOT / Abatement",INDEX(PILOTSchedule,1,MIN(MAX(Assumptions!BS$75,1),11)),PurchasePrice*AssessRatio*MillRate*(1+TaxFlatGrowth)^(MAX(Assumptions!BS$75-1,0))))</f>
        <v/>
      </c>
      <c r="BT11" s="52">
        <f>IF(TaxMethod="Flat Growth",BaseAnnualTax*(1+TaxFlatGrowth)^(MAX(Assumptions!BT$75-1,0)),IF(TaxMethod="PILOT / Abatement",INDEX(PILOTSchedule,1,MIN(MAX(Assumptions!BT$75,1),11)),PurchasePrice*AssessRatio*MillRate*(1+TaxFlatGrowth)^(MAX(Assumptions!BT$75-1,0))))</f>
        <v/>
      </c>
      <c r="BU11" s="52">
        <f>IF(TaxMethod="Flat Growth",BaseAnnualTax*(1+TaxFlatGrowth)^(MAX(Assumptions!BU$75-1,0)),IF(TaxMethod="PILOT / Abatement",INDEX(PILOTSchedule,1,MIN(MAX(Assumptions!BU$75,1),11)),PurchasePrice*AssessRatio*MillRate*(1+TaxFlatGrowth)^(MAX(Assumptions!BU$75-1,0))))</f>
        <v/>
      </c>
      <c r="BV11" s="52">
        <f>IF(TaxMethod="Flat Growth",BaseAnnualTax*(1+TaxFlatGrowth)^(MAX(Assumptions!BV$75-1,0)),IF(TaxMethod="PILOT / Abatement",INDEX(PILOTSchedule,1,MIN(MAX(Assumptions!BV$75,1),11)),PurchasePrice*AssessRatio*MillRate*(1+TaxFlatGrowth)^(MAX(Assumptions!BV$75-1,0))))</f>
        <v/>
      </c>
      <c r="BW11" s="52">
        <f>IF(TaxMethod="Flat Growth",BaseAnnualTax*(1+TaxFlatGrowth)^(MAX(Assumptions!BW$75-1,0)),IF(TaxMethod="PILOT / Abatement",INDEX(PILOTSchedule,1,MIN(MAX(Assumptions!BW$75,1),11)),PurchasePrice*AssessRatio*MillRate*(1+TaxFlatGrowth)^(MAX(Assumptions!BW$75-1,0))))</f>
        <v/>
      </c>
      <c r="BX11" s="52">
        <f>IF(TaxMethod="Flat Growth",BaseAnnualTax*(1+TaxFlatGrowth)^(MAX(Assumptions!BX$75-1,0)),IF(TaxMethod="PILOT / Abatement",INDEX(PILOTSchedule,1,MIN(MAX(Assumptions!BX$75,1),11)),PurchasePrice*AssessRatio*MillRate*(1+TaxFlatGrowth)^(MAX(Assumptions!BX$75-1,0))))</f>
        <v/>
      </c>
      <c r="BY11" s="52">
        <f>IF(TaxMethod="Flat Growth",BaseAnnualTax*(1+TaxFlatGrowth)^(MAX(Assumptions!BY$75-1,0)),IF(TaxMethod="PILOT / Abatement",INDEX(PILOTSchedule,1,MIN(MAX(Assumptions!BY$75,1),11)),PurchasePrice*AssessRatio*MillRate*(1+TaxFlatGrowth)^(MAX(Assumptions!BY$75-1,0))))</f>
        <v/>
      </c>
      <c r="BZ11" s="52">
        <f>IF(TaxMethod="Flat Growth",BaseAnnualTax*(1+TaxFlatGrowth)^(MAX(Assumptions!BZ$75-1,0)),IF(TaxMethod="PILOT / Abatement",INDEX(PILOTSchedule,1,MIN(MAX(Assumptions!BZ$75,1),11)),PurchasePrice*AssessRatio*MillRate*(1+TaxFlatGrowth)^(MAX(Assumptions!BZ$75-1,0))))</f>
        <v/>
      </c>
      <c r="CA11" s="52">
        <f>IF(TaxMethod="Flat Growth",BaseAnnualTax*(1+TaxFlatGrowth)^(MAX(Assumptions!CA$75-1,0)),IF(TaxMethod="PILOT / Abatement",INDEX(PILOTSchedule,1,MIN(MAX(Assumptions!CA$75,1),11)),PurchasePrice*AssessRatio*MillRate*(1+TaxFlatGrowth)^(MAX(Assumptions!CA$75-1,0))))</f>
        <v/>
      </c>
      <c r="CB11" s="52">
        <f>IF(TaxMethod="Flat Growth",BaseAnnualTax*(1+TaxFlatGrowth)^(MAX(Assumptions!CB$75-1,0)),IF(TaxMethod="PILOT / Abatement",INDEX(PILOTSchedule,1,MIN(MAX(Assumptions!CB$75,1),11)),PurchasePrice*AssessRatio*MillRate*(1+TaxFlatGrowth)^(MAX(Assumptions!CB$75-1,0))))</f>
        <v/>
      </c>
      <c r="CC11" s="52">
        <f>IF(TaxMethod="Flat Growth",BaseAnnualTax*(1+TaxFlatGrowth)^(MAX(Assumptions!CC$75-1,0)),IF(TaxMethod="PILOT / Abatement",INDEX(PILOTSchedule,1,MIN(MAX(Assumptions!CC$75,1),11)),PurchasePrice*AssessRatio*MillRate*(1+TaxFlatGrowth)^(MAX(Assumptions!CC$75-1,0))))</f>
        <v/>
      </c>
      <c r="CD11" s="52">
        <f>IF(TaxMethod="Flat Growth",BaseAnnualTax*(1+TaxFlatGrowth)^(MAX(Assumptions!CD$75-1,0)),IF(TaxMethod="PILOT / Abatement",INDEX(PILOTSchedule,1,MIN(MAX(Assumptions!CD$75,1),11)),PurchasePrice*AssessRatio*MillRate*(1+TaxFlatGrowth)^(MAX(Assumptions!CD$75-1,0))))</f>
        <v/>
      </c>
      <c r="CE11" s="52">
        <f>IF(TaxMethod="Flat Growth",BaseAnnualTax*(1+TaxFlatGrowth)^(MAX(Assumptions!CE$75-1,0)),IF(TaxMethod="PILOT / Abatement",INDEX(PILOTSchedule,1,MIN(MAX(Assumptions!CE$75,1),11)),PurchasePrice*AssessRatio*MillRate*(1+TaxFlatGrowth)^(MAX(Assumptions!CE$75-1,0))))</f>
        <v/>
      </c>
      <c r="CF11" s="52">
        <f>IF(TaxMethod="Flat Growth",BaseAnnualTax*(1+TaxFlatGrowth)^(MAX(Assumptions!CF$75-1,0)),IF(TaxMethod="PILOT / Abatement",INDEX(PILOTSchedule,1,MIN(MAX(Assumptions!CF$75,1),11)),PurchasePrice*AssessRatio*MillRate*(1+TaxFlatGrowth)^(MAX(Assumptions!CF$75-1,0))))</f>
        <v/>
      </c>
      <c r="CG11" s="52">
        <f>IF(TaxMethod="Flat Growth",BaseAnnualTax*(1+TaxFlatGrowth)^(MAX(Assumptions!CG$75-1,0)),IF(TaxMethod="PILOT / Abatement",INDEX(PILOTSchedule,1,MIN(MAX(Assumptions!CG$75,1),11)),PurchasePrice*AssessRatio*MillRate*(1+TaxFlatGrowth)^(MAX(Assumptions!CG$75-1,0))))</f>
        <v/>
      </c>
      <c r="CH11" s="52">
        <f>IF(TaxMethod="Flat Growth",BaseAnnualTax*(1+TaxFlatGrowth)^(MAX(Assumptions!CH$75-1,0)),IF(TaxMethod="PILOT / Abatement",INDEX(PILOTSchedule,1,MIN(MAX(Assumptions!CH$75,1),11)),PurchasePrice*AssessRatio*MillRate*(1+TaxFlatGrowth)^(MAX(Assumptions!CH$75-1,0))))</f>
        <v/>
      </c>
      <c r="CI11" s="52">
        <f>IF(TaxMethod="Flat Growth",BaseAnnualTax*(1+TaxFlatGrowth)^(MAX(Assumptions!CI$75-1,0)),IF(TaxMethod="PILOT / Abatement",INDEX(PILOTSchedule,1,MIN(MAX(Assumptions!CI$75,1),11)),PurchasePrice*AssessRatio*MillRate*(1+TaxFlatGrowth)^(MAX(Assumptions!CI$75-1,0))))</f>
        <v/>
      </c>
      <c r="CJ11" s="52">
        <f>IF(TaxMethod="Flat Growth",BaseAnnualTax*(1+TaxFlatGrowth)^(MAX(Assumptions!CJ$75-1,0)),IF(TaxMethod="PILOT / Abatement",INDEX(PILOTSchedule,1,MIN(MAX(Assumptions!CJ$75,1),11)),PurchasePrice*AssessRatio*MillRate*(1+TaxFlatGrowth)^(MAX(Assumptions!CJ$75-1,0))))</f>
        <v/>
      </c>
      <c r="CK11" s="52">
        <f>IF(TaxMethod="Flat Growth",BaseAnnualTax*(1+TaxFlatGrowth)^(MAX(Assumptions!CK$75-1,0)),IF(TaxMethod="PILOT / Abatement",INDEX(PILOTSchedule,1,MIN(MAX(Assumptions!CK$75,1),11)),PurchasePrice*AssessRatio*MillRate*(1+TaxFlatGrowth)^(MAX(Assumptions!CK$75-1,0))))</f>
        <v/>
      </c>
      <c r="CL11" s="52">
        <f>IF(TaxMethod="Flat Growth",BaseAnnualTax*(1+TaxFlatGrowth)^(MAX(Assumptions!CL$75-1,0)),IF(TaxMethod="PILOT / Abatement",INDEX(PILOTSchedule,1,MIN(MAX(Assumptions!CL$75,1),11)),PurchasePrice*AssessRatio*MillRate*(1+TaxFlatGrowth)^(MAX(Assumptions!CL$75-1,0))))</f>
        <v/>
      </c>
      <c r="CM11" s="52">
        <f>IF(TaxMethod="Flat Growth",BaseAnnualTax*(1+TaxFlatGrowth)^(MAX(Assumptions!CM$75-1,0)),IF(TaxMethod="PILOT / Abatement",INDEX(PILOTSchedule,1,MIN(MAX(Assumptions!CM$75,1),11)),PurchasePrice*AssessRatio*MillRate*(1+TaxFlatGrowth)^(MAX(Assumptions!CM$75-1,0))))</f>
        <v/>
      </c>
      <c r="CN11" s="52">
        <f>IF(TaxMethod="Flat Growth",BaseAnnualTax*(1+TaxFlatGrowth)^(MAX(Assumptions!CN$75-1,0)),IF(TaxMethod="PILOT / Abatement",INDEX(PILOTSchedule,1,MIN(MAX(Assumptions!CN$75,1),11)),PurchasePrice*AssessRatio*MillRate*(1+TaxFlatGrowth)^(MAX(Assumptions!CN$75-1,0))))</f>
        <v/>
      </c>
      <c r="CO11" s="52">
        <f>IF(TaxMethod="Flat Growth",BaseAnnualTax*(1+TaxFlatGrowth)^(MAX(Assumptions!CO$75-1,0)),IF(TaxMethod="PILOT / Abatement",INDEX(PILOTSchedule,1,MIN(MAX(Assumptions!CO$75,1),11)),PurchasePrice*AssessRatio*MillRate*(1+TaxFlatGrowth)^(MAX(Assumptions!CO$75-1,0))))</f>
        <v/>
      </c>
      <c r="CP11" s="52">
        <f>IF(TaxMethod="Flat Growth",BaseAnnualTax*(1+TaxFlatGrowth)^(MAX(Assumptions!CP$75-1,0)),IF(TaxMethod="PILOT / Abatement",INDEX(PILOTSchedule,1,MIN(MAX(Assumptions!CP$75,1),11)),PurchasePrice*AssessRatio*MillRate*(1+TaxFlatGrowth)^(MAX(Assumptions!CP$75-1,0))))</f>
        <v/>
      </c>
      <c r="CQ11" s="52">
        <f>IF(TaxMethod="Flat Growth",BaseAnnualTax*(1+TaxFlatGrowth)^(MAX(Assumptions!CQ$75-1,0)),IF(TaxMethod="PILOT / Abatement",INDEX(PILOTSchedule,1,MIN(MAX(Assumptions!CQ$75,1),11)),PurchasePrice*AssessRatio*MillRate*(1+TaxFlatGrowth)^(MAX(Assumptions!CQ$75-1,0))))</f>
        <v/>
      </c>
      <c r="CR11" s="52">
        <f>IF(TaxMethod="Flat Growth",BaseAnnualTax*(1+TaxFlatGrowth)^(MAX(Assumptions!CR$75-1,0)),IF(TaxMethod="PILOT / Abatement",INDEX(PILOTSchedule,1,MIN(MAX(Assumptions!CR$75,1),11)),PurchasePrice*AssessRatio*MillRate*(1+TaxFlatGrowth)^(MAX(Assumptions!CR$75-1,0))))</f>
        <v/>
      </c>
      <c r="CS11" s="52">
        <f>IF(TaxMethod="Flat Growth",BaseAnnualTax*(1+TaxFlatGrowth)^(MAX(Assumptions!CS$75-1,0)),IF(TaxMethod="PILOT / Abatement",INDEX(PILOTSchedule,1,MIN(MAX(Assumptions!CS$75,1),11)),PurchasePrice*AssessRatio*MillRate*(1+TaxFlatGrowth)^(MAX(Assumptions!CS$75-1,0))))</f>
        <v/>
      </c>
      <c r="CT11" s="52">
        <f>IF(TaxMethod="Flat Growth",BaseAnnualTax*(1+TaxFlatGrowth)^(MAX(Assumptions!CT$75-1,0)),IF(TaxMethod="PILOT / Abatement",INDEX(PILOTSchedule,1,MIN(MAX(Assumptions!CT$75,1),11)),PurchasePrice*AssessRatio*MillRate*(1+TaxFlatGrowth)^(MAX(Assumptions!CT$75-1,0))))</f>
        <v/>
      </c>
      <c r="CU11" s="52">
        <f>IF(TaxMethod="Flat Growth",BaseAnnualTax*(1+TaxFlatGrowth)^(MAX(Assumptions!CU$75-1,0)),IF(TaxMethod="PILOT / Abatement",INDEX(PILOTSchedule,1,MIN(MAX(Assumptions!CU$75,1),11)),PurchasePrice*AssessRatio*MillRate*(1+TaxFlatGrowth)^(MAX(Assumptions!CU$75-1,0))))</f>
        <v/>
      </c>
      <c r="CV11" s="52">
        <f>IF(TaxMethod="Flat Growth",BaseAnnualTax*(1+TaxFlatGrowth)^(MAX(Assumptions!CV$75-1,0)),IF(TaxMethod="PILOT / Abatement",INDEX(PILOTSchedule,1,MIN(MAX(Assumptions!CV$75,1),11)),PurchasePrice*AssessRatio*MillRate*(1+TaxFlatGrowth)^(MAX(Assumptions!CV$75-1,0))))</f>
        <v/>
      </c>
      <c r="CW11" s="52">
        <f>IF(TaxMethod="Flat Growth",BaseAnnualTax*(1+TaxFlatGrowth)^(MAX(Assumptions!CW$75-1,0)),IF(TaxMethod="PILOT / Abatement",INDEX(PILOTSchedule,1,MIN(MAX(Assumptions!CW$75,1),11)),PurchasePrice*AssessRatio*MillRate*(1+TaxFlatGrowth)^(MAX(Assumptions!CW$75-1,0))))</f>
        <v/>
      </c>
      <c r="CX11" s="52">
        <f>IF(TaxMethod="Flat Growth",BaseAnnualTax*(1+TaxFlatGrowth)^(MAX(Assumptions!CX$75-1,0)),IF(TaxMethod="PILOT / Abatement",INDEX(PILOTSchedule,1,MIN(MAX(Assumptions!CX$75,1),11)),PurchasePrice*AssessRatio*MillRate*(1+TaxFlatGrowth)^(MAX(Assumptions!CX$75-1,0))))</f>
        <v/>
      </c>
      <c r="CY11" s="52">
        <f>IF(TaxMethod="Flat Growth",BaseAnnualTax*(1+TaxFlatGrowth)^(MAX(Assumptions!CY$75-1,0)),IF(TaxMethod="PILOT / Abatement",INDEX(PILOTSchedule,1,MIN(MAX(Assumptions!CY$75,1),11)),PurchasePrice*AssessRatio*MillRate*(1+TaxFlatGrowth)^(MAX(Assumptions!CY$75-1,0))))</f>
        <v/>
      </c>
      <c r="CZ11" s="52">
        <f>IF(TaxMethod="Flat Growth",BaseAnnualTax*(1+TaxFlatGrowth)^(MAX(Assumptions!CZ$75-1,0)),IF(TaxMethod="PILOT / Abatement",INDEX(PILOTSchedule,1,MIN(MAX(Assumptions!CZ$75,1),11)),PurchasePrice*AssessRatio*MillRate*(1+TaxFlatGrowth)^(MAX(Assumptions!CZ$75-1,0))))</f>
        <v/>
      </c>
      <c r="DA11" s="52">
        <f>IF(TaxMethod="Flat Growth",BaseAnnualTax*(1+TaxFlatGrowth)^(MAX(Assumptions!DA$75-1,0)),IF(TaxMethod="PILOT / Abatement",INDEX(PILOTSchedule,1,MIN(MAX(Assumptions!DA$75,1),11)),PurchasePrice*AssessRatio*MillRate*(1+TaxFlatGrowth)^(MAX(Assumptions!DA$75-1,0))))</f>
        <v/>
      </c>
      <c r="DB11" s="52">
        <f>IF(TaxMethod="Flat Growth",BaseAnnualTax*(1+TaxFlatGrowth)^(MAX(Assumptions!DB$75-1,0)),IF(TaxMethod="PILOT / Abatement",INDEX(PILOTSchedule,1,MIN(MAX(Assumptions!DB$75,1),11)),PurchasePrice*AssessRatio*MillRate*(1+TaxFlatGrowth)^(MAX(Assumptions!DB$75-1,0))))</f>
        <v/>
      </c>
      <c r="DC11" s="52">
        <f>IF(TaxMethod="Flat Growth",BaseAnnualTax*(1+TaxFlatGrowth)^(MAX(Assumptions!DC$75-1,0)),IF(TaxMethod="PILOT / Abatement",INDEX(PILOTSchedule,1,MIN(MAX(Assumptions!DC$75,1),11)),PurchasePrice*AssessRatio*MillRate*(1+TaxFlatGrowth)^(MAX(Assumptions!DC$75-1,0))))</f>
        <v/>
      </c>
      <c r="DD11" s="52">
        <f>IF(TaxMethod="Flat Growth",BaseAnnualTax*(1+TaxFlatGrowth)^(MAX(Assumptions!DD$75-1,0)),IF(TaxMethod="PILOT / Abatement",INDEX(PILOTSchedule,1,MIN(MAX(Assumptions!DD$75,1),11)),PurchasePrice*AssessRatio*MillRate*(1+TaxFlatGrowth)^(MAX(Assumptions!DD$75-1,0))))</f>
        <v/>
      </c>
      <c r="DE11" s="52">
        <f>IF(TaxMethod="Flat Growth",BaseAnnualTax*(1+TaxFlatGrowth)^(MAX(Assumptions!DE$75-1,0)),IF(TaxMethod="PILOT / Abatement",INDEX(PILOTSchedule,1,MIN(MAX(Assumptions!DE$75,1),11)),PurchasePrice*AssessRatio*MillRate*(1+TaxFlatGrowth)^(MAX(Assumptions!DE$75-1,0))))</f>
        <v/>
      </c>
      <c r="DF11" s="52">
        <f>IF(TaxMethod="Flat Growth",BaseAnnualTax*(1+TaxFlatGrowth)^(MAX(Assumptions!DF$75-1,0)),IF(TaxMethod="PILOT / Abatement",INDEX(PILOTSchedule,1,MIN(MAX(Assumptions!DF$75,1),11)),PurchasePrice*AssessRatio*MillRate*(1+TaxFlatGrowth)^(MAX(Assumptions!DF$75-1,0))))</f>
        <v/>
      </c>
      <c r="DG11" s="52">
        <f>IF(TaxMethod="Flat Growth",BaseAnnualTax*(1+TaxFlatGrowth)^(MAX(Assumptions!DG$75-1,0)),IF(TaxMethod="PILOT / Abatement",INDEX(PILOTSchedule,1,MIN(MAX(Assumptions!DG$75,1),11)),PurchasePrice*AssessRatio*MillRate*(1+TaxFlatGrowth)^(MAX(Assumptions!DG$75-1,0))))</f>
        <v/>
      </c>
      <c r="DH11" s="52">
        <f>IF(TaxMethod="Flat Growth",BaseAnnualTax*(1+TaxFlatGrowth)^(MAX(Assumptions!DH$75-1,0)),IF(TaxMethod="PILOT / Abatement",INDEX(PILOTSchedule,1,MIN(MAX(Assumptions!DH$75,1),11)),PurchasePrice*AssessRatio*MillRate*(1+TaxFlatGrowth)^(MAX(Assumptions!DH$75-1,0))))</f>
        <v/>
      </c>
      <c r="DI11" s="52">
        <f>IF(TaxMethod="Flat Growth",BaseAnnualTax*(1+TaxFlatGrowth)^(MAX(Assumptions!DI$75-1,0)),IF(TaxMethod="PILOT / Abatement",INDEX(PILOTSchedule,1,MIN(MAX(Assumptions!DI$75,1),11)),PurchasePrice*AssessRatio*MillRate*(1+TaxFlatGrowth)^(MAX(Assumptions!DI$75-1,0))))</f>
        <v/>
      </c>
      <c r="DJ11" s="52">
        <f>IF(TaxMethod="Flat Growth",BaseAnnualTax*(1+TaxFlatGrowth)^(MAX(Assumptions!DJ$75-1,0)),IF(TaxMethod="PILOT / Abatement",INDEX(PILOTSchedule,1,MIN(MAX(Assumptions!DJ$75,1),11)),PurchasePrice*AssessRatio*MillRate*(1+TaxFlatGrowth)^(MAX(Assumptions!DJ$75-1,0))))</f>
        <v/>
      </c>
      <c r="DK11" s="52">
        <f>IF(TaxMethod="Flat Growth",BaseAnnualTax*(1+TaxFlatGrowth)^(MAX(Assumptions!DK$75-1,0)),IF(TaxMethod="PILOT / Abatement",INDEX(PILOTSchedule,1,MIN(MAX(Assumptions!DK$75,1),11)),PurchasePrice*AssessRatio*MillRate*(1+TaxFlatGrowth)^(MAX(Assumptions!DK$75-1,0))))</f>
        <v/>
      </c>
      <c r="DL11" s="52">
        <f>IF(TaxMethod="Flat Growth",BaseAnnualTax*(1+TaxFlatGrowth)^(MAX(Assumptions!DL$75-1,0)),IF(TaxMethod="PILOT / Abatement",INDEX(PILOTSchedule,1,MIN(MAX(Assumptions!DL$75,1),11)),PurchasePrice*AssessRatio*MillRate*(1+TaxFlatGrowth)^(MAX(Assumptions!DL$75-1,0))))</f>
        <v/>
      </c>
      <c r="DM11" s="52">
        <f>IF(TaxMethod="Flat Growth",BaseAnnualTax*(1+TaxFlatGrowth)^(MAX(Assumptions!DM$75-1,0)),IF(TaxMethod="PILOT / Abatement",INDEX(PILOTSchedule,1,MIN(MAX(Assumptions!DM$75,1),11)),PurchasePrice*AssessRatio*MillRate*(1+TaxFlatGrowth)^(MAX(Assumptions!DM$75-1,0))))</f>
        <v/>
      </c>
      <c r="DN11" s="52">
        <f>IF(TaxMethod="Flat Growth",BaseAnnualTax*(1+TaxFlatGrowth)^(MAX(Assumptions!DN$75-1,0)),IF(TaxMethod="PILOT / Abatement",INDEX(PILOTSchedule,1,MIN(MAX(Assumptions!DN$75,1),11)),PurchasePrice*AssessRatio*MillRate*(1+TaxFlatGrowth)^(MAX(Assumptions!DN$75-1,0))))</f>
        <v/>
      </c>
      <c r="DO11" s="52">
        <f>IF(TaxMethod="Flat Growth",BaseAnnualTax*(1+TaxFlatGrowth)^(MAX(Assumptions!DO$75-1,0)),IF(TaxMethod="PILOT / Abatement",INDEX(PILOTSchedule,1,MIN(MAX(Assumptions!DO$75,1),11)),PurchasePrice*AssessRatio*MillRate*(1+TaxFlatGrowth)^(MAX(Assumptions!DO$75-1,0))))</f>
        <v/>
      </c>
      <c r="DP11" s="52">
        <f>IF(TaxMethod="Flat Growth",BaseAnnualTax*(1+TaxFlatGrowth)^(MAX(Assumptions!DP$75-1,0)),IF(TaxMethod="PILOT / Abatement",INDEX(PILOTSchedule,1,MIN(MAX(Assumptions!DP$75,1),11)),PurchasePrice*AssessRatio*MillRate*(1+TaxFlatGrowth)^(MAX(Assumptions!DP$75-1,0))))</f>
        <v/>
      </c>
      <c r="DQ11" s="52">
        <f>IF(TaxMethod="Flat Growth",BaseAnnualTax*(1+TaxFlatGrowth)^(MAX(Assumptions!DQ$75-1,0)),IF(TaxMethod="PILOT / Abatement",INDEX(PILOTSchedule,1,MIN(MAX(Assumptions!DQ$75,1),11)),PurchasePrice*AssessRatio*MillRate*(1+TaxFlatGrowth)^(MAX(Assumptions!DQ$75-1,0))))</f>
        <v/>
      </c>
      <c r="DR11" s="52">
        <f>IF(TaxMethod="Flat Growth",BaseAnnualTax*(1+TaxFlatGrowth)^(MAX(Assumptions!DR$75-1,0)),IF(TaxMethod="PILOT / Abatement",INDEX(PILOTSchedule,1,MIN(MAX(Assumptions!DR$75,1),11)),PurchasePrice*AssessRatio*MillRate*(1+TaxFlatGrowth)^(MAX(Assumptions!DR$75-1,0))))</f>
        <v/>
      </c>
      <c r="DS11" s="52">
        <f>IF(TaxMethod="Flat Growth",BaseAnnualTax*(1+TaxFlatGrowth)^(MAX(Assumptions!DS$75-1,0)),IF(TaxMethod="PILOT / Abatement",INDEX(PILOTSchedule,1,MIN(MAX(Assumptions!DS$75,1),11)),PurchasePrice*AssessRatio*MillRate*(1+TaxFlatGrowth)^(MAX(Assumptions!DS$75-1,0))))</f>
        <v/>
      </c>
      <c r="DT11" s="52">
        <f>IF(TaxMethod="Flat Growth",BaseAnnualTax*(1+TaxFlatGrowth)^(MAX(Assumptions!DT$75-1,0)),IF(TaxMethod="PILOT / Abatement",INDEX(PILOTSchedule,1,MIN(MAX(Assumptions!DT$75,1),11)),PurchasePrice*AssessRatio*MillRate*(1+TaxFlatGrowth)^(MAX(Assumptions!DT$75-1,0))))</f>
        <v/>
      </c>
    </row>
    <row r="12">
      <c r="A12" s="3" t="inlineStr">
        <is>
          <t>Monthly tax ($/mo, neg)</t>
        </is>
      </c>
      <c r="E12" s="62">
        <f>-E$11/12*Assumptions!E$74</f>
        <v/>
      </c>
      <c r="F12" s="62">
        <f>-F$11/12*Assumptions!F$74</f>
        <v/>
      </c>
      <c r="G12" s="62">
        <f>-G$11/12*Assumptions!G$74</f>
        <v/>
      </c>
      <c r="H12" s="62">
        <f>-H$11/12*Assumptions!H$74</f>
        <v/>
      </c>
      <c r="I12" s="62">
        <f>-I$11/12*Assumptions!I$74</f>
        <v/>
      </c>
      <c r="J12" s="62">
        <f>-J$11/12*Assumptions!J$74</f>
        <v/>
      </c>
      <c r="K12" s="62">
        <f>-K$11/12*Assumptions!K$74</f>
        <v/>
      </c>
      <c r="L12" s="62">
        <f>-L$11/12*Assumptions!L$74</f>
        <v/>
      </c>
      <c r="M12" s="62">
        <f>-M$11/12*Assumptions!M$74</f>
        <v/>
      </c>
      <c r="N12" s="62">
        <f>-N$11/12*Assumptions!N$74</f>
        <v/>
      </c>
      <c r="O12" s="62">
        <f>-O$11/12*Assumptions!O$74</f>
        <v/>
      </c>
      <c r="P12" s="62">
        <f>-P$11/12*Assumptions!P$74</f>
        <v/>
      </c>
      <c r="Q12" s="62">
        <f>-Q$11/12*Assumptions!Q$74</f>
        <v/>
      </c>
      <c r="R12" s="62">
        <f>-R$11/12*Assumptions!R$74</f>
        <v/>
      </c>
      <c r="S12" s="62">
        <f>-S$11/12*Assumptions!S$74</f>
        <v/>
      </c>
      <c r="T12" s="62">
        <f>-T$11/12*Assumptions!T$74</f>
        <v/>
      </c>
      <c r="U12" s="62">
        <f>-U$11/12*Assumptions!U$74</f>
        <v/>
      </c>
      <c r="V12" s="62">
        <f>-V$11/12*Assumptions!V$74</f>
        <v/>
      </c>
      <c r="W12" s="62">
        <f>-W$11/12*Assumptions!W$74</f>
        <v/>
      </c>
      <c r="X12" s="62">
        <f>-X$11/12*Assumptions!X$74</f>
        <v/>
      </c>
      <c r="Y12" s="62">
        <f>-Y$11/12*Assumptions!Y$74</f>
        <v/>
      </c>
      <c r="Z12" s="62">
        <f>-Z$11/12*Assumptions!Z$74</f>
        <v/>
      </c>
      <c r="AA12" s="62">
        <f>-AA$11/12*Assumptions!AA$74</f>
        <v/>
      </c>
      <c r="AB12" s="62">
        <f>-AB$11/12*Assumptions!AB$74</f>
        <v/>
      </c>
      <c r="AC12" s="62">
        <f>-AC$11/12*Assumptions!AC$74</f>
        <v/>
      </c>
      <c r="AD12" s="62">
        <f>-AD$11/12*Assumptions!AD$74</f>
        <v/>
      </c>
      <c r="AE12" s="62">
        <f>-AE$11/12*Assumptions!AE$74</f>
        <v/>
      </c>
      <c r="AF12" s="62">
        <f>-AF$11/12*Assumptions!AF$74</f>
        <v/>
      </c>
      <c r="AG12" s="62">
        <f>-AG$11/12*Assumptions!AG$74</f>
        <v/>
      </c>
      <c r="AH12" s="62">
        <f>-AH$11/12*Assumptions!AH$74</f>
        <v/>
      </c>
      <c r="AI12" s="62">
        <f>-AI$11/12*Assumptions!AI$74</f>
        <v/>
      </c>
      <c r="AJ12" s="62">
        <f>-AJ$11/12*Assumptions!AJ$74</f>
        <v/>
      </c>
      <c r="AK12" s="62">
        <f>-AK$11/12*Assumptions!AK$74</f>
        <v/>
      </c>
      <c r="AL12" s="62">
        <f>-AL$11/12*Assumptions!AL$74</f>
        <v/>
      </c>
      <c r="AM12" s="62">
        <f>-AM$11/12*Assumptions!AM$74</f>
        <v/>
      </c>
      <c r="AN12" s="62">
        <f>-AN$11/12*Assumptions!AN$74</f>
        <v/>
      </c>
      <c r="AO12" s="62">
        <f>-AO$11/12*Assumptions!AO$74</f>
        <v/>
      </c>
      <c r="AP12" s="62">
        <f>-AP$11/12*Assumptions!AP$74</f>
        <v/>
      </c>
      <c r="AQ12" s="62">
        <f>-AQ$11/12*Assumptions!AQ$74</f>
        <v/>
      </c>
      <c r="AR12" s="62">
        <f>-AR$11/12*Assumptions!AR$74</f>
        <v/>
      </c>
      <c r="AS12" s="62">
        <f>-AS$11/12*Assumptions!AS$74</f>
        <v/>
      </c>
      <c r="AT12" s="62">
        <f>-AT$11/12*Assumptions!AT$74</f>
        <v/>
      </c>
      <c r="AU12" s="62">
        <f>-AU$11/12*Assumptions!AU$74</f>
        <v/>
      </c>
      <c r="AV12" s="62">
        <f>-AV$11/12*Assumptions!AV$74</f>
        <v/>
      </c>
      <c r="AW12" s="62">
        <f>-AW$11/12*Assumptions!AW$74</f>
        <v/>
      </c>
      <c r="AX12" s="62">
        <f>-AX$11/12*Assumptions!AX$74</f>
        <v/>
      </c>
      <c r="AY12" s="62">
        <f>-AY$11/12*Assumptions!AY$74</f>
        <v/>
      </c>
      <c r="AZ12" s="62">
        <f>-AZ$11/12*Assumptions!AZ$74</f>
        <v/>
      </c>
      <c r="BA12" s="62">
        <f>-BA$11/12*Assumptions!BA$74</f>
        <v/>
      </c>
      <c r="BB12" s="62">
        <f>-BB$11/12*Assumptions!BB$74</f>
        <v/>
      </c>
      <c r="BC12" s="62">
        <f>-BC$11/12*Assumptions!BC$74</f>
        <v/>
      </c>
      <c r="BD12" s="62">
        <f>-BD$11/12*Assumptions!BD$74</f>
        <v/>
      </c>
      <c r="BE12" s="62">
        <f>-BE$11/12*Assumptions!BE$74</f>
        <v/>
      </c>
      <c r="BF12" s="62">
        <f>-BF$11/12*Assumptions!BF$74</f>
        <v/>
      </c>
      <c r="BG12" s="62">
        <f>-BG$11/12*Assumptions!BG$74</f>
        <v/>
      </c>
      <c r="BH12" s="62">
        <f>-BH$11/12*Assumptions!BH$74</f>
        <v/>
      </c>
      <c r="BI12" s="62">
        <f>-BI$11/12*Assumptions!BI$74</f>
        <v/>
      </c>
      <c r="BJ12" s="62">
        <f>-BJ$11/12*Assumptions!BJ$74</f>
        <v/>
      </c>
      <c r="BK12" s="62">
        <f>-BK$11/12*Assumptions!BK$74</f>
        <v/>
      </c>
      <c r="BL12" s="62">
        <f>-BL$11/12*Assumptions!BL$74</f>
        <v/>
      </c>
      <c r="BM12" s="62">
        <f>-BM$11/12*Assumptions!BM$74</f>
        <v/>
      </c>
      <c r="BN12" s="62">
        <f>-BN$11/12*Assumptions!BN$74</f>
        <v/>
      </c>
      <c r="BO12" s="62">
        <f>-BO$11/12*Assumptions!BO$74</f>
        <v/>
      </c>
      <c r="BP12" s="62">
        <f>-BP$11/12*Assumptions!BP$74</f>
        <v/>
      </c>
      <c r="BQ12" s="62">
        <f>-BQ$11/12*Assumptions!BQ$74</f>
        <v/>
      </c>
      <c r="BR12" s="62">
        <f>-BR$11/12*Assumptions!BR$74</f>
        <v/>
      </c>
      <c r="BS12" s="62">
        <f>-BS$11/12*Assumptions!BS$74</f>
        <v/>
      </c>
      <c r="BT12" s="62">
        <f>-BT$11/12*Assumptions!BT$74</f>
        <v/>
      </c>
      <c r="BU12" s="62">
        <f>-BU$11/12*Assumptions!BU$74</f>
        <v/>
      </c>
      <c r="BV12" s="62">
        <f>-BV$11/12*Assumptions!BV$74</f>
        <v/>
      </c>
      <c r="BW12" s="62">
        <f>-BW$11/12*Assumptions!BW$74</f>
        <v/>
      </c>
      <c r="BX12" s="62">
        <f>-BX$11/12*Assumptions!BX$74</f>
        <v/>
      </c>
      <c r="BY12" s="62">
        <f>-BY$11/12*Assumptions!BY$74</f>
        <v/>
      </c>
      <c r="BZ12" s="62">
        <f>-BZ$11/12*Assumptions!BZ$74</f>
        <v/>
      </c>
      <c r="CA12" s="62">
        <f>-CA$11/12*Assumptions!CA$74</f>
        <v/>
      </c>
      <c r="CB12" s="62">
        <f>-CB$11/12*Assumptions!CB$74</f>
        <v/>
      </c>
      <c r="CC12" s="62">
        <f>-CC$11/12*Assumptions!CC$74</f>
        <v/>
      </c>
      <c r="CD12" s="62">
        <f>-CD$11/12*Assumptions!CD$74</f>
        <v/>
      </c>
      <c r="CE12" s="62">
        <f>-CE$11/12*Assumptions!CE$74</f>
        <v/>
      </c>
      <c r="CF12" s="62">
        <f>-CF$11/12*Assumptions!CF$74</f>
        <v/>
      </c>
      <c r="CG12" s="62">
        <f>-CG$11/12*Assumptions!CG$74</f>
        <v/>
      </c>
      <c r="CH12" s="62">
        <f>-CH$11/12*Assumptions!CH$74</f>
        <v/>
      </c>
      <c r="CI12" s="62">
        <f>-CI$11/12*Assumptions!CI$74</f>
        <v/>
      </c>
      <c r="CJ12" s="62">
        <f>-CJ$11/12*Assumptions!CJ$74</f>
        <v/>
      </c>
      <c r="CK12" s="62">
        <f>-CK$11/12*Assumptions!CK$74</f>
        <v/>
      </c>
      <c r="CL12" s="62">
        <f>-CL$11/12*Assumptions!CL$74</f>
        <v/>
      </c>
      <c r="CM12" s="62">
        <f>-CM$11/12*Assumptions!CM$74</f>
        <v/>
      </c>
      <c r="CN12" s="62">
        <f>-CN$11/12*Assumptions!CN$74</f>
        <v/>
      </c>
      <c r="CO12" s="62">
        <f>-CO$11/12*Assumptions!CO$74</f>
        <v/>
      </c>
      <c r="CP12" s="62">
        <f>-CP$11/12*Assumptions!CP$74</f>
        <v/>
      </c>
      <c r="CQ12" s="62">
        <f>-CQ$11/12*Assumptions!CQ$74</f>
        <v/>
      </c>
      <c r="CR12" s="62">
        <f>-CR$11/12*Assumptions!CR$74</f>
        <v/>
      </c>
      <c r="CS12" s="62">
        <f>-CS$11/12*Assumptions!CS$74</f>
        <v/>
      </c>
      <c r="CT12" s="62">
        <f>-CT$11/12*Assumptions!CT$74</f>
        <v/>
      </c>
      <c r="CU12" s="62">
        <f>-CU$11/12*Assumptions!CU$74</f>
        <v/>
      </c>
      <c r="CV12" s="62">
        <f>-CV$11/12*Assumptions!CV$74</f>
        <v/>
      </c>
      <c r="CW12" s="62">
        <f>-CW$11/12*Assumptions!CW$74</f>
        <v/>
      </c>
      <c r="CX12" s="62">
        <f>-CX$11/12*Assumptions!CX$74</f>
        <v/>
      </c>
      <c r="CY12" s="62">
        <f>-CY$11/12*Assumptions!CY$74</f>
        <v/>
      </c>
      <c r="CZ12" s="62">
        <f>-CZ$11/12*Assumptions!CZ$74</f>
        <v/>
      </c>
      <c r="DA12" s="62">
        <f>-DA$11/12*Assumptions!DA$74</f>
        <v/>
      </c>
      <c r="DB12" s="62">
        <f>-DB$11/12*Assumptions!DB$74</f>
        <v/>
      </c>
      <c r="DC12" s="62">
        <f>-DC$11/12*Assumptions!DC$74</f>
        <v/>
      </c>
      <c r="DD12" s="62">
        <f>-DD$11/12*Assumptions!DD$74</f>
        <v/>
      </c>
      <c r="DE12" s="62">
        <f>-DE$11/12*Assumptions!DE$74</f>
        <v/>
      </c>
      <c r="DF12" s="62">
        <f>-DF$11/12*Assumptions!DF$74</f>
        <v/>
      </c>
      <c r="DG12" s="62">
        <f>-DG$11/12*Assumptions!DG$74</f>
        <v/>
      </c>
      <c r="DH12" s="62">
        <f>-DH$11/12*Assumptions!DH$74</f>
        <v/>
      </c>
      <c r="DI12" s="62">
        <f>-DI$11/12*Assumptions!DI$74</f>
        <v/>
      </c>
      <c r="DJ12" s="62">
        <f>-DJ$11/12*Assumptions!DJ$74</f>
        <v/>
      </c>
      <c r="DK12" s="62">
        <f>-DK$11/12*Assumptions!DK$74</f>
        <v/>
      </c>
      <c r="DL12" s="62">
        <f>-DL$11/12*Assumptions!DL$74</f>
        <v/>
      </c>
      <c r="DM12" s="62">
        <f>-DM$11/12*Assumptions!DM$74</f>
        <v/>
      </c>
      <c r="DN12" s="62">
        <f>-DN$11/12*Assumptions!DN$74</f>
        <v/>
      </c>
      <c r="DO12" s="62">
        <f>-DO$11/12*Assumptions!DO$74</f>
        <v/>
      </c>
      <c r="DP12" s="62">
        <f>-DP$11/12*Assumptions!DP$74</f>
        <v/>
      </c>
      <c r="DQ12" s="62">
        <f>-DQ$11/12*Assumptions!DQ$74</f>
        <v/>
      </c>
      <c r="DR12" s="62">
        <f>-DR$11/12*Assumptions!DR$74</f>
        <v/>
      </c>
      <c r="DS12" s="62">
        <f>-DS$11/12*Assumptions!DS$74</f>
        <v/>
      </c>
      <c r="DT12" s="62">
        <f>-DT$11/12*Assumptions!DT$74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T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CAPEX / CAPITAL BUDGET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Capital budget buckets</t>
        </is>
      </c>
      <c r="B5" s="9" t="n"/>
      <c r="C5" s="9" t="n"/>
      <c r="D5" s="9" t="n"/>
      <c r="E5" s="9" t="n"/>
      <c r="F5" s="9" t="n"/>
    </row>
    <row r="6">
      <c r="A6" s="37" t="inlineStr">
        <is>
          <t>Bucket</t>
        </is>
      </c>
      <c r="B6" s="37" t="inlineStr">
        <is>
          <t>Amount ($)</t>
        </is>
      </c>
      <c r="C6" s="37" t="inlineStr">
        <is>
          <t>Funding</t>
        </is>
      </c>
      <c r="D6" s="37" t="inlineStr">
        <is>
          <t>Spend start (mo)</t>
        </is>
      </c>
      <c r="E6" s="37" t="inlineStr">
        <is>
          <t>Spend months</t>
        </is>
      </c>
    </row>
    <row r="7">
      <c r="A7" s="11" t="inlineStr">
        <is>
          <t>Immediate/deferred repairs</t>
        </is>
      </c>
      <c r="B7" s="55" t="n">
        <v>1500000</v>
      </c>
      <c r="C7" s="10">
        <f>Fund_Repairs</f>
        <v/>
      </c>
      <c r="D7" s="29" t="n">
        <v>1</v>
      </c>
      <c r="E7" s="29" t="n">
        <v>6</v>
      </c>
    </row>
    <row r="8">
      <c r="A8" s="11" t="inlineStr">
        <is>
          <t>Value-add unit renovation</t>
        </is>
      </c>
      <c r="B8" s="52">
        <f>IF(BusinessPlanMode="Value-Add",RenoCostUnit*MF_UnitCount,0)</f>
        <v/>
      </c>
      <c r="C8" s="10">
        <f>Fund_Reno</f>
        <v/>
      </c>
      <c r="D8" s="29" t="n">
        <v>1</v>
      </c>
      <c r="E8" s="29" t="n">
        <v>24</v>
      </c>
    </row>
    <row r="9">
      <c r="A9" s="11" t="inlineStr">
        <is>
          <t>Retail TI/LC reserve</t>
        </is>
      </c>
      <c r="B9" s="55" t="n">
        <v>1200000</v>
      </c>
      <c r="C9" s="10">
        <f>Fund_TILC</f>
        <v/>
      </c>
      <c r="D9" s="29" t="n">
        <v>1</v>
      </c>
      <c r="E9" s="29" t="n">
        <v>36</v>
      </c>
    </row>
    <row r="10">
      <c r="A10" s="11" t="inlineStr">
        <is>
          <t>Contingency</t>
        </is>
      </c>
      <c r="B10" s="55" t="n">
        <v>600000</v>
      </c>
      <c r="C10" s="10">
        <f>Fund_Contingency</f>
        <v/>
      </c>
      <c r="D10" s="29" t="n">
        <v>1</v>
      </c>
      <c r="E10" s="29" t="n">
        <v>12</v>
      </c>
    </row>
    <row r="11">
      <c r="A11" s="3" t="inlineStr">
        <is>
          <t>Total capital budget</t>
        </is>
      </c>
      <c r="B11" s="52">
        <f>SUM(B7:B10)</f>
        <v/>
      </c>
    </row>
    <row r="12">
      <c r="A12" s="10" t="inlineStr">
        <is>
          <t>Equity-funded capital</t>
        </is>
      </c>
      <c r="B12" s="52">
        <f>SUMIF(C7:C10,"Equity",B7:B10)</f>
        <v/>
      </c>
    </row>
    <row r="13">
      <c r="A13" s="10" t="inlineStr">
        <is>
          <t>Financed capital (loan holdback)</t>
        </is>
      </c>
      <c r="B13" s="52">
        <f>SUMIF(C7:C10,"Financed",B7:B10)</f>
        <v/>
      </c>
    </row>
    <row r="15">
      <c r="A15" s="8" t="inlineStr">
        <is>
          <t>MONTHLY CAPITAL SPEND ($/mo, neg)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3" t="inlineStr">
        <is>
          <t>Month index</t>
        </is>
      </c>
      <c r="E16" s="6">
        <f>Assumptions!E$72</f>
        <v/>
      </c>
      <c r="F16" s="6">
        <f>Assumptions!F$72</f>
        <v/>
      </c>
      <c r="G16" s="6">
        <f>Assumptions!G$72</f>
        <v/>
      </c>
      <c r="H16" s="6">
        <f>Assumptions!H$72</f>
        <v/>
      </c>
      <c r="I16" s="6">
        <f>Assumptions!I$72</f>
        <v/>
      </c>
      <c r="J16" s="6">
        <f>Assumptions!J$72</f>
        <v/>
      </c>
      <c r="K16" s="6">
        <f>Assumptions!K$72</f>
        <v/>
      </c>
      <c r="L16" s="6">
        <f>Assumptions!L$72</f>
        <v/>
      </c>
      <c r="M16" s="6">
        <f>Assumptions!M$72</f>
        <v/>
      </c>
      <c r="N16" s="6">
        <f>Assumptions!N$72</f>
        <v/>
      </c>
      <c r="O16" s="6">
        <f>Assumptions!O$72</f>
        <v/>
      </c>
      <c r="P16" s="6">
        <f>Assumptions!P$72</f>
        <v/>
      </c>
      <c r="Q16" s="6">
        <f>Assumptions!Q$72</f>
        <v/>
      </c>
      <c r="R16" s="6">
        <f>Assumptions!R$72</f>
        <v/>
      </c>
      <c r="S16" s="6">
        <f>Assumptions!S$72</f>
        <v/>
      </c>
      <c r="T16" s="6">
        <f>Assumptions!T$72</f>
        <v/>
      </c>
      <c r="U16" s="6">
        <f>Assumptions!U$72</f>
        <v/>
      </c>
      <c r="V16" s="6">
        <f>Assumptions!V$72</f>
        <v/>
      </c>
      <c r="W16" s="6">
        <f>Assumptions!W$72</f>
        <v/>
      </c>
      <c r="X16" s="6">
        <f>Assumptions!X$72</f>
        <v/>
      </c>
      <c r="Y16" s="6">
        <f>Assumptions!Y$72</f>
        <v/>
      </c>
      <c r="Z16" s="6">
        <f>Assumptions!Z$72</f>
        <v/>
      </c>
      <c r="AA16" s="6">
        <f>Assumptions!AA$72</f>
        <v/>
      </c>
      <c r="AB16" s="6">
        <f>Assumptions!AB$72</f>
        <v/>
      </c>
      <c r="AC16" s="6">
        <f>Assumptions!AC$72</f>
        <v/>
      </c>
      <c r="AD16" s="6">
        <f>Assumptions!AD$72</f>
        <v/>
      </c>
      <c r="AE16" s="6">
        <f>Assumptions!AE$72</f>
        <v/>
      </c>
      <c r="AF16" s="6">
        <f>Assumptions!AF$72</f>
        <v/>
      </c>
      <c r="AG16" s="6">
        <f>Assumptions!AG$72</f>
        <v/>
      </c>
      <c r="AH16" s="6">
        <f>Assumptions!AH$72</f>
        <v/>
      </c>
      <c r="AI16" s="6">
        <f>Assumptions!AI$72</f>
        <v/>
      </c>
      <c r="AJ16" s="6">
        <f>Assumptions!AJ$72</f>
        <v/>
      </c>
      <c r="AK16" s="6">
        <f>Assumptions!AK$72</f>
        <v/>
      </c>
      <c r="AL16" s="6">
        <f>Assumptions!AL$72</f>
        <v/>
      </c>
      <c r="AM16" s="6">
        <f>Assumptions!AM$72</f>
        <v/>
      </c>
      <c r="AN16" s="6">
        <f>Assumptions!AN$72</f>
        <v/>
      </c>
      <c r="AO16" s="6">
        <f>Assumptions!AO$72</f>
        <v/>
      </c>
      <c r="AP16" s="6">
        <f>Assumptions!AP$72</f>
        <v/>
      </c>
      <c r="AQ16" s="6">
        <f>Assumptions!AQ$72</f>
        <v/>
      </c>
      <c r="AR16" s="6">
        <f>Assumptions!AR$72</f>
        <v/>
      </c>
      <c r="AS16" s="6">
        <f>Assumptions!AS$72</f>
        <v/>
      </c>
      <c r="AT16" s="6">
        <f>Assumptions!AT$72</f>
        <v/>
      </c>
      <c r="AU16" s="6">
        <f>Assumptions!AU$72</f>
        <v/>
      </c>
      <c r="AV16" s="6">
        <f>Assumptions!AV$72</f>
        <v/>
      </c>
      <c r="AW16" s="6">
        <f>Assumptions!AW$72</f>
        <v/>
      </c>
      <c r="AX16" s="6">
        <f>Assumptions!AX$72</f>
        <v/>
      </c>
      <c r="AY16" s="6">
        <f>Assumptions!AY$72</f>
        <v/>
      </c>
      <c r="AZ16" s="6">
        <f>Assumptions!AZ$72</f>
        <v/>
      </c>
      <c r="BA16" s="6">
        <f>Assumptions!BA$72</f>
        <v/>
      </c>
      <c r="BB16" s="6">
        <f>Assumptions!BB$72</f>
        <v/>
      </c>
      <c r="BC16" s="6">
        <f>Assumptions!BC$72</f>
        <v/>
      </c>
      <c r="BD16" s="6">
        <f>Assumptions!BD$72</f>
        <v/>
      </c>
      <c r="BE16" s="6">
        <f>Assumptions!BE$72</f>
        <v/>
      </c>
      <c r="BF16" s="6">
        <f>Assumptions!BF$72</f>
        <v/>
      </c>
      <c r="BG16" s="6">
        <f>Assumptions!BG$72</f>
        <v/>
      </c>
      <c r="BH16" s="6">
        <f>Assumptions!BH$72</f>
        <v/>
      </c>
      <c r="BI16" s="6">
        <f>Assumptions!BI$72</f>
        <v/>
      </c>
      <c r="BJ16" s="6">
        <f>Assumptions!BJ$72</f>
        <v/>
      </c>
      <c r="BK16" s="6">
        <f>Assumptions!BK$72</f>
        <v/>
      </c>
      <c r="BL16" s="6">
        <f>Assumptions!BL$72</f>
        <v/>
      </c>
      <c r="BM16" s="6">
        <f>Assumptions!BM$72</f>
        <v/>
      </c>
      <c r="BN16" s="6">
        <f>Assumptions!BN$72</f>
        <v/>
      </c>
      <c r="BO16" s="6">
        <f>Assumptions!BO$72</f>
        <v/>
      </c>
      <c r="BP16" s="6">
        <f>Assumptions!BP$72</f>
        <v/>
      </c>
      <c r="BQ16" s="6">
        <f>Assumptions!BQ$72</f>
        <v/>
      </c>
      <c r="BR16" s="6">
        <f>Assumptions!BR$72</f>
        <v/>
      </c>
      <c r="BS16" s="6">
        <f>Assumptions!BS$72</f>
        <v/>
      </c>
      <c r="BT16" s="6">
        <f>Assumptions!BT$72</f>
        <v/>
      </c>
      <c r="BU16" s="6">
        <f>Assumptions!BU$72</f>
        <v/>
      </c>
      <c r="BV16" s="6">
        <f>Assumptions!BV$72</f>
        <v/>
      </c>
      <c r="BW16" s="6">
        <f>Assumptions!BW$72</f>
        <v/>
      </c>
      <c r="BX16" s="6">
        <f>Assumptions!BX$72</f>
        <v/>
      </c>
      <c r="BY16" s="6">
        <f>Assumptions!BY$72</f>
        <v/>
      </c>
      <c r="BZ16" s="6">
        <f>Assumptions!BZ$72</f>
        <v/>
      </c>
      <c r="CA16" s="6">
        <f>Assumptions!CA$72</f>
        <v/>
      </c>
      <c r="CB16" s="6">
        <f>Assumptions!CB$72</f>
        <v/>
      </c>
      <c r="CC16" s="6">
        <f>Assumptions!CC$72</f>
        <v/>
      </c>
      <c r="CD16" s="6">
        <f>Assumptions!CD$72</f>
        <v/>
      </c>
      <c r="CE16" s="6">
        <f>Assumptions!CE$72</f>
        <v/>
      </c>
      <c r="CF16" s="6">
        <f>Assumptions!CF$72</f>
        <v/>
      </c>
      <c r="CG16" s="6">
        <f>Assumptions!CG$72</f>
        <v/>
      </c>
      <c r="CH16" s="6">
        <f>Assumptions!CH$72</f>
        <v/>
      </c>
      <c r="CI16" s="6">
        <f>Assumptions!CI$72</f>
        <v/>
      </c>
      <c r="CJ16" s="6">
        <f>Assumptions!CJ$72</f>
        <v/>
      </c>
      <c r="CK16" s="6">
        <f>Assumptions!CK$72</f>
        <v/>
      </c>
      <c r="CL16" s="6">
        <f>Assumptions!CL$72</f>
        <v/>
      </c>
      <c r="CM16" s="6">
        <f>Assumptions!CM$72</f>
        <v/>
      </c>
      <c r="CN16" s="6">
        <f>Assumptions!CN$72</f>
        <v/>
      </c>
      <c r="CO16" s="6">
        <f>Assumptions!CO$72</f>
        <v/>
      </c>
      <c r="CP16" s="6">
        <f>Assumptions!CP$72</f>
        <v/>
      </c>
      <c r="CQ16" s="6">
        <f>Assumptions!CQ$72</f>
        <v/>
      </c>
      <c r="CR16" s="6">
        <f>Assumptions!CR$72</f>
        <v/>
      </c>
      <c r="CS16" s="6">
        <f>Assumptions!CS$72</f>
        <v/>
      </c>
      <c r="CT16" s="6">
        <f>Assumptions!CT$72</f>
        <v/>
      </c>
      <c r="CU16" s="6">
        <f>Assumptions!CU$72</f>
        <v/>
      </c>
      <c r="CV16" s="6">
        <f>Assumptions!CV$72</f>
        <v/>
      </c>
      <c r="CW16" s="6">
        <f>Assumptions!CW$72</f>
        <v/>
      </c>
      <c r="CX16" s="6">
        <f>Assumptions!CX$72</f>
        <v/>
      </c>
      <c r="CY16" s="6">
        <f>Assumptions!CY$72</f>
        <v/>
      </c>
      <c r="CZ16" s="6">
        <f>Assumptions!CZ$72</f>
        <v/>
      </c>
      <c r="DA16" s="6">
        <f>Assumptions!DA$72</f>
        <v/>
      </c>
      <c r="DB16" s="6">
        <f>Assumptions!DB$72</f>
        <v/>
      </c>
      <c r="DC16" s="6">
        <f>Assumptions!DC$72</f>
        <v/>
      </c>
      <c r="DD16" s="6">
        <f>Assumptions!DD$72</f>
        <v/>
      </c>
      <c r="DE16" s="6">
        <f>Assumptions!DE$72</f>
        <v/>
      </c>
      <c r="DF16" s="6">
        <f>Assumptions!DF$72</f>
        <v/>
      </c>
      <c r="DG16" s="6">
        <f>Assumptions!DG$72</f>
        <v/>
      </c>
      <c r="DH16" s="6">
        <f>Assumptions!DH$72</f>
        <v/>
      </c>
      <c r="DI16" s="6">
        <f>Assumptions!DI$72</f>
        <v/>
      </c>
      <c r="DJ16" s="6">
        <f>Assumptions!DJ$72</f>
        <v/>
      </c>
      <c r="DK16" s="6">
        <f>Assumptions!DK$72</f>
        <v/>
      </c>
      <c r="DL16" s="6">
        <f>Assumptions!DL$72</f>
        <v/>
      </c>
      <c r="DM16" s="6">
        <f>Assumptions!DM$72</f>
        <v/>
      </c>
      <c r="DN16" s="6">
        <f>Assumptions!DN$72</f>
        <v/>
      </c>
      <c r="DO16" s="6">
        <f>Assumptions!DO$72</f>
        <v/>
      </c>
      <c r="DP16" s="6">
        <f>Assumptions!DP$72</f>
        <v/>
      </c>
      <c r="DQ16" s="6">
        <f>Assumptions!DQ$72</f>
        <v/>
      </c>
      <c r="DR16" s="6">
        <f>Assumptions!DR$72</f>
        <v/>
      </c>
      <c r="DS16" s="6">
        <f>Assumptions!DS$72</f>
        <v/>
      </c>
      <c r="DT16" s="6">
        <f>Assumptions!DT$72</f>
        <v/>
      </c>
    </row>
    <row r="17">
      <c r="A17" s="10" t="inlineStr">
        <is>
          <t>Capital budget spend ($/mo, neg)</t>
        </is>
      </c>
      <c r="E17" s="52">
        <f>-(IF(AND(Assumptions!E$72&gt;=$D$7,Assumptions!E$72&lt;$D$7+$E$7),$B$7/$E$7,0)+IF(AND(Assumptions!E$72&gt;=$D$8,Assumptions!E$72&lt;$D$8+$E$8),$B$8/$E$8,0)+IF(AND(Assumptions!E$72&gt;=$D$9,Assumptions!E$72&lt;$D$9+$E$9),$B$9/$E$9,0)+IF(AND(Assumptions!E$72&gt;=$D$10,Assumptions!E$72&lt;$D$10+$E$10),$B$10/$E$10,0))</f>
        <v/>
      </c>
      <c r="F17" s="52">
        <f>-(IF(AND(Assumptions!F$72&gt;=$D$7,Assumptions!F$72&lt;$D$7+$E$7),$B$7/$E$7,0)+IF(AND(Assumptions!F$72&gt;=$D$8,Assumptions!F$72&lt;$D$8+$E$8),$B$8/$E$8,0)+IF(AND(Assumptions!F$72&gt;=$D$9,Assumptions!F$72&lt;$D$9+$E$9),$B$9/$E$9,0)+IF(AND(Assumptions!F$72&gt;=$D$10,Assumptions!F$72&lt;$D$10+$E$10),$B$10/$E$10,0))</f>
        <v/>
      </c>
      <c r="G17" s="52">
        <f>-(IF(AND(Assumptions!G$72&gt;=$D$7,Assumptions!G$72&lt;$D$7+$E$7),$B$7/$E$7,0)+IF(AND(Assumptions!G$72&gt;=$D$8,Assumptions!G$72&lt;$D$8+$E$8),$B$8/$E$8,0)+IF(AND(Assumptions!G$72&gt;=$D$9,Assumptions!G$72&lt;$D$9+$E$9),$B$9/$E$9,0)+IF(AND(Assumptions!G$72&gt;=$D$10,Assumptions!G$72&lt;$D$10+$E$10),$B$10/$E$10,0))</f>
        <v/>
      </c>
      <c r="H17" s="52">
        <f>-(IF(AND(Assumptions!H$72&gt;=$D$7,Assumptions!H$72&lt;$D$7+$E$7),$B$7/$E$7,0)+IF(AND(Assumptions!H$72&gt;=$D$8,Assumptions!H$72&lt;$D$8+$E$8),$B$8/$E$8,0)+IF(AND(Assumptions!H$72&gt;=$D$9,Assumptions!H$72&lt;$D$9+$E$9),$B$9/$E$9,0)+IF(AND(Assumptions!H$72&gt;=$D$10,Assumptions!H$72&lt;$D$10+$E$10),$B$10/$E$10,0))</f>
        <v/>
      </c>
      <c r="I17" s="52">
        <f>-(IF(AND(Assumptions!I$72&gt;=$D$7,Assumptions!I$72&lt;$D$7+$E$7),$B$7/$E$7,0)+IF(AND(Assumptions!I$72&gt;=$D$8,Assumptions!I$72&lt;$D$8+$E$8),$B$8/$E$8,0)+IF(AND(Assumptions!I$72&gt;=$D$9,Assumptions!I$72&lt;$D$9+$E$9),$B$9/$E$9,0)+IF(AND(Assumptions!I$72&gt;=$D$10,Assumptions!I$72&lt;$D$10+$E$10),$B$10/$E$10,0))</f>
        <v/>
      </c>
      <c r="J17" s="52">
        <f>-(IF(AND(Assumptions!J$72&gt;=$D$7,Assumptions!J$72&lt;$D$7+$E$7),$B$7/$E$7,0)+IF(AND(Assumptions!J$72&gt;=$D$8,Assumptions!J$72&lt;$D$8+$E$8),$B$8/$E$8,0)+IF(AND(Assumptions!J$72&gt;=$D$9,Assumptions!J$72&lt;$D$9+$E$9),$B$9/$E$9,0)+IF(AND(Assumptions!J$72&gt;=$D$10,Assumptions!J$72&lt;$D$10+$E$10),$B$10/$E$10,0))</f>
        <v/>
      </c>
      <c r="K17" s="52">
        <f>-(IF(AND(Assumptions!K$72&gt;=$D$7,Assumptions!K$72&lt;$D$7+$E$7),$B$7/$E$7,0)+IF(AND(Assumptions!K$72&gt;=$D$8,Assumptions!K$72&lt;$D$8+$E$8),$B$8/$E$8,0)+IF(AND(Assumptions!K$72&gt;=$D$9,Assumptions!K$72&lt;$D$9+$E$9),$B$9/$E$9,0)+IF(AND(Assumptions!K$72&gt;=$D$10,Assumptions!K$72&lt;$D$10+$E$10),$B$10/$E$10,0))</f>
        <v/>
      </c>
      <c r="L17" s="52">
        <f>-(IF(AND(Assumptions!L$72&gt;=$D$7,Assumptions!L$72&lt;$D$7+$E$7),$B$7/$E$7,0)+IF(AND(Assumptions!L$72&gt;=$D$8,Assumptions!L$72&lt;$D$8+$E$8),$B$8/$E$8,0)+IF(AND(Assumptions!L$72&gt;=$D$9,Assumptions!L$72&lt;$D$9+$E$9),$B$9/$E$9,0)+IF(AND(Assumptions!L$72&gt;=$D$10,Assumptions!L$72&lt;$D$10+$E$10),$B$10/$E$10,0))</f>
        <v/>
      </c>
      <c r="M17" s="52">
        <f>-(IF(AND(Assumptions!M$72&gt;=$D$7,Assumptions!M$72&lt;$D$7+$E$7),$B$7/$E$7,0)+IF(AND(Assumptions!M$72&gt;=$D$8,Assumptions!M$72&lt;$D$8+$E$8),$B$8/$E$8,0)+IF(AND(Assumptions!M$72&gt;=$D$9,Assumptions!M$72&lt;$D$9+$E$9),$B$9/$E$9,0)+IF(AND(Assumptions!M$72&gt;=$D$10,Assumptions!M$72&lt;$D$10+$E$10),$B$10/$E$10,0))</f>
        <v/>
      </c>
      <c r="N17" s="52">
        <f>-(IF(AND(Assumptions!N$72&gt;=$D$7,Assumptions!N$72&lt;$D$7+$E$7),$B$7/$E$7,0)+IF(AND(Assumptions!N$72&gt;=$D$8,Assumptions!N$72&lt;$D$8+$E$8),$B$8/$E$8,0)+IF(AND(Assumptions!N$72&gt;=$D$9,Assumptions!N$72&lt;$D$9+$E$9),$B$9/$E$9,0)+IF(AND(Assumptions!N$72&gt;=$D$10,Assumptions!N$72&lt;$D$10+$E$10),$B$10/$E$10,0))</f>
        <v/>
      </c>
      <c r="O17" s="52">
        <f>-(IF(AND(Assumptions!O$72&gt;=$D$7,Assumptions!O$72&lt;$D$7+$E$7),$B$7/$E$7,0)+IF(AND(Assumptions!O$72&gt;=$D$8,Assumptions!O$72&lt;$D$8+$E$8),$B$8/$E$8,0)+IF(AND(Assumptions!O$72&gt;=$D$9,Assumptions!O$72&lt;$D$9+$E$9),$B$9/$E$9,0)+IF(AND(Assumptions!O$72&gt;=$D$10,Assumptions!O$72&lt;$D$10+$E$10),$B$10/$E$10,0))</f>
        <v/>
      </c>
      <c r="P17" s="52">
        <f>-(IF(AND(Assumptions!P$72&gt;=$D$7,Assumptions!P$72&lt;$D$7+$E$7),$B$7/$E$7,0)+IF(AND(Assumptions!P$72&gt;=$D$8,Assumptions!P$72&lt;$D$8+$E$8),$B$8/$E$8,0)+IF(AND(Assumptions!P$72&gt;=$D$9,Assumptions!P$72&lt;$D$9+$E$9),$B$9/$E$9,0)+IF(AND(Assumptions!P$72&gt;=$D$10,Assumptions!P$72&lt;$D$10+$E$10),$B$10/$E$10,0))</f>
        <v/>
      </c>
      <c r="Q17" s="52">
        <f>-(IF(AND(Assumptions!Q$72&gt;=$D$7,Assumptions!Q$72&lt;$D$7+$E$7),$B$7/$E$7,0)+IF(AND(Assumptions!Q$72&gt;=$D$8,Assumptions!Q$72&lt;$D$8+$E$8),$B$8/$E$8,0)+IF(AND(Assumptions!Q$72&gt;=$D$9,Assumptions!Q$72&lt;$D$9+$E$9),$B$9/$E$9,0)+IF(AND(Assumptions!Q$72&gt;=$D$10,Assumptions!Q$72&lt;$D$10+$E$10),$B$10/$E$10,0))</f>
        <v/>
      </c>
      <c r="R17" s="52">
        <f>-(IF(AND(Assumptions!R$72&gt;=$D$7,Assumptions!R$72&lt;$D$7+$E$7),$B$7/$E$7,0)+IF(AND(Assumptions!R$72&gt;=$D$8,Assumptions!R$72&lt;$D$8+$E$8),$B$8/$E$8,0)+IF(AND(Assumptions!R$72&gt;=$D$9,Assumptions!R$72&lt;$D$9+$E$9),$B$9/$E$9,0)+IF(AND(Assumptions!R$72&gt;=$D$10,Assumptions!R$72&lt;$D$10+$E$10),$B$10/$E$10,0))</f>
        <v/>
      </c>
      <c r="S17" s="52">
        <f>-(IF(AND(Assumptions!S$72&gt;=$D$7,Assumptions!S$72&lt;$D$7+$E$7),$B$7/$E$7,0)+IF(AND(Assumptions!S$72&gt;=$D$8,Assumptions!S$72&lt;$D$8+$E$8),$B$8/$E$8,0)+IF(AND(Assumptions!S$72&gt;=$D$9,Assumptions!S$72&lt;$D$9+$E$9),$B$9/$E$9,0)+IF(AND(Assumptions!S$72&gt;=$D$10,Assumptions!S$72&lt;$D$10+$E$10),$B$10/$E$10,0))</f>
        <v/>
      </c>
      <c r="T17" s="52">
        <f>-(IF(AND(Assumptions!T$72&gt;=$D$7,Assumptions!T$72&lt;$D$7+$E$7),$B$7/$E$7,0)+IF(AND(Assumptions!T$72&gt;=$D$8,Assumptions!T$72&lt;$D$8+$E$8),$B$8/$E$8,0)+IF(AND(Assumptions!T$72&gt;=$D$9,Assumptions!T$72&lt;$D$9+$E$9),$B$9/$E$9,0)+IF(AND(Assumptions!T$72&gt;=$D$10,Assumptions!T$72&lt;$D$10+$E$10),$B$10/$E$10,0))</f>
        <v/>
      </c>
      <c r="U17" s="52">
        <f>-(IF(AND(Assumptions!U$72&gt;=$D$7,Assumptions!U$72&lt;$D$7+$E$7),$B$7/$E$7,0)+IF(AND(Assumptions!U$72&gt;=$D$8,Assumptions!U$72&lt;$D$8+$E$8),$B$8/$E$8,0)+IF(AND(Assumptions!U$72&gt;=$D$9,Assumptions!U$72&lt;$D$9+$E$9),$B$9/$E$9,0)+IF(AND(Assumptions!U$72&gt;=$D$10,Assumptions!U$72&lt;$D$10+$E$10),$B$10/$E$10,0))</f>
        <v/>
      </c>
      <c r="V17" s="52">
        <f>-(IF(AND(Assumptions!V$72&gt;=$D$7,Assumptions!V$72&lt;$D$7+$E$7),$B$7/$E$7,0)+IF(AND(Assumptions!V$72&gt;=$D$8,Assumptions!V$72&lt;$D$8+$E$8),$B$8/$E$8,0)+IF(AND(Assumptions!V$72&gt;=$D$9,Assumptions!V$72&lt;$D$9+$E$9),$B$9/$E$9,0)+IF(AND(Assumptions!V$72&gt;=$D$10,Assumptions!V$72&lt;$D$10+$E$10),$B$10/$E$10,0))</f>
        <v/>
      </c>
      <c r="W17" s="52">
        <f>-(IF(AND(Assumptions!W$72&gt;=$D$7,Assumptions!W$72&lt;$D$7+$E$7),$B$7/$E$7,0)+IF(AND(Assumptions!W$72&gt;=$D$8,Assumptions!W$72&lt;$D$8+$E$8),$B$8/$E$8,0)+IF(AND(Assumptions!W$72&gt;=$D$9,Assumptions!W$72&lt;$D$9+$E$9),$B$9/$E$9,0)+IF(AND(Assumptions!W$72&gt;=$D$10,Assumptions!W$72&lt;$D$10+$E$10),$B$10/$E$10,0))</f>
        <v/>
      </c>
      <c r="X17" s="52">
        <f>-(IF(AND(Assumptions!X$72&gt;=$D$7,Assumptions!X$72&lt;$D$7+$E$7),$B$7/$E$7,0)+IF(AND(Assumptions!X$72&gt;=$D$8,Assumptions!X$72&lt;$D$8+$E$8),$B$8/$E$8,0)+IF(AND(Assumptions!X$72&gt;=$D$9,Assumptions!X$72&lt;$D$9+$E$9),$B$9/$E$9,0)+IF(AND(Assumptions!X$72&gt;=$D$10,Assumptions!X$72&lt;$D$10+$E$10),$B$10/$E$10,0))</f>
        <v/>
      </c>
      <c r="Y17" s="52">
        <f>-(IF(AND(Assumptions!Y$72&gt;=$D$7,Assumptions!Y$72&lt;$D$7+$E$7),$B$7/$E$7,0)+IF(AND(Assumptions!Y$72&gt;=$D$8,Assumptions!Y$72&lt;$D$8+$E$8),$B$8/$E$8,0)+IF(AND(Assumptions!Y$72&gt;=$D$9,Assumptions!Y$72&lt;$D$9+$E$9),$B$9/$E$9,0)+IF(AND(Assumptions!Y$72&gt;=$D$10,Assumptions!Y$72&lt;$D$10+$E$10),$B$10/$E$10,0))</f>
        <v/>
      </c>
      <c r="Z17" s="52">
        <f>-(IF(AND(Assumptions!Z$72&gt;=$D$7,Assumptions!Z$72&lt;$D$7+$E$7),$B$7/$E$7,0)+IF(AND(Assumptions!Z$72&gt;=$D$8,Assumptions!Z$72&lt;$D$8+$E$8),$B$8/$E$8,0)+IF(AND(Assumptions!Z$72&gt;=$D$9,Assumptions!Z$72&lt;$D$9+$E$9),$B$9/$E$9,0)+IF(AND(Assumptions!Z$72&gt;=$D$10,Assumptions!Z$72&lt;$D$10+$E$10),$B$10/$E$10,0))</f>
        <v/>
      </c>
      <c r="AA17" s="52">
        <f>-(IF(AND(Assumptions!AA$72&gt;=$D$7,Assumptions!AA$72&lt;$D$7+$E$7),$B$7/$E$7,0)+IF(AND(Assumptions!AA$72&gt;=$D$8,Assumptions!AA$72&lt;$D$8+$E$8),$B$8/$E$8,0)+IF(AND(Assumptions!AA$72&gt;=$D$9,Assumptions!AA$72&lt;$D$9+$E$9),$B$9/$E$9,0)+IF(AND(Assumptions!AA$72&gt;=$D$10,Assumptions!AA$72&lt;$D$10+$E$10),$B$10/$E$10,0))</f>
        <v/>
      </c>
      <c r="AB17" s="52">
        <f>-(IF(AND(Assumptions!AB$72&gt;=$D$7,Assumptions!AB$72&lt;$D$7+$E$7),$B$7/$E$7,0)+IF(AND(Assumptions!AB$72&gt;=$D$8,Assumptions!AB$72&lt;$D$8+$E$8),$B$8/$E$8,0)+IF(AND(Assumptions!AB$72&gt;=$D$9,Assumptions!AB$72&lt;$D$9+$E$9),$B$9/$E$9,0)+IF(AND(Assumptions!AB$72&gt;=$D$10,Assumptions!AB$72&lt;$D$10+$E$10),$B$10/$E$10,0))</f>
        <v/>
      </c>
      <c r="AC17" s="52">
        <f>-(IF(AND(Assumptions!AC$72&gt;=$D$7,Assumptions!AC$72&lt;$D$7+$E$7),$B$7/$E$7,0)+IF(AND(Assumptions!AC$72&gt;=$D$8,Assumptions!AC$72&lt;$D$8+$E$8),$B$8/$E$8,0)+IF(AND(Assumptions!AC$72&gt;=$D$9,Assumptions!AC$72&lt;$D$9+$E$9),$B$9/$E$9,0)+IF(AND(Assumptions!AC$72&gt;=$D$10,Assumptions!AC$72&lt;$D$10+$E$10),$B$10/$E$10,0))</f>
        <v/>
      </c>
      <c r="AD17" s="52">
        <f>-(IF(AND(Assumptions!AD$72&gt;=$D$7,Assumptions!AD$72&lt;$D$7+$E$7),$B$7/$E$7,0)+IF(AND(Assumptions!AD$72&gt;=$D$8,Assumptions!AD$72&lt;$D$8+$E$8),$B$8/$E$8,0)+IF(AND(Assumptions!AD$72&gt;=$D$9,Assumptions!AD$72&lt;$D$9+$E$9),$B$9/$E$9,0)+IF(AND(Assumptions!AD$72&gt;=$D$10,Assumptions!AD$72&lt;$D$10+$E$10),$B$10/$E$10,0))</f>
        <v/>
      </c>
      <c r="AE17" s="52">
        <f>-(IF(AND(Assumptions!AE$72&gt;=$D$7,Assumptions!AE$72&lt;$D$7+$E$7),$B$7/$E$7,0)+IF(AND(Assumptions!AE$72&gt;=$D$8,Assumptions!AE$72&lt;$D$8+$E$8),$B$8/$E$8,0)+IF(AND(Assumptions!AE$72&gt;=$D$9,Assumptions!AE$72&lt;$D$9+$E$9),$B$9/$E$9,0)+IF(AND(Assumptions!AE$72&gt;=$D$10,Assumptions!AE$72&lt;$D$10+$E$10),$B$10/$E$10,0))</f>
        <v/>
      </c>
      <c r="AF17" s="52">
        <f>-(IF(AND(Assumptions!AF$72&gt;=$D$7,Assumptions!AF$72&lt;$D$7+$E$7),$B$7/$E$7,0)+IF(AND(Assumptions!AF$72&gt;=$D$8,Assumptions!AF$72&lt;$D$8+$E$8),$B$8/$E$8,0)+IF(AND(Assumptions!AF$72&gt;=$D$9,Assumptions!AF$72&lt;$D$9+$E$9),$B$9/$E$9,0)+IF(AND(Assumptions!AF$72&gt;=$D$10,Assumptions!AF$72&lt;$D$10+$E$10),$B$10/$E$10,0))</f>
        <v/>
      </c>
      <c r="AG17" s="52">
        <f>-(IF(AND(Assumptions!AG$72&gt;=$D$7,Assumptions!AG$72&lt;$D$7+$E$7),$B$7/$E$7,0)+IF(AND(Assumptions!AG$72&gt;=$D$8,Assumptions!AG$72&lt;$D$8+$E$8),$B$8/$E$8,0)+IF(AND(Assumptions!AG$72&gt;=$D$9,Assumptions!AG$72&lt;$D$9+$E$9),$B$9/$E$9,0)+IF(AND(Assumptions!AG$72&gt;=$D$10,Assumptions!AG$72&lt;$D$10+$E$10),$B$10/$E$10,0))</f>
        <v/>
      </c>
      <c r="AH17" s="52">
        <f>-(IF(AND(Assumptions!AH$72&gt;=$D$7,Assumptions!AH$72&lt;$D$7+$E$7),$B$7/$E$7,0)+IF(AND(Assumptions!AH$72&gt;=$D$8,Assumptions!AH$72&lt;$D$8+$E$8),$B$8/$E$8,0)+IF(AND(Assumptions!AH$72&gt;=$D$9,Assumptions!AH$72&lt;$D$9+$E$9),$B$9/$E$9,0)+IF(AND(Assumptions!AH$72&gt;=$D$10,Assumptions!AH$72&lt;$D$10+$E$10),$B$10/$E$10,0))</f>
        <v/>
      </c>
      <c r="AI17" s="52">
        <f>-(IF(AND(Assumptions!AI$72&gt;=$D$7,Assumptions!AI$72&lt;$D$7+$E$7),$B$7/$E$7,0)+IF(AND(Assumptions!AI$72&gt;=$D$8,Assumptions!AI$72&lt;$D$8+$E$8),$B$8/$E$8,0)+IF(AND(Assumptions!AI$72&gt;=$D$9,Assumptions!AI$72&lt;$D$9+$E$9),$B$9/$E$9,0)+IF(AND(Assumptions!AI$72&gt;=$D$10,Assumptions!AI$72&lt;$D$10+$E$10),$B$10/$E$10,0))</f>
        <v/>
      </c>
      <c r="AJ17" s="52">
        <f>-(IF(AND(Assumptions!AJ$72&gt;=$D$7,Assumptions!AJ$72&lt;$D$7+$E$7),$B$7/$E$7,0)+IF(AND(Assumptions!AJ$72&gt;=$D$8,Assumptions!AJ$72&lt;$D$8+$E$8),$B$8/$E$8,0)+IF(AND(Assumptions!AJ$72&gt;=$D$9,Assumptions!AJ$72&lt;$D$9+$E$9),$B$9/$E$9,0)+IF(AND(Assumptions!AJ$72&gt;=$D$10,Assumptions!AJ$72&lt;$D$10+$E$10),$B$10/$E$10,0))</f>
        <v/>
      </c>
      <c r="AK17" s="52">
        <f>-(IF(AND(Assumptions!AK$72&gt;=$D$7,Assumptions!AK$72&lt;$D$7+$E$7),$B$7/$E$7,0)+IF(AND(Assumptions!AK$72&gt;=$D$8,Assumptions!AK$72&lt;$D$8+$E$8),$B$8/$E$8,0)+IF(AND(Assumptions!AK$72&gt;=$D$9,Assumptions!AK$72&lt;$D$9+$E$9),$B$9/$E$9,0)+IF(AND(Assumptions!AK$72&gt;=$D$10,Assumptions!AK$72&lt;$D$10+$E$10),$B$10/$E$10,0))</f>
        <v/>
      </c>
      <c r="AL17" s="52">
        <f>-(IF(AND(Assumptions!AL$72&gt;=$D$7,Assumptions!AL$72&lt;$D$7+$E$7),$B$7/$E$7,0)+IF(AND(Assumptions!AL$72&gt;=$D$8,Assumptions!AL$72&lt;$D$8+$E$8),$B$8/$E$8,0)+IF(AND(Assumptions!AL$72&gt;=$D$9,Assumptions!AL$72&lt;$D$9+$E$9),$B$9/$E$9,0)+IF(AND(Assumptions!AL$72&gt;=$D$10,Assumptions!AL$72&lt;$D$10+$E$10),$B$10/$E$10,0))</f>
        <v/>
      </c>
      <c r="AM17" s="52">
        <f>-(IF(AND(Assumptions!AM$72&gt;=$D$7,Assumptions!AM$72&lt;$D$7+$E$7),$B$7/$E$7,0)+IF(AND(Assumptions!AM$72&gt;=$D$8,Assumptions!AM$72&lt;$D$8+$E$8),$B$8/$E$8,0)+IF(AND(Assumptions!AM$72&gt;=$D$9,Assumptions!AM$72&lt;$D$9+$E$9),$B$9/$E$9,0)+IF(AND(Assumptions!AM$72&gt;=$D$10,Assumptions!AM$72&lt;$D$10+$E$10),$B$10/$E$10,0))</f>
        <v/>
      </c>
      <c r="AN17" s="52">
        <f>-(IF(AND(Assumptions!AN$72&gt;=$D$7,Assumptions!AN$72&lt;$D$7+$E$7),$B$7/$E$7,0)+IF(AND(Assumptions!AN$72&gt;=$D$8,Assumptions!AN$72&lt;$D$8+$E$8),$B$8/$E$8,0)+IF(AND(Assumptions!AN$72&gt;=$D$9,Assumptions!AN$72&lt;$D$9+$E$9),$B$9/$E$9,0)+IF(AND(Assumptions!AN$72&gt;=$D$10,Assumptions!AN$72&lt;$D$10+$E$10),$B$10/$E$10,0))</f>
        <v/>
      </c>
      <c r="AO17" s="52">
        <f>-(IF(AND(Assumptions!AO$72&gt;=$D$7,Assumptions!AO$72&lt;$D$7+$E$7),$B$7/$E$7,0)+IF(AND(Assumptions!AO$72&gt;=$D$8,Assumptions!AO$72&lt;$D$8+$E$8),$B$8/$E$8,0)+IF(AND(Assumptions!AO$72&gt;=$D$9,Assumptions!AO$72&lt;$D$9+$E$9),$B$9/$E$9,0)+IF(AND(Assumptions!AO$72&gt;=$D$10,Assumptions!AO$72&lt;$D$10+$E$10),$B$10/$E$10,0))</f>
        <v/>
      </c>
      <c r="AP17" s="52">
        <f>-(IF(AND(Assumptions!AP$72&gt;=$D$7,Assumptions!AP$72&lt;$D$7+$E$7),$B$7/$E$7,0)+IF(AND(Assumptions!AP$72&gt;=$D$8,Assumptions!AP$72&lt;$D$8+$E$8),$B$8/$E$8,0)+IF(AND(Assumptions!AP$72&gt;=$D$9,Assumptions!AP$72&lt;$D$9+$E$9),$B$9/$E$9,0)+IF(AND(Assumptions!AP$72&gt;=$D$10,Assumptions!AP$72&lt;$D$10+$E$10),$B$10/$E$10,0))</f>
        <v/>
      </c>
      <c r="AQ17" s="52">
        <f>-(IF(AND(Assumptions!AQ$72&gt;=$D$7,Assumptions!AQ$72&lt;$D$7+$E$7),$B$7/$E$7,0)+IF(AND(Assumptions!AQ$72&gt;=$D$8,Assumptions!AQ$72&lt;$D$8+$E$8),$B$8/$E$8,0)+IF(AND(Assumptions!AQ$72&gt;=$D$9,Assumptions!AQ$72&lt;$D$9+$E$9),$B$9/$E$9,0)+IF(AND(Assumptions!AQ$72&gt;=$D$10,Assumptions!AQ$72&lt;$D$10+$E$10),$B$10/$E$10,0))</f>
        <v/>
      </c>
      <c r="AR17" s="52">
        <f>-(IF(AND(Assumptions!AR$72&gt;=$D$7,Assumptions!AR$72&lt;$D$7+$E$7),$B$7/$E$7,0)+IF(AND(Assumptions!AR$72&gt;=$D$8,Assumptions!AR$72&lt;$D$8+$E$8),$B$8/$E$8,0)+IF(AND(Assumptions!AR$72&gt;=$D$9,Assumptions!AR$72&lt;$D$9+$E$9),$B$9/$E$9,0)+IF(AND(Assumptions!AR$72&gt;=$D$10,Assumptions!AR$72&lt;$D$10+$E$10),$B$10/$E$10,0))</f>
        <v/>
      </c>
      <c r="AS17" s="52">
        <f>-(IF(AND(Assumptions!AS$72&gt;=$D$7,Assumptions!AS$72&lt;$D$7+$E$7),$B$7/$E$7,0)+IF(AND(Assumptions!AS$72&gt;=$D$8,Assumptions!AS$72&lt;$D$8+$E$8),$B$8/$E$8,0)+IF(AND(Assumptions!AS$72&gt;=$D$9,Assumptions!AS$72&lt;$D$9+$E$9),$B$9/$E$9,0)+IF(AND(Assumptions!AS$72&gt;=$D$10,Assumptions!AS$72&lt;$D$10+$E$10),$B$10/$E$10,0))</f>
        <v/>
      </c>
      <c r="AT17" s="52">
        <f>-(IF(AND(Assumptions!AT$72&gt;=$D$7,Assumptions!AT$72&lt;$D$7+$E$7),$B$7/$E$7,0)+IF(AND(Assumptions!AT$72&gt;=$D$8,Assumptions!AT$72&lt;$D$8+$E$8),$B$8/$E$8,0)+IF(AND(Assumptions!AT$72&gt;=$D$9,Assumptions!AT$72&lt;$D$9+$E$9),$B$9/$E$9,0)+IF(AND(Assumptions!AT$72&gt;=$D$10,Assumptions!AT$72&lt;$D$10+$E$10),$B$10/$E$10,0))</f>
        <v/>
      </c>
      <c r="AU17" s="52">
        <f>-(IF(AND(Assumptions!AU$72&gt;=$D$7,Assumptions!AU$72&lt;$D$7+$E$7),$B$7/$E$7,0)+IF(AND(Assumptions!AU$72&gt;=$D$8,Assumptions!AU$72&lt;$D$8+$E$8),$B$8/$E$8,0)+IF(AND(Assumptions!AU$72&gt;=$D$9,Assumptions!AU$72&lt;$D$9+$E$9),$B$9/$E$9,0)+IF(AND(Assumptions!AU$72&gt;=$D$10,Assumptions!AU$72&lt;$D$10+$E$10),$B$10/$E$10,0))</f>
        <v/>
      </c>
      <c r="AV17" s="52">
        <f>-(IF(AND(Assumptions!AV$72&gt;=$D$7,Assumptions!AV$72&lt;$D$7+$E$7),$B$7/$E$7,0)+IF(AND(Assumptions!AV$72&gt;=$D$8,Assumptions!AV$72&lt;$D$8+$E$8),$B$8/$E$8,0)+IF(AND(Assumptions!AV$72&gt;=$D$9,Assumptions!AV$72&lt;$D$9+$E$9),$B$9/$E$9,0)+IF(AND(Assumptions!AV$72&gt;=$D$10,Assumptions!AV$72&lt;$D$10+$E$10),$B$10/$E$10,0))</f>
        <v/>
      </c>
      <c r="AW17" s="52">
        <f>-(IF(AND(Assumptions!AW$72&gt;=$D$7,Assumptions!AW$72&lt;$D$7+$E$7),$B$7/$E$7,0)+IF(AND(Assumptions!AW$72&gt;=$D$8,Assumptions!AW$72&lt;$D$8+$E$8),$B$8/$E$8,0)+IF(AND(Assumptions!AW$72&gt;=$D$9,Assumptions!AW$72&lt;$D$9+$E$9),$B$9/$E$9,0)+IF(AND(Assumptions!AW$72&gt;=$D$10,Assumptions!AW$72&lt;$D$10+$E$10),$B$10/$E$10,0))</f>
        <v/>
      </c>
      <c r="AX17" s="52">
        <f>-(IF(AND(Assumptions!AX$72&gt;=$D$7,Assumptions!AX$72&lt;$D$7+$E$7),$B$7/$E$7,0)+IF(AND(Assumptions!AX$72&gt;=$D$8,Assumptions!AX$72&lt;$D$8+$E$8),$B$8/$E$8,0)+IF(AND(Assumptions!AX$72&gt;=$D$9,Assumptions!AX$72&lt;$D$9+$E$9),$B$9/$E$9,0)+IF(AND(Assumptions!AX$72&gt;=$D$10,Assumptions!AX$72&lt;$D$10+$E$10),$B$10/$E$10,0))</f>
        <v/>
      </c>
      <c r="AY17" s="52">
        <f>-(IF(AND(Assumptions!AY$72&gt;=$D$7,Assumptions!AY$72&lt;$D$7+$E$7),$B$7/$E$7,0)+IF(AND(Assumptions!AY$72&gt;=$D$8,Assumptions!AY$72&lt;$D$8+$E$8),$B$8/$E$8,0)+IF(AND(Assumptions!AY$72&gt;=$D$9,Assumptions!AY$72&lt;$D$9+$E$9),$B$9/$E$9,0)+IF(AND(Assumptions!AY$72&gt;=$D$10,Assumptions!AY$72&lt;$D$10+$E$10),$B$10/$E$10,0))</f>
        <v/>
      </c>
      <c r="AZ17" s="52">
        <f>-(IF(AND(Assumptions!AZ$72&gt;=$D$7,Assumptions!AZ$72&lt;$D$7+$E$7),$B$7/$E$7,0)+IF(AND(Assumptions!AZ$72&gt;=$D$8,Assumptions!AZ$72&lt;$D$8+$E$8),$B$8/$E$8,0)+IF(AND(Assumptions!AZ$72&gt;=$D$9,Assumptions!AZ$72&lt;$D$9+$E$9),$B$9/$E$9,0)+IF(AND(Assumptions!AZ$72&gt;=$D$10,Assumptions!AZ$72&lt;$D$10+$E$10),$B$10/$E$10,0))</f>
        <v/>
      </c>
      <c r="BA17" s="52">
        <f>-(IF(AND(Assumptions!BA$72&gt;=$D$7,Assumptions!BA$72&lt;$D$7+$E$7),$B$7/$E$7,0)+IF(AND(Assumptions!BA$72&gt;=$D$8,Assumptions!BA$72&lt;$D$8+$E$8),$B$8/$E$8,0)+IF(AND(Assumptions!BA$72&gt;=$D$9,Assumptions!BA$72&lt;$D$9+$E$9),$B$9/$E$9,0)+IF(AND(Assumptions!BA$72&gt;=$D$10,Assumptions!BA$72&lt;$D$10+$E$10),$B$10/$E$10,0))</f>
        <v/>
      </c>
      <c r="BB17" s="52">
        <f>-(IF(AND(Assumptions!BB$72&gt;=$D$7,Assumptions!BB$72&lt;$D$7+$E$7),$B$7/$E$7,0)+IF(AND(Assumptions!BB$72&gt;=$D$8,Assumptions!BB$72&lt;$D$8+$E$8),$B$8/$E$8,0)+IF(AND(Assumptions!BB$72&gt;=$D$9,Assumptions!BB$72&lt;$D$9+$E$9),$B$9/$E$9,0)+IF(AND(Assumptions!BB$72&gt;=$D$10,Assumptions!BB$72&lt;$D$10+$E$10),$B$10/$E$10,0))</f>
        <v/>
      </c>
      <c r="BC17" s="52">
        <f>-(IF(AND(Assumptions!BC$72&gt;=$D$7,Assumptions!BC$72&lt;$D$7+$E$7),$B$7/$E$7,0)+IF(AND(Assumptions!BC$72&gt;=$D$8,Assumptions!BC$72&lt;$D$8+$E$8),$B$8/$E$8,0)+IF(AND(Assumptions!BC$72&gt;=$D$9,Assumptions!BC$72&lt;$D$9+$E$9),$B$9/$E$9,0)+IF(AND(Assumptions!BC$72&gt;=$D$10,Assumptions!BC$72&lt;$D$10+$E$10),$B$10/$E$10,0))</f>
        <v/>
      </c>
      <c r="BD17" s="52">
        <f>-(IF(AND(Assumptions!BD$72&gt;=$D$7,Assumptions!BD$72&lt;$D$7+$E$7),$B$7/$E$7,0)+IF(AND(Assumptions!BD$72&gt;=$D$8,Assumptions!BD$72&lt;$D$8+$E$8),$B$8/$E$8,0)+IF(AND(Assumptions!BD$72&gt;=$D$9,Assumptions!BD$72&lt;$D$9+$E$9),$B$9/$E$9,0)+IF(AND(Assumptions!BD$72&gt;=$D$10,Assumptions!BD$72&lt;$D$10+$E$10),$B$10/$E$10,0))</f>
        <v/>
      </c>
      <c r="BE17" s="52">
        <f>-(IF(AND(Assumptions!BE$72&gt;=$D$7,Assumptions!BE$72&lt;$D$7+$E$7),$B$7/$E$7,0)+IF(AND(Assumptions!BE$72&gt;=$D$8,Assumptions!BE$72&lt;$D$8+$E$8),$B$8/$E$8,0)+IF(AND(Assumptions!BE$72&gt;=$D$9,Assumptions!BE$72&lt;$D$9+$E$9),$B$9/$E$9,0)+IF(AND(Assumptions!BE$72&gt;=$D$10,Assumptions!BE$72&lt;$D$10+$E$10),$B$10/$E$10,0))</f>
        <v/>
      </c>
      <c r="BF17" s="52">
        <f>-(IF(AND(Assumptions!BF$72&gt;=$D$7,Assumptions!BF$72&lt;$D$7+$E$7),$B$7/$E$7,0)+IF(AND(Assumptions!BF$72&gt;=$D$8,Assumptions!BF$72&lt;$D$8+$E$8),$B$8/$E$8,0)+IF(AND(Assumptions!BF$72&gt;=$D$9,Assumptions!BF$72&lt;$D$9+$E$9),$B$9/$E$9,0)+IF(AND(Assumptions!BF$72&gt;=$D$10,Assumptions!BF$72&lt;$D$10+$E$10),$B$10/$E$10,0))</f>
        <v/>
      </c>
      <c r="BG17" s="52">
        <f>-(IF(AND(Assumptions!BG$72&gt;=$D$7,Assumptions!BG$72&lt;$D$7+$E$7),$B$7/$E$7,0)+IF(AND(Assumptions!BG$72&gt;=$D$8,Assumptions!BG$72&lt;$D$8+$E$8),$B$8/$E$8,0)+IF(AND(Assumptions!BG$72&gt;=$D$9,Assumptions!BG$72&lt;$D$9+$E$9),$B$9/$E$9,0)+IF(AND(Assumptions!BG$72&gt;=$D$10,Assumptions!BG$72&lt;$D$10+$E$10),$B$10/$E$10,0))</f>
        <v/>
      </c>
      <c r="BH17" s="52">
        <f>-(IF(AND(Assumptions!BH$72&gt;=$D$7,Assumptions!BH$72&lt;$D$7+$E$7),$B$7/$E$7,0)+IF(AND(Assumptions!BH$72&gt;=$D$8,Assumptions!BH$72&lt;$D$8+$E$8),$B$8/$E$8,0)+IF(AND(Assumptions!BH$72&gt;=$D$9,Assumptions!BH$72&lt;$D$9+$E$9),$B$9/$E$9,0)+IF(AND(Assumptions!BH$72&gt;=$D$10,Assumptions!BH$72&lt;$D$10+$E$10),$B$10/$E$10,0))</f>
        <v/>
      </c>
      <c r="BI17" s="52">
        <f>-(IF(AND(Assumptions!BI$72&gt;=$D$7,Assumptions!BI$72&lt;$D$7+$E$7),$B$7/$E$7,0)+IF(AND(Assumptions!BI$72&gt;=$D$8,Assumptions!BI$72&lt;$D$8+$E$8),$B$8/$E$8,0)+IF(AND(Assumptions!BI$72&gt;=$D$9,Assumptions!BI$72&lt;$D$9+$E$9),$B$9/$E$9,0)+IF(AND(Assumptions!BI$72&gt;=$D$10,Assumptions!BI$72&lt;$D$10+$E$10),$B$10/$E$10,0))</f>
        <v/>
      </c>
      <c r="BJ17" s="52">
        <f>-(IF(AND(Assumptions!BJ$72&gt;=$D$7,Assumptions!BJ$72&lt;$D$7+$E$7),$B$7/$E$7,0)+IF(AND(Assumptions!BJ$72&gt;=$D$8,Assumptions!BJ$72&lt;$D$8+$E$8),$B$8/$E$8,0)+IF(AND(Assumptions!BJ$72&gt;=$D$9,Assumptions!BJ$72&lt;$D$9+$E$9),$B$9/$E$9,0)+IF(AND(Assumptions!BJ$72&gt;=$D$10,Assumptions!BJ$72&lt;$D$10+$E$10),$B$10/$E$10,0))</f>
        <v/>
      </c>
      <c r="BK17" s="52">
        <f>-(IF(AND(Assumptions!BK$72&gt;=$D$7,Assumptions!BK$72&lt;$D$7+$E$7),$B$7/$E$7,0)+IF(AND(Assumptions!BK$72&gt;=$D$8,Assumptions!BK$72&lt;$D$8+$E$8),$B$8/$E$8,0)+IF(AND(Assumptions!BK$72&gt;=$D$9,Assumptions!BK$72&lt;$D$9+$E$9),$B$9/$E$9,0)+IF(AND(Assumptions!BK$72&gt;=$D$10,Assumptions!BK$72&lt;$D$10+$E$10),$B$10/$E$10,0))</f>
        <v/>
      </c>
      <c r="BL17" s="52">
        <f>-(IF(AND(Assumptions!BL$72&gt;=$D$7,Assumptions!BL$72&lt;$D$7+$E$7),$B$7/$E$7,0)+IF(AND(Assumptions!BL$72&gt;=$D$8,Assumptions!BL$72&lt;$D$8+$E$8),$B$8/$E$8,0)+IF(AND(Assumptions!BL$72&gt;=$D$9,Assumptions!BL$72&lt;$D$9+$E$9),$B$9/$E$9,0)+IF(AND(Assumptions!BL$72&gt;=$D$10,Assumptions!BL$72&lt;$D$10+$E$10),$B$10/$E$10,0))</f>
        <v/>
      </c>
      <c r="BM17" s="52">
        <f>-(IF(AND(Assumptions!BM$72&gt;=$D$7,Assumptions!BM$72&lt;$D$7+$E$7),$B$7/$E$7,0)+IF(AND(Assumptions!BM$72&gt;=$D$8,Assumptions!BM$72&lt;$D$8+$E$8),$B$8/$E$8,0)+IF(AND(Assumptions!BM$72&gt;=$D$9,Assumptions!BM$72&lt;$D$9+$E$9),$B$9/$E$9,0)+IF(AND(Assumptions!BM$72&gt;=$D$10,Assumptions!BM$72&lt;$D$10+$E$10),$B$10/$E$10,0))</f>
        <v/>
      </c>
      <c r="BN17" s="52">
        <f>-(IF(AND(Assumptions!BN$72&gt;=$D$7,Assumptions!BN$72&lt;$D$7+$E$7),$B$7/$E$7,0)+IF(AND(Assumptions!BN$72&gt;=$D$8,Assumptions!BN$72&lt;$D$8+$E$8),$B$8/$E$8,0)+IF(AND(Assumptions!BN$72&gt;=$D$9,Assumptions!BN$72&lt;$D$9+$E$9),$B$9/$E$9,0)+IF(AND(Assumptions!BN$72&gt;=$D$10,Assumptions!BN$72&lt;$D$10+$E$10),$B$10/$E$10,0))</f>
        <v/>
      </c>
      <c r="BO17" s="52">
        <f>-(IF(AND(Assumptions!BO$72&gt;=$D$7,Assumptions!BO$72&lt;$D$7+$E$7),$B$7/$E$7,0)+IF(AND(Assumptions!BO$72&gt;=$D$8,Assumptions!BO$72&lt;$D$8+$E$8),$B$8/$E$8,0)+IF(AND(Assumptions!BO$72&gt;=$D$9,Assumptions!BO$72&lt;$D$9+$E$9),$B$9/$E$9,0)+IF(AND(Assumptions!BO$72&gt;=$D$10,Assumptions!BO$72&lt;$D$10+$E$10),$B$10/$E$10,0))</f>
        <v/>
      </c>
      <c r="BP17" s="52">
        <f>-(IF(AND(Assumptions!BP$72&gt;=$D$7,Assumptions!BP$72&lt;$D$7+$E$7),$B$7/$E$7,0)+IF(AND(Assumptions!BP$72&gt;=$D$8,Assumptions!BP$72&lt;$D$8+$E$8),$B$8/$E$8,0)+IF(AND(Assumptions!BP$72&gt;=$D$9,Assumptions!BP$72&lt;$D$9+$E$9),$B$9/$E$9,0)+IF(AND(Assumptions!BP$72&gt;=$D$10,Assumptions!BP$72&lt;$D$10+$E$10),$B$10/$E$10,0))</f>
        <v/>
      </c>
      <c r="BQ17" s="52">
        <f>-(IF(AND(Assumptions!BQ$72&gt;=$D$7,Assumptions!BQ$72&lt;$D$7+$E$7),$B$7/$E$7,0)+IF(AND(Assumptions!BQ$72&gt;=$D$8,Assumptions!BQ$72&lt;$D$8+$E$8),$B$8/$E$8,0)+IF(AND(Assumptions!BQ$72&gt;=$D$9,Assumptions!BQ$72&lt;$D$9+$E$9),$B$9/$E$9,0)+IF(AND(Assumptions!BQ$72&gt;=$D$10,Assumptions!BQ$72&lt;$D$10+$E$10),$B$10/$E$10,0))</f>
        <v/>
      </c>
      <c r="BR17" s="52">
        <f>-(IF(AND(Assumptions!BR$72&gt;=$D$7,Assumptions!BR$72&lt;$D$7+$E$7),$B$7/$E$7,0)+IF(AND(Assumptions!BR$72&gt;=$D$8,Assumptions!BR$72&lt;$D$8+$E$8),$B$8/$E$8,0)+IF(AND(Assumptions!BR$72&gt;=$D$9,Assumptions!BR$72&lt;$D$9+$E$9),$B$9/$E$9,0)+IF(AND(Assumptions!BR$72&gt;=$D$10,Assumptions!BR$72&lt;$D$10+$E$10),$B$10/$E$10,0))</f>
        <v/>
      </c>
      <c r="BS17" s="52">
        <f>-(IF(AND(Assumptions!BS$72&gt;=$D$7,Assumptions!BS$72&lt;$D$7+$E$7),$B$7/$E$7,0)+IF(AND(Assumptions!BS$72&gt;=$D$8,Assumptions!BS$72&lt;$D$8+$E$8),$B$8/$E$8,0)+IF(AND(Assumptions!BS$72&gt;=$D$9,Assumptions!BS$72&lt;$D$9+$E$9),$B$9/$E$9,0)+IF(AND(Assumptions!BS$72&gt;=$D$10,Assumptions!BS$72&lt;$D$10+$E$10),$B$10/$E$10,0))</f>
        <v/>
      </c>
      <c r="BT17" s="52">
        <f>-(IF(AND(Assumptions!BT$72&gt;=$D$7,Assumptions!BT$72&lt;$D$7+$E$7),$B$7/$E$7,0)+IF(AND(Assumptions!BT$72&gt;=$D$8,Assumptions!BT$72&lt;$D$8+$E$8),$B$8/$E$8,0)+IF(AND(Assumptions!BT$72&gt;=$D$9,Assumptions!BT$72&lt;$D$9+$E$9),$B$9/$E$9,0)+IF(AND(Assumptions!BT$72&gt;=$D$10,Assumptions!BT$72&lt;$D$10+$E$10),$B$10/$E$10,0))</f>
        <v/>
      </c>
      <c r="BU17" s="52">
        <f>-(IF(AND(Assumptions!BU$72&gt;=$D$7,Assumptions!BU$72&lt;$D$7+$E$7),$B$7/$E$7,0)+IF(AND(Assumptions!BU$72&gt;=$D$8,Assumptions!BU$72&lt;$D$8+$E$8),$B$8/$E$8,0)+IF(AND(Assumptions!BU$72&gt;=$D$9,Assumptions!BU$72&lt;$D$9+$E$9),$B$9/$E$9,0)+IF(AND(Assumptions!BU$72&gt;=$D$10,Assumptions!BU$72&lt;$D$10+$E$10),$B$10/$E$10,0))</f>
        <v/>
      </c>
      <c r="BV17" s="52">
        <f>-(IF(AND(Assumptions!BV$72&gt;=$D$7,Assumptions!BV$72&lt;$D$7+$E$7),$B$7/$E$7,0)+IF(AND(Assumptions!BV$72&gt;=$D$8,Assumptions!BV$72&lt;$D$8+$E$8),$B$8/$E$8,0)+IF(AND(Assumptions!BV$72&gt;=$D$9,Assumptions!BV$72&lt;$D$9+$E$9),$B$9/$E$9,0)+IF(AND(Assumptions!BV$72&gt;=$D$10,Assumptions!BV$72&lt;$D$10+$E$10),$B$10/$E$10,0))</f>
        <v/>
      </c>
      <c r="BW17" s="52">
        <f>-(IF(AND(Assumptions!BW$72&gt;=$D$7,Assumptions!BW$72&lt;$D$7+$E$7),$B$7/$E$7,0)+IF(AND(Assumptions!BW$72&gt;=$D$8,Assumptions!BW$72&lt;$D$8+$E$8),$B$8/$E$8,0)+IF(AND(Assumptions!BW$72&gt;=$D$9,Assumptions!BW$72&lt;$D$9+$E$9),$B$9/$E$9,0)+IF(AND(Assumptions!BW$72&gt;=$D$10,Assumptions!BW$72&lt;$D$10+$E$10),$B$10/$E$10,0))</f>
        <v/>
      </c>
      <c r="BX17" s="52">
        <f>-(IF(AND(Assumptions!BX$72&gt;=$D$7,Assumptions!BX$72&lt;$D$7+$E$7),$B$7/$E$7,0)+IF(AND(Assumptions!BX$72&gt;=$D$8,Assumptions!BX$72&lt;$D$8+$E$8),$B$8/$E$8,0)+IF(AND(Assumptions!BX$72&gt;=$D$9,Assumptions!BX$72&lt;$D$9+$E$9),$B$9/$E$9,0)+IF(AND(Assumptions!BX$72&gt;=$D$10,Assumptions!BX$72&lt;$D$10+$E$10),$B$10/$E$10,0))</f>
        <v/>
      </c>
      <c r="BY17" s="52">
        <f>-(IF(AND(Assumptions!BY$72&gt;=$D$7,Assumptions!BY$72&lt;$D$7+$E$7),$B$7/$E$7,0)+IF(AND(Assumptions!BY$72&gt;=$D$8,Assumptions!BY$72&lt;$D$8+$E$8),$B$8/$E$8,0)+IF(AND(Assumptions!BY$72&gt;=$D$9,Assumptions!BY$72&lt;$D$9+$E$9),$B$9/$E$9,0)+IF(AND(Assumptions!BY$72&gt;=$D$10,Assumptions!BY$72&lt;$D$10+$E$10),$B$10/$E$10,0))</f>
        <v/>
      </c>
      <c r="BZ17" s="52">
        <f>-(IF(AND(Assumptions!BZ$72&gt;=$D$7,Assumptions!BZ$72&lt;$D$7+$E$7),$B$7/$E$7,0)+IF(AND(Assumptions!BZ$72&gt;=$D$8,Assumptions!BZ$72&lt;$D$8+$E$8),$B$8/$E$8,0)+IF(AND(Assumptions!BZ$72&gt;=$D$9,Assumptions!BZ$72&lt;$D$9+$E$9),$B$9/$E$9,0)+IF(AND(Assumptions!BZ$72&gt;=$D$10,Assumptions!BZ$72&lt;$D$10+$E$10),$B$10/$E$10,0))</f>
        <v/>
      </c>
      <c r="CA17" s="52">
        <f>-(IF(AND(Assumptions!CA$72&gt;=$D$7,Assumptions!CA$72&lt;$D$7+$E$7),$B$7/$E$7,0)+IF(AND(Assumptions!CA$72&gt;=$D$8,Assumptions!CA$72&lt;$D$8+$E$8),$B$8/$E$8,0)+IF(AND(Assumptions!CA$72&gt;=$D$9,Assumptions!CA$72&lt;$D$9+$E$9),$B$9/$E$9,0)+IF(AND(Assumptions!CA$72&gt;=$D$10,Assumptions!CA$72&lt;$D$10+$E$10),$B$10/$E$10,0))</f>
        <v/>
      </c>
      <c r="CB17" s="52">
        <f>-(IF(AND(Assumptions!CB$72&gt;=$D$7,Assumptions!CB$72&lt;$D$7+$E$7),$B$7/$E$7,0)+IF(AND(Assumptions!CB$72&gt;=$D$8,Assumptions!CB$72&lt;$D$8+$E$8),$B$8/$E$8,0)+IF(AND(Assumptions!CB$72&gt;=$D$9,Assumptions!CB$72&lt;$D$9+$E$9),$B$9/$E$9,0)+IF(AND(Assumptions!CB$72&gt;=$D$10,Assumptions!CB$72&lt;$D$10+$E$10),$B$10/$E$10,0))</f>
        <v/>
      </c>
      <c r="CC17" s="52">
        <f>-(IF(AND(Assumptions!CC$72&gt;=$D$7,Assumptions!CC$72&lt;$D$7+$E$7),$B$7/$E$7,0)+IF(AND(Assumptions!CC$72&gt;=$D$8,Assumptions!CC$72&lt;$D$8+$E$8),$B$8/$E$8,0)+IF(AND(Assumptions!CC$72&gt;=$D$9,Assumptions!CC$72&lt;$D$9+$E$9),$B$9/$E$9,0)+IF(AND(Assumptions!CC$72&gt;=$D$10,Assumptions!CC$72&lt;$D$10+$E$10),$B$10/$E$10,0))</f>
        <v/>
      </c>
      <c r="CD17" s="52">
        <f>-(IF(AND(Assumptions!CD$72&gt;=$D$7,Assumptions!CD$72&lt;$D$7+$E$7),$B$7/$E$7,0)+IF(AND(Assumptions!CD$72&gt;=$D$8,Assumptions!CD$72&lt;$D$8+$E$8),$B$8/$E$8,0)+IF(AND(Assumptions!CD$72&gt;=$D$9,Assumptions!CD$72&lt;$D$9+$E$9),$B$9/$E$9,0)+IF(AND(Assumptions!CD$72&gt;=$D$10,Assumptions!CD$72&lt;$D$10+$E$10),$B$10/$E$10,0))</f>
        <v/>
      </c>
      <c r="CE17" s="52">
        <f>-(IF(AND(Assumptions!CE$72&gt;=$D$7,Assumptions!CE$72&lt;$D$7+$E$7),$B$7/$E$7,0)+IF(AND(Assumptions!CE$72&gt;=$D$8,Assumptions!CE$72&lt;$D$8+$E$8),$B$8/$E$8,0)+IF(AND(Assumptions!CE$72&gt;=$D$9,Assumptions!CE$72&lt;$D$9+$E$9),$B$9/$E$9,0)+IF(AND(Assumptions!CE$72&gt;=$D$10,Assumptions!CE$72&lt;$D$10+$E$10),$B$10/$E$10,0))</f>
        <v/>
      </c>
      <c r="CF17" s="52">
        <f>-(IF(AND(Assumptions!CF$72&gt;=$D$7,Assumptions!CF$72&lt;$D$7+$E$7),$B$7/$E$7,0)+IF(AND(Assumptions!CF$72&gt;=$D$8,Assumptions!CF$72&lt;$D$8+$E$8),$B$8/$E$8,0)+IF(AND(Assumptions!CF$72&gt;=$D$9,Assumptions!CF$72&lt;$D$9+$E$9),$B$9/$E$9,0)+IF(AND(Assumptions!CF$72&gt;=$D$10,Assumptions!CF$72&lt;$D$10+$E$10),$B$10/$E$10,0))</f>
        <v/>
      </c>
      <c r="CG17" s="52">
        <f>-(IF(AND(Assumptions!CG$72&gt;=$D$7,Assumptions!CG$72&lt;$D$7+$E$7),$B$7/$E$7,0)+IF(AND(Assumptions!CG$72&gt;=$D$8,Assumptions!CG$72&lt;$D$8+$E$8),$B$8/$E$8,0)+IF(AND(Assumptions!CG$72&gt;=$D$9,Assumptions!CG$72&lt;$D$9+$E$9),$B$9/$E$9,0)+IF(AND(Assumptions!CG$72&gt;=$D$10,Assumptions!CG$72&lt;$D$10+$E$10),$B$10/$E$10,0))</f>
        <v/>
      </c>
      <c r="CH17" s="52">
        <f>-(IF(AND(Assumptions!CH$72&gt;=$D$7,Assumptions!CH$72&lt;$D$7+$E$7),$B$7/$E$7,0)+IF(AND(Assumptions!CH$72&gt;=$D$8,Assumptions!CH$72&lt;$D$8+$E$8),$B$8/$E$8,0)+IF(AND(Assumptions!CH$72&gt;=$D$9,Assumptions!CH$72&lt;$D$9+$E$9),$B$9/$E$9,0)+IF(AND(Assumptions!CH$72&gt;=$D$10,Assumptions!CH$72&lt;$D$10+$E$10),$B$10/$E$10,0))</f>
        <v/>
      </c>
      <c r="CI17" s="52">
        <f>-(IF(AND(Assumptions!CI$72&gt;=$D$7,Assumptions!CI$72&lt;$D$7+$E$7),$B$7/$E$7,0)+IF(AND(Assumptions!CI$72&gt;=$D$8,Assumptions!CI$72&lt;$D$8+$E$8),$B$8/$E$8,0)+IF(AND(Assumptions!CI$72&gt;=$D$9,Assumptions!CI$72&lt;$D$9+$E$9),$B$9/$E$9,0)+IF(AND(Assumptions!CI$72&gt;=$D$10,Assumptions!CI$72&lt;$D$10+$E$10),$B$10/$E$10,0))</f>
        <v/>
      </c>
      <c r="CJ17" s="52">
        <f>-(IF(AND(Assumptions!CJ$72&gt;=$D$7,Assumptions!CJ$72&lt;$D$7+$E$7),$B$7/$E$7,0)+IF(AND(Assumptions!CJ$72&gt;=$D$8,Assumptions!CJ$72&lt;$D$8+$E$8),$B$8/$E$8,0)+IF(AND(Assumptions!CJ$72&gt;=$D$9,Assumptions!CJ$72&lt;$D$9+$E$9),$B$9/$E$9,0)+IF(AND(Assumptions!CJ$72&gt;=$D$10,Assumptions!CJ$72&lt;$D$10+$E$10),$B$10/$E$10,0))</f>
        <v/>
      </c>
      <c r="CK17" s="52">
        <f>-(IF(AND(Assumptions!CK$72&gt;=$D$7,Assumptions!CK$72&lt;$D$7+$E$7),$B$7/$E$7,0)+IF(AND(Assumptions!CK$72&gt;=$D$8,Assumptions!CK$72&lt;$D$8+$E$8),$B$8/$E$8,0)+IF(AND(Assumptions!CK$72&gt;=$D$9,Assumptions!CK$72&lt;$D$9+$E$9),$B$9/$E$9,0)+IF(AND(Assumptions!CK$72&gt;=$D$10,Assumptions!CK$72&lt;$D$10+$E$10),$B$10/$E$10,0))</f>
        <v/>
      </c>
      <c r="CL17" s="52">
        <f>-(IF(AND(Assumptions!CL$72&gt;=$D$7,Assumptions!CL$72&lt;$D$7+$E$7),$B$7/$E$7,0)+IF(AND(Assumptions!CL$72&gt;=$D$8,Assumptions!CL$72&lt;$D$8+$E$8),$B$8/$E$8,0)+IF(AND(Assumptions!CL$72&gt;=$D$9,Assumptions!CL$72&lt;$D$9+$E$9),$B$9/$E$9,0)+IF(AND(Assumptions!CL$72&gt;=$D$10,Assumptions!CL$72&lt;$D$10+$E$10),$B$10/$E$10,0))</f>
        <v/>
      </c>
      <c r="CM17" s="52">
        <f>-(IF(AND(Assumptions!CM$72&gt;=$D$7,Assumptions!CM$72&lt;$D$7+$E$7),$B$7/$E$7,0)+IF(AND(Assumptions!CM$72&gt;=$D$8,Assumptions!CM$72&lt;$D$8+$E$8),$B$8/$E$8,0)+IF(AND(Assumptions!CM$72&gt;=$D$9,Assumptions!CM$72&lt;$D$9+$E$9),$B$9/$E$9,0)+IF(AND(Assumptions!CM$72&gt;=$D$10,Assumptions!CM$72&lt;$D$10+$E$10),$B$10/$E$10,0))</f>
        <v/>
      </c>
      <c r="CN17" s="52">
        <f>-(IF(AND(Assumptions!CN$72&gt;=$D$7,Assumptions!CN$72&lt;$D$7+$E$7),$B$7/$E$7,0)+IF(AND(Assumptions!CN$72&gt;=$D$8,Assumptions!CN$72&lt;$D$8+$E$8),$B$8/$E$8,0)+IF(AND(Assumptions!CN$72&gt;=$D$9,Assumptions!CN$72&lt;$D$9+$E$9),$B$9/$E$9,0)+IF(AND(Assumptions!CN$72&gt;=$D$10,Assumptions!CN$72&lt;$D$10+$E$10),$B$10/$E$10,0))</f>
        <v/>
      </c>
      <c r="CO17" s="52">
        <f>-(IF(AND(Assumptions!CO$72&gt;=$D$7,Assumptions!CO$72&lt;$D$7+$E$7),$B$7/$E$7,0)+IF(AND(Assumptions!CO$72&gt;=$D$8,Assumptions!CO$72&lt;$D$8+$E$8),$B$8/$E$8,0)+IF(AND(Assumptions!CO$72&gt;=$D$9,Assumptions!CO$72&lt;$D$9+$E$9),$B$9/$E$9,0)+IF(AND(Assumptions!CO$72&gt;=$D$10,Assumptions!CO$72&lt;$D$10+$E$10),$B$10/$E$10,0))</f>
        <v/>
      </c>
      <c r="CP17" s="52">
        <f>-(IF(AND(Assumptions!CP$72&gt;=$D$7,Assumptions!CP$72&lt;$D$7+$E$7),$B$7/$E$7,0)+IF(AND(Assumptions!CP$72&gt;=$D$8,Assumptions!CP$72&lt;$D$8+$E$8),$B$8/$E$8,0)+IF(AND(Assumptions!CP$72&gt;=$D$9,Assumptions!CP$72&lt;$D$9+$E$9),$B$9/$E$9,0)+IF(AND(Assumptions!CP$72&gt;=$D$10,Assumptions!CP$72&lt;$D$10+$E$10),$B$10/$E$10,0))</f>
        <v/>
      </c>
      <c r="CQ17" s="52">
        <f>-(IF(AND(Assumptions!CQ$72&gt;=$D$7,Assumptions!CQ$72&lt;$D$7+$E$7),$B$7/$E$7,0)+IF(AND(Assumptions!CQ$72&gt;=$D$8,Assumptions!CQ$72&lt;$D$8+$E$8),$B$8/$E$8,0)+IF(AND(Assumptions!CQ$72&gt;=$D$9,Assumptions!CQ$72&lt;$D$9+$E$9),$B$9/$E$9,0)+IF(AND(Assumptions!CQ$72&gt;=$D$10,Assumptions!CQ$72&lt;$D$10+$E$10),$B$10/$E$10,0))</f>
        <v/>
      </c>
      <c r="CR17" s="52">
        <f>-(IF(AND(Assumptions!CR$72&gt;=$D$7,Assumptions!CR$72&lt;$D$7+$E$7),$B$7/$E$7,0)+IF(AND(Assumptions!CR$72&gt;=$D$8,Assumptions!CR$72&lt;$D$8+$E$8),$B$8/$E$8,0)+IF(AND(Assumptions!CR$72&gt;=$D$9,Assumptions!CR$72&lt;$D$9+$E$9),$B$9/$E$9,0)+IF(AND(Assumptions!CR$72&gt;=$D$10,Assumptions!CR$72&lt;$D$10+$E$10),$B$10/$E$10,0))</f>
        <v/>
      </c>
      <c r="CS17" s="52">
        <f>-(IF(AND(Assumptions!CS$72&gt;=$D$7,Assumptions!CS$72&lt;$D$7+$E$7),$B$7/$E$7,0)+IF(AND(Assumptions!CS$72&gt;=$D$8,Assumptions!CS$72&lt;$D$8+$E$8),$B$8/$E$8,0)+IF(AND(Assumptions!CS$72&gt;=$D$9,Assumptions!CS$72&lt;$D$9+$E$9),$B$9/$E$9,0)+IF(AND(Assumptions!CS$72&gt;=$D$10,Assumptions!CS$72&lt;$D$10+$E$10),$B$10/$E$10,0))</f>
        <v/>
      </c>
      <c r="CT17" s="52">
        <f>-(IF(AND(Assumptions!CT$72&gt;=$D$7,Assumptions!CT$72&lt;$D$7+$E$7),$B$7/$E$7,0)+IF(AND(Assumptions!CT$72&gt;=$D$8,Assumptions!CT$72&lt;$D$8+$E$8),$B$8/$E$8,0)+IF(AND(Assumptions!CT$72&gt;=$D$9,Assumptions!CT$72&lt;$D$9+$E$9),$B$9/$E$9,0)+IF(AND(Assumptions!CT$72&gt;=$D$10,Assumptions!CT$72&lt;$D$10+$E$10),$B$10/$E$10,0))</f>
        <v/>
      </c>
      <c r="CU17" s="52">
        <f>-(IF(AND(Assumptions!CU$72&gt;=$D$7,Assumptions!CU$72&lt;$D$7+$E$7),$B$7/$E$7,0)+IF(AND(Assumptions!CU$72&gt;=$D$8,Assumptions!CU$72&lt;$D$8+$E$8),$B$8/$E$8,0)+IF(AND(Assumptions!CU$72&gt;=$D$9,Assumptions!CU$72&lt;$D$9+$E$9),$B$9/$E$9,0)+IF(AND(Assumptions!CU$72&gt;=$D$10,Assumptions!CU$72&lt;$D$10+$E$10),$B$10/$E$10,0))</f>
        <v/>
      </c>
      <c r="CV17" s="52">
        <f>-(IF(AND(Assumptions!CV$72&gt;=$D$7,Assumptions!CV$72&lt;$D$7+$E$7),$B$7/$E$7,0)+IF(AND(Assumptions!CV$72&gt;=$D$8,Assumptions!CV$72&lt;$D$8+$E$8),$B$8/$E$8,0)+IF(AND(Assumptions!CV$72&gt;=$D$9,Assumptions!CV$72&lt;$D$9+$E$9),$B$9/$E$9,0)+IF(AND(Assumptions!CV$72&gt;=$D$10,Assumptions!CV$72&lt;$D$10+$E$10),$B$10/$E$10,0))</f>
        <v/>
      </c>
      <c r="CW17" s="52">
        <f>-(IF(AND(Assumptions!CW$72&gt;=$D$7,Assumptions!CW$72&lt;$D$7+$E$7),$B$7/$E$7,0)+IF(AND(Assumptions!CW$72&gt;=$D$8,Assumptions!CW$72&lt;$D$8+$E$8),$B$8/$E$8,0)+IF(AND(Assumptions!CW$72&gt;=$D$9,Assumptions!CW$72&lt;$D$9+$E$9),$B$9/$E$9,0)+IF(AND(Assumptions!CW$72&gt;=$D$10,Assumptions!CW$72&lt;$D$10+$E$10),$B$10/$E$10,0))</f>
        <v/>
      </c>
      <c r="CX17" s="52">
        <f>-(IF(AND(Assumptions!CX$72&gt;=$D$7,Assumptions!CX$72&lt;$D$7+$E$7),$B$7/$E$7,0)+IF(AND(Assumptions!CX$72&gt;=$D$8,Assumptions!CX$72&lt;$D$8+$E$8),$B$8/$E$8,0)+IF(AND(Assumptions!CX$72&gt;=$D$9,Assumptions!CX$72&lt;$D$9+$E$9),$B$9/$E$9,0)+IF(AND(Assumptions!CX$72&gt;=$D$10,Assumptions!CX$72&lt;$D$10+$E$10),$B$10/$E$10,0))</f>
        <v/>
      </c>
      <c r="CY17" s="52">
        <f>-(IF(AND(Assumptions!CY$72&gt;=$D$7,Assumptions!CY$72&lt;$D$7+$E$7),$B$7/$E$7,0)+IF(AND(Assumptions!CY$72&gt;=$D$8,Assumptions!CY$72&lt;$D$8+$E$8),$B$8/$E$8,0)+IF(AND(Assumptions!CY$72&gt;=$D$9,Assumptions!CY$72&lt;$D$9+$E$9),$B$9/$E$9,0)+IF(AND(Assumptions!CY$72&gt;=$D$10,Assumptions!CY$72&lt;$D$10+$E$10),$B$10/$E$10,0))</f>
        <v/>
      </c>
      <c r="CZ17" s="52">
        <f>-(IF(AND(Assumptions!CZ$72&gt;=$D$7,Assumptions!CZ$72&lt;$D$7+$E$7),$B$7/$E$7,0)+IF(AND(Assumptions!CZ$72&gt;=$D$8,Assumptions!CZ$72&lt;$D$8+$E$8),$B$8/$E$8,0)+IF(AND(Assumptions!CZ$72&gt;=$D$9,Assumptions!CZ$72&lt;$D$9+$E$9),$B$9/$E$9,0)+IF(AND(Assumptions!CZ$72&gt;=$D$10,Assumptions!CZ$72&lt;$D$10+$E$10),$B$10/$E$10,0))</f>
        <v/>
      </c>
      <c r="DA17" s="52">
        <f>-(IF(AND(Assumptions!DA$72&gt;=$D$7,Assumptions!DA$72&lt;$D$7+$E$7),$B$7/$E$7,0)+IF(AND(Assumptions!DA$72&gt;=$D$8,Assumptions!DA$72&lt;$D$8+$E$8),$B$8/$E$8,0)+IF(AND(Assumptions!DA$72&gt;=$D$9,Assumptions!DA$72&lt;$D$9+$E$9),$B$9/$E$9,0)+IF(AND(Assumptions!DA$72&gt;=$D$10,Assumptions!DA$72&lt;$D$10+$E$10),$B$10/$E$10,0))</f>
        <v/>
      </c>
      <c r="DB17" s="52">
        <f>-(IF(AND(Assumptions!DB$72&gt;=$D$7,Assumptions!DB$72&lt;$D$7+$E$7),$B$7/$E$7,0)+IF(AND(Assumptions!DB$72&gt;=$D$8,Assumptions!DB$72&lt;$D$8+$E$8),$B$8/$E$8,0)+IF(AND(Assumptions!DB$72&gt;=$D$9,Assumptions!DB$72&lt;$D$9+$E$9),$B$9/$E$9,0)+IF(AND(Assumptions!DB$72&gt;=$D$10,Assumptions!DB$72&lt;$D$10+$E$10),$B$10/$E$10,0))</f>
        <v/>
      </c>
      <c r="DC17" s="52">
        <f>-(IF(AND(Assumptions!DC$72&gt;=$D$7,Assumptions!DC$72&lt;$D$7+$E$7),$B$7/$E$7,0)+IF(AND(Assumptions!DC$72&gt;=$D$8,Assumptions!DC$72&lt;$D$8+$E$8),$B$8/$E$8,0)+IF(AND(Assumptions!DC$72&gt;=$D$9,Assumptions!DC$72&lt;$D$9+$E$9),$B$9/$E$9,0)+IF(AND(Assumptions!DC$72&gt;=$D$10,Assumptions!DC$72&lt;$D$10+$E$10),$B$10/$E$10,0))</f>
        <v/>
      </c>
      <c r="DD17" s="52">
        <f>-(IF(AND(Assumptions!DD$72&gt;=$D$7,Assumptions!DD$72&lt;$D$7+$E$7),$B$7/$E$7,0)+IF(AND(Assumptions!DD$72&gt;=$D$8,Assumptions!DD$72&lt;$D$8+$E$8),$B$8/$E$8,0)+IF(AND(Assumptions!DD$72&gt;=$D$9,Assumptions!DD$72&lt;$D$9+$E$9),$B$9/$E$9,0)+IF(AND(Assumptions!DD$72&gt;=$D$10,Assumptions!DD$72&lt;$D$10+$E$10),$B$10/$E$10,0))</f>
        <v/>
      </c>
      <c r="DE17" s="52">
        <f>-(IF(AND(Assumptions!DE$72&gt;=$D$7,Assumptions!DE$72&lt;$D$7+$E$7),$B$7/$E$7,0)+IF(AND(Assumptions!DE$72&gt;=$D$8,Assumptions!DE$72&lt;$D$8+$E$8),$B$8/$E$8,0)+IF(AND(Assumptions!DE$72&gt;=$D$9,Assumptions!DE$72&lt;$D$9+$E$9),$B$9/$E$9,0)+IF(AND(Assumptions!DE$72&gt;=$D$10,Assumptions!DE$72&lt;$D$10+$E$10),$B$10/$E$10,0))</f>
        <v/>
      </c>
      <c r="DF17" s="52">
        <f>-(IF(AND(Assumptions!DF$72&gt;=$D$7,Assumptions!DF$72&lt;$D$7+$E$7),$B$7/$E$7,0)+IF(AND(Assumptions!DF$72&gt;=$D$8,Assumptions!DF$72&lt;$D$8+$E$8),$B$8/$E$8,0)+IF(AND(Assumptions!DF$72&gt;=$D$9,Assumptions!DF$72&lt;$D$9+$E$9),$B$9/$E$9,0)+IF(AND(Assumptions!DF$72&gt;=$D$10,Assumptions!DF$72&lt;$D$10+$E$10),$B$10/$E$10,0))</f>
        <v/>
      </c>
      <c r="DG17" s="52">
        <f>-(IF(AND(Assumptions!DG$72&gt;=$D$7,Assumptions!DG$72&lt;$D$7+$E$7),$B$7/$E$7,0)+IF(AND(Assumptions!DG$72&gt;=$D$8,Assumptions!DG$72&lt;$D$8+$E$8),$B$8/$E$8,0)+IF(AND(Assumptions!DG$72&gt;=$D$9,Assumptions!DG$72&lt;$D$9+$E$9),$B$9/$E$9,0)+IF(AND(Assumptions!DG$72&gt;=$D$10,Assumptions!DG$72&lt;$D$10+$E$10),$B$10/$E$10,0))</f>
        <v/>
      </c>
      <c r="DH17" s="52">
        <f>-(IF(AND(Assumptions!DH$72&gt;=$D$7,Assumptions!DH$72&lt;$D$7+$E$7),$B$7/$E$7,0)+IF(AND(Assumptions!DH$72&gt;=$D$8,Assumptions!DH$72&lt;$D$8+$E$8),$B$8/$E$8,0)+IF(AND(Assumptions!DH$72&gt;=$D$9,Assumptions!DH$72&lt;$D$9+$E$9),$B$9/$E$9,0)+IF(AND(Assumptions!DH$72&gt;=$D$10,Assumptions!DH$72&lt;$D$10+$E$10),$B$10/$E$10,0))</f>
        <v/>
      </c>
      <c r="DI17" s="52">
        <f>-(IF(AND(Assumptions!DI$72&gt;=$D$7,Assumptions!DI$72&lt;$D$7+$E$7),$B$7/$E$7,0)+IF(AND(Assumptions!DI$72&gt;=$D$8,Assumptions!DI$72&lt;$D$8+$E$8),$B$8/$E$8,0)+IF(AND(Assumptions!DI$72&gt;=$D$9,Assumptions!DI$72&lt;$D$9+$E$9),$B$9/$E$9,0)+IF(AND(Assumptions!DI$72&gt;=$D$10,Assumptions!DI$72&lt;$D$10+$E$10),$B$10/$E$10,0))</f>
        <v/>
      </c>
      <c r="DJ17" s="52">
        <f>-(IF(AND(Assumptions!DJ$72&gt;=$D$7,Assumptions!DJ$72&lt;$D$7+$E$7),$B$7/$E$7,0)+IF(AND(Assumptions!DJ$72&gt;=$D$8,Assumptions!DJ$72&lt;$D$8+$E$8),$B$8/$E$8,0)+IF(AND(Assumptions!DJ$72&gt;=$D$9,Assumptions!DJ$72&lt;$D$9+$E$9),$B$9/$E$9,0)+IF(AND(Assumptions!DJ$72&gt;=$D$10,Assumptions!DJ$72&lt;$D$10+$E$10),$B$10/$E$10,0))</f>
        <v/>
      </c>
      <c r="DK17" s="52">
        <f>-(IF(AND(Assumptions!DK$72&gt;=$D$7,Assumptions!DK$72&lt;$D$7+$E$7),$B$7/$E$7,0)+IF(AND(Assumptions!DK$72&gt;=$D$8,Assumptions!DK$72&lt;$D$8+$E$8),$B$8/$E$8,0)+IF(AND(Assumptions!DK$72&gt;=$D$9,Assumptions!DK$72&lt;$D$9+$E$9),$B$9/$E$9,0)+IF(AND(Assumptions!DK$72&gt;=$D$10,Assumptions!DK$72&lt;$D$10+$E$10),$B$10/$E$10,0))</f>
        <v/>
      </c>
      <c r="DL17" s="52">
        <f>-(IF(AND(Assumptions!DL$72&gt;=$D$7,Assumptions!DL$72&lt;$D$7+$E$7),$B$7/$E$7,0)+IF(AND(Assumptions!DL$72&gt;=$D$8,Assumptions!DL$72&lt;$D$8+$E$8),$B$8/$E$8,0)+IF(AND(Assumptions!DL$72&gt;=$D$9,Assumptions!DL$72&lt;$D$9+$E$9),$B$9/$E$9,0)+IF(AND(Assumptions!DL$72&gt;=$D$10,Assumptions!DL$72&lt;$D$10+$E$10),$B$10/$E$10,0))</f>
        <v/>
      </c>
      <c r="DM17" s="52">
        <f>-(IF(AND(Assumptions!DM$72&gt;=$D$7,Assumptions!DM$72&lt;$D$7+$E$7),$B$7/$E$7,0)+IF(AND(Assumptions!DM$72&gt;=$D$8,Assumptions!DM$72&lt;$D$8+$E$8),$B$8/$E$8,0)+IF(AND(Assumptions!DM$72&gt;=$D$9,Assumptions!DM$72&lt;$D$9+$E$9),$B$9/$E$9,0)+IF(AND(Assumptions!DM$72&gt;=$D$10,Assumptions!DM$72&lt;$D$10+$E$10),$B$10/$E$10,0))</f>
        <v/>
      </c>
      <c r="DN17" s="52">
        <f>-(IF(AND(Assumptions!DN$72&gt;=$D$7,Assumptions!DN$72&lt;$D$7+$E$7),$B$7/$E$7,0)+IF(AND(Assumptions!DN$72&gt;=$D$8,Assumptions!DN$72&lt;$D$8+$E$8),$B$8/$E$8,0)+IF(AND(Assumptions!DN$72&gt;=$D$9,Assumptions!DN$72&lt;$D$9+$E$9),$B$9/$E$9,0)+IF(AND(Assumptions!DN$72&gt;=$D$10,Assumptions!DN$72&lt;$D$10+$E$10),$B$10/$E$10,0))</f>
        <v/>
      </c>
      <c r="DO17" s="52">
        <f>-(IF(AND(Assumptions!DO$72&gt;=$D$7,Assumptions!DO$72&lt;$D$7+$E$7),$B$7/$E$7,0)+IF(AND(Assumptions!DO$72&gt;=$D$8,Assumptions!DO$72&lt;$D$8+$E$8),$B$8/$E$8,0)+IF(AND(Assumptions!DO$72&gt;=$D$9,Assumptions!DO$72&lt;$D$9+$E$9),$B$9/$E$9,0)+IF(AND(Assumptions!DO$72&gt;=$D$10,Assumptions!DO$72&lt;$D$10+$E$10),$B$10/$E$10,0))</f>
        <v/>
      </c>
      <c r="DP17" s="52">
        <f>-(IF(AND(Assumptions!DP$72&gt;=$D$7,Assumptions!DP$72&lt;$D$7+$E$7),$B$7/$E$7,0)+IF(AND(Assumptions!DP$72&gt;=$D$8,Assumptions!DP$72&lt;$D$8+$E$8),$B$8/$E$8,0)+IF(AND(Assumptions!DP$72&gt;=$D$9,Assumptions!DP$72&lt;$D$9+$E$9),$B$9/$E$9,0)+IF(AND(Assumptions!DP$72&gt;=$D$10,Assumptions!DP$72&lt;$D$10+$E$10),$B$10/$E$10,0))</f>
        <v/>
      </c>
      <c r="DQ17" s="52">
        <f>-(IF(AND(Assumptions!DQ$72&gt;=$D$7,Assumptions!DQ$72&lt;$D$7+$E$7),$B$7/$E$7,0)+IF(AND(Assumptions!DQ$72&gt;=$D$8,Assumptions!DQ$72&lt;$D$8+$E$8),$B$8/$E$8,0)+IF(AND(Assumptions!DQ$72&gt;=$D$9,Assumptions!DQ$72&lt;$D$9+$E$9),$B$9/$E$9,0)+IF(AND(Assumptions!DQ$72&gt;=$D$10,Assumptions!DQ$72&lt;$D$10+$E$10),$B$10/$E$10,0))</f>
        <v/>
      </c>
      <c r="DR17" s="52">
        <f>-(IF(AND(Assumptions!DR$72&gt;=$D$7,Assumptions!DR$72&lt;$D$7+$E$7),$B$7/$E$7,0)+IF(AND(Assumptions!DR$72&gt;=$D$8,Assumptions!DR$72&lt;$D$8+$E$8),$B$8/$E$8,0)+IF(AND(Assumptions!DR$72&gt;=$D$9,Assumptions!DR$72&lt;$D$9+$E$9),$B$9/$E$9,0)+IF(AND(Assumptions!DR$72&gt;=$D$10,Assumptions!DR$72&lt;$D$10+$E$10),$B$10/$E$10,0))</f>
        <v/>
      </c>
      <c r="DS17" s="52">
        <f>-(IF(AND(Assumptions!DS$72&gt;=$D$7,Assumptions!DS$72&lt;$D$7+$E$7),$B$7/$E$7,0)+IF(AND(Assumptions!DS$72&gt;=$D$8,Assumptions!DS$72&lt;$D$8+$E$8),$B$8/$E$8,0)+IF(AND(Assumptions!DS$72&gt;=$D$9,Assumptions!DS$72&lt;$D$9+$E$9),$B$9/$E$9,0)+IF(AND(Assumptions!DS$72&gt;=$D$10,Assumptions!DS$72&lt;$D$10+$E$10),$B$10/$E$10,0))</f>
        <v/>
      </c>
      <c r="DT17" s="52">
        <f>-(IF(AND(Assumptions!DT$72&gt;=$D$7,Assumptions!DT$72&lt;$D$7+$E$7),$B$7/$E$7,0)+IF(AND(Assumptions!DT$72&gt;=$D$8,Assumptions!DT$72&lt;$D$8+$E$8),$B$8/$E$8,0)+IF(AND(Assumptions!DT$72&gt;=$D$9,Assumptions!DT$72&lt;$D$9+$E$9),$B$9/$E$9,0)+IF(AND(Assumptions!DT$72&gt;=$D$10,Assumptions!DT$72&lt;$D$10+$E$10),$B$10/$E$10,0))</f>
        <v/>
      </c>
    </row>
    <row r="18">
      <c r="A18" s="10" t="inlineStr">
        <is>
          <t>Financed capital draw ($/mo, +)</t>
        </is>
      </c>
      <c r="E18" s="52">
        <f>(IF(AND(Assumptions!E$72&gt;=$D$7,Assumptions!E$72&lt;$D$7+$E$7,$C$7="Financed"),$B$7/$E$7,0)+IF(AND(Assumptions!E$72&gt;=$D$8,Assumptions!E$72&lt;$D$8+$E$8,$C$8="Financed"),$B$8/$E$8,0)+IF(AND(Assumptions!E$72&gt;=$D$9,Assumptions!E$72&lt;$D$9+$E$9,$C$9="Financed"),$B$9/$E$9,0)+IF(AND(Assumptions!E$72&gt;=$D$10,Assumptions!E$72&lt;$D$10+$E$10,$C$10="Financed"),$B$10/$E$10,0))</f>
        <v/>
      </c>
      <c r="F18" s="52">
        <f>(IF(AND(Assumptions!F$72&gt;=$D$7,Assumptions!F$72&lt;$D$7+$E$7,$C$7="Financed"),$B$7/$E$7,0)+IF(AND(Assumptions!F$72&gt;=$D$8,Assumptions!F$72&lt;$D$8+$E$8,$C$8="Financed"),$B$8/$E$8,0)+IF(AND(Assumptions!F$72&gt;=$D$9,Assumptions!F$72&lt;$D$9+$E$9,$C$9="Financed"),$B$9/$E$9,0)+IF(AND(Assumptions!F$72&gt;=$D$10,Assumptions!F$72&lt;$D$10+$E$10,$C$10="Financed"),$B$10/$E$10,0))</f>
        <v/>
      </c>
      <c r="G18" s="52">
        <f>(IF(AND(Assumptions!G$72&gt;=$D$7,Assumptions!G$72&lt;$D$7+$E$7,$C$7="Financed"),$B$7/$E$7,0)+IF(AND(Assumptions!G$72&gt;=$D$8,Assumptions!G$72&lt;$D$8+$E$8,$C$8="Financed"),$B$8/$E$8,0)+IF(AND(Assumptions!G$72&gt;=$D$9,Assumptions!G$72&lt;$D$9+$E$9,$C$9="Financed"),$B$9/$E$9,0)+IF(AND(Assumptions!G$72&gt;=$D$10,Assumptions!G$72&lt;$D$10+$E$10,$C$10="Financed"),$B$10/$E$10,0))</f>
        <v/>
      </c>
      <c r="H18" s="52">
        <f>(IF(AND(Assumptions!H$72&gt;=$D$7,Assumptions!H$72&lt;$D$7+$E$7,$C$7="Financed"),$B$7/$E$7,0)+IF(AND(Assumptions!H$72&gt;=$D$8,Assumptions!H$72&lt;$D$8+$E$8,$C$8="Financed"),$B$8/$E$8,0)+IF(AND(Assumptions!H$72&gt;=$D$9,Assumptions!H$72&lt;$D$9+$E$9,$C$9="Financed"),$B$9/$E$9,0)+IF(AND(Assumptions!H$72&gt;=$D$10,Assumptions!H$72&lt;$D$10+$E$10,$C$10="Financed"),$B$10/$E$10,0))</f>
        <v/>
      </c>
      <c r="I18" s="52">
        <f>(IF(AND(Assumptions!I$72&gt;=$D$7,Assumptions!I$72&lt;$D$7+$E$7,$C$7="Financed"),$B$7/$E$7,0)+IF(AND(Assumptions!I$72&gt;=$D$8,Assumptions!I$72&lt;$D$8+$E$8,$C$8="Financed"),$B$8/$E$8,0)+IF(AND(Assumptions!I$72&gt;=$D$9,Assumptions!I$72&lt;$D$9+$E$9,$C$9="Financed"),$B$9/$E$9,0)+IF(AND(Assumptions!I$72&gt;=$D$10,Assumptions!I$72&lt;$D$10+$E$10,$C$10="Financed"),$B$10/$E$10,0))</f>
        <v/>
      </c>
      <c r="J18" s="52">
        <f>(IF(AND(Assumptions!J$72&gt;=$D$7,Assumptions!J$72&lt;$D$7+$E$7,$C$7="Financed"),$B$7/$E$7,0)+IF(AND(Assumptions!J$72&gt;=$D$8,Assumptions!J$72&lt;$D$8+$E$8,$C$8="Financed"),$B$8/$E$8,0)+IF(AND(Assumptions!J$72&gt;=$D$9,Assumptions!J$72&lt;$D$9+$E$9,$C$9="Financed"),$B$9/$E$9,0)+IF(AND(Assumptions!J$72&gt;=$D$10,Assumptions!J$72&lt;$D$10+$E$10,$C$10="Financed"),$B$10/$E$10,0))</f>
        <v/>
      </c>
      <c r="K18" s="52">
        <f>(IF(AND(Assumptions!K$72&gt;=$D$7,Assumptions!K$72&lt;$D$7+$E$7,$C$7="Financed"),$B$7/$E$7,0)+IF(AND(Assumptions!K$72&gt;=$D$8,Assumptions!K$72&lt;$D$8+$E$8,$C$8="Financed"),$B$8/$E$8,0)+IF(AND(Assumptions!K$72&gt;=$D$9,Assumptions!K$72&lt;$D$9+$E$9,$C$9="Financed"),$B$9/$E$9,0)+IF(AND(Assumptions!K$72&gt;=$D$10,Assumptions!K$72&lt;$D$10+$E$10,$C$10="Financed"),$B$10/$E$10,0))</f>
        <v/>
      </c>
      <c r="L18" s="52">
        <f>(IF(AND(Assumptions!L$72&gt;=$D$7,Assumptions!L$72&lt;$D$7+$E$7,$C$7="Financed"),$B$7/$E$7,0)+IF(AND(Assumptions!L$72&gt;=$D$8,Assumptions!L$72&lt;$D$8+$E$8,$C$8="Financed"),$B$8/$E$8,0)+IF(AND(Assumptions!L$72&gt;=$D$9,Assumptions!L$72&lt;$D$9+$E$9,$C$9="Financed"),$B$9/$E$9,0)+IF(AND(Assumptions!L$72&gt;=$D$10,Assumptions!L$72&lt;$D$10+$E$10,$C$10="Financed"),$B$10/$E$10,0))</f>
        <v/>
      </c>
      <c r="M18" s="52">
        <f>(IF(AND(Assumptions!M$72&gt;=$D$7,Assumptions!M$72&lt;$D$7+$E$7,$C$7="Financed"),$B$7/$E$7,0)+IF(AND(Assumptions!M$72&gt;=$D$8,Assumptions!M$72&lt;$D$8+$E$8,$C$8="Financed"),$B$8/$E$8,0)+IF(AND(Assumptions!M$72&gt;=$D$9,Assumptions!M$72&lt;$D$9+$E$9,$C$9="Financed"),$B$9/$E$9,0)+IF(AND(Assumptions!M$72&gt;=$D$10,Assumptions!M$72&lt;$D$10+$E$10,$C$10="Financed"),$B$10/$E$10,0))</f>
        <v/>
      </c>
      <c r="N18" s="52">
        <f>(IF(AND(Assumptions!N$72&gt;=$D$7,Assumptions!N$72&lt;$D$7+$E$7,$C$7="Financed"),$B$7/$E$7,0)+IF(AND(Assumptions!N$72&gt;=$D$8,Assumptions!N$72&lt;$D$8+$E$8,$C$8="Financed"),$B$8/$E$8,0)+IF(AND(Assumptions!N$72&gt;=$D$9,Assumptions!N$72&lt;$D$9+$E$9,$C$9="Financed"),$B$9/$E$9,0)+IF(AND(Assumptions!N$72&gt;=$D$10,Assumptions!N$72&lt;$D$10+$E$10,$C$10="Financed"),$B$10/$E$10,0))</f>
        <v/>
      </c>
      <c r="O18" s="52">
        <f>(IF(AND(Assumptions!O$72&gt;=$D$7,Assumptions!O$72&lt;$D$7+$E$7,$C$7="Financed"),$B$7/$E$7,0)+IF(AND(Assumptions!O$72&gt;=$D$8,Assumptions!O$72&lt;$D$8+$E$8,$C$8="Financed"),$B$8/$E$8,0)+IF(AND(Assumptions!O$72&gt;=$D$9,Assumptions!O$72&lt;$D$9+$E$9,$C$9="Financed"),$B$9/$E$9,0)+IF(AND(Assumptions!O$72&gt;=$D$10,Assumptions!O$72&lt;$D$10+$E$10,$C$10="Financed"),$B$10/$E$10,0))</f>
        <v/>
      </c>
      <c r="P18" s="52">
        <f>(IF(AND(Assumptions!P$72&gt;=$D$7,Assumptions!P$72&lt;$D$7+$E$7,$C$7="Financed"),$B$7/$E$7,0)+IF(AND(Assumptions!P$72&gt;=$D$8,Assumptions!P$72&lt;$D$8+$E$8,$C$8="Financed"),$B$8/$E$8,0)+IF(AND(Assumptions!P$72&gt;=$D$9,Assumptions!P$72&lt;$D$9+$E$9,$C$9="Financed"),$B$9/$E$9,0)+IF(AND(Assumptions!P$72&gt;=$D$10,Assumptions!P$72&lt;$D$10+$E$10,$C$10="Financed"),$B$10/$E$10,0))</f>
        <v/>
      </c>
      <c r="Q18" s="52">
        <f>(IF(AND(Assumptions!Q$72&gt;=$D$7,Assumptions!Q$72&lt;$D$7+$E$7,$C$7="Financed"),$B$7/$E$7,0)+IF(AND(Assumptions!Q$72&gt;=$D$8,Assumptions!Q$72&lt;$D$8+$E$8,$C$8="Financed"),$B$8/$E$8,0)+IF(AND(Assumptions!Q$72&gt;=$D$9,Assumptions!Q$72&lt;$D$9+$E$9,$C$9="Financed"),$B$9/$E$9,0)+IF(AND(Assumptions!Q$72&gt;=$D$10,Assumptions!Q$72&lt;$D$10+$E$10,$C$10="Financed"),$B$10/$E$10,0))</f>
        <v/>
      </c>
      <c r="R18" s="52">
        <f>(IF(AND(Assumptions!R$72&gt;=$D$7,Assumptions!R$72&lt;$D$7+$E$7,$C$7="Financed"),$B$7/$E$7,0)+IF(AND(Assumptions!R$72&gt;=$D$8,Assumptions!R$72&lt;$D$8+$E$8,$C$8="Financed"),$B$8/$E$8,0)+IF(AND(Assumptions!R$72&gt;=$D$9,Assumptions!R$72&lt;$D$9+$E$9,$C$9="Financed"),$B$9/$E$9,0)+IF(AND(Assumptions!R$72&gt;=$D$10,Assumptions!R$72&lt;$D$10+$E$10,$C$10="Financed"),$B$10/$E$10,0))</f>
        <v/>
      </c>
      <c r="S18" s="52">
        <f>(IF(AND(Assumptions!S$72&gt;=$D$7,Assumptions!S$72&lt;$D$7+$E$7,$C$7="Financed"),$B$7/$E$7,0)+IF(AND(Assumptions!S$72&gt;=$D$8,Assumptions!S$72&lt;$D$8+$E$8,$C$8="Financed"),$B$8/$E$8,0)+IF(AND(Assumptions!S$72&gt;=$D$9,Assumptions!S$72&lt;$D$9+$E$9,$C$9="Financed"),$B$9/$E$9,0)+IF(AND(Assumptions!S$72&gt;=$D$10,Assumptions!S$72&lt;$D$10+$E$10,$C$10="Financed"),$B$10/$E$10,0))</f>
        <v/>
      </c>
      <c r="T18" s="52">
        <f>(IF(AND(Assumptions!T$72&gt;=$D$7,Assumptions!T$72&lt;$D$7+$E$7,$C$7="Financed"),$B$7/$E$7,0)+IF(AND(Assumptions!T$72&gt;=$D$8,Assumptions!T$72&lt;$D$8+$E$8,$C$8="Financed"),$B$8/$E$8,0)+IF(AND(Assumptions!T$72&gt;=$D$9,Assumptions!T$72&lt;$D$9+$E$9,$C$9="Financed"),$B$9/$E$9,0)+IF(AND(Assumptions!T$72&gt;=$D$10,Assumptions!T$72&lt;$D$10+$E$10,$C$10="Financed"),$B$10/$E$10,0))</f>
        <v/>
      </c>
      <c r="U18" s="52">
        <f>(IF(AND(Assumptions!U$72&gt;=$D$7,Assumptions!U$72&lt;$D$7+$E$7,$C$7="Financed"),$B$7/$E$7,0)+IF(AND(Assumptions!U$72&gt;=$D$8,Assumptions!U$72&lt;$D$8+$E$8,$C$8="Financed"),$B$8/$E$8,0)+IF(AND(Assumptions!U$72&gt;=$D$9,Assumptions!U$72&lt;$D$9+$E$9,$C$9="Financed"),$B$9/$E$9,0)+IF(AND(Assumptions!U$72&gt;=$D$10,Assumptions!U$72&lt;$D$10+$E$10,$C$10="Financed"),$B$10/$E$10,0))</f>
        <v/>
      </c>
      <c r="V18" s="52">
        <f>(IF(AND(Assumptions!V$72&gt;=$D$7,Assumptions!V$72&lt;$D$7+$E$7,$C$7="Financed"),$B$7/$E$7,0)+IF(AND(Assumptions!V$72&gt;=$D$8,Assumptions!V$72&lt;$D$8+$E$8,$C$8="Financed"),$B$8/$E$8,0)+IF(AND(Assumptions!V$72&gt;=$D$9,Assumptions!V$72&lt;$D$9+$E$9,$C$9="Financed"),$B$9/$E$9,0)+IF(AND(Assumptions!V$72&gt;=$D$10,Assumptions!V$72&lt;$D$10+$E$10,$C$10="Financed"),$B$10/$E$10,0))</f>
        <v/>
      </c>
      <c r="W18" s="52">
        <f>(IF(AND(Assumptions!W$72&gt;=$D$7,Assumptions!W$72&lt;$D$7+$E$7,$C$7="Financed"),$B$7/$E$7,0)+IF(AND(Assumptions!W$72&gt;=$D$8,Assumptions!W$72&lt;$D$8+$E$8,$C$8="Financed"),$B$8/$E$8,0)+IF(AND(Assumptions!W$72&gt;=$D$9,Assumptions!W$72&lt;$D$9+$E$9,$C$9="Financed"),$B$9/$E$9,0)+IF(AND(Assumptions!W$72&gt;=$D$10,Assumptions!W$72&lt;$D$10+$E$10,$C$10="Financed"),$B$10/$E$10,0))</f>
        <v/>
      </c>
      <c r="X18" s="52">
        <f>(IF(AND(Assumptions!X$72&gt;=$D$7,Assumptions!X$72&lt;$D$7+$E$7,$C$7="Financed"),$B$7/$E$7,0)+IF(AND(Assumptions!X$72&gt;=$D$8,Assumptions!X$72&lt;$D$8+$E$8,$C$8="Financed"),$B$8/$E$8,0)+IF(AND(Assumptions!X$72&gt;=$D$9,Assumptions!X$72&lt;$D$9+$E$9,$C$9="Financed"),$B$9/$E$9,0)+IF(AND(Assumptions!X$72&gt;=$D$10,Assumptions!X$72&lt;$D$10+$E$10,$C$10="Financed"),$B$10/$E$10,0))</f>
        <v/>
      </c>
      <c r="Y18" s="52">
        <f>(IF(AND(Assumptions!Y$72&gt;=$D$7,Assumptions!Y$72&lt;$D$7+$E$7,$C$7="Financed"),$B$7/$E$7,0)+IF(AND(Assumptions!Y$72&gt;=$D$8,Assumptions!Y$72&lt;$D$8+$E$8,$C$8="Financed"),$B$8/$E$8,0)+IF(AND(Assumptions!Y$72&gt;=$D$9,Assumptions!Y$72&lt;$D$9+$E$9,$C$9="Financed"),$B$9/$E$9,0)+IF(AND(Assumptions!Y$72&gt;=$D$10,Assumptions!Y$72&lt;$D$10+$E$10,$C$10="Financed"),$B$10/$E$10,0))</f>
        <v/>
      </c>
      <c r="Z18" s="52">
        <f>(IF(AND(Assumptions!Z$72&gt;=$D$7,Assumptions!Z$72&lt;$D$7+$E$7,$C$7="Financed"),$B$7/$E$7,0)+IF(AND(Assumptions!Z$72&gt;=$D$8,Assumptions!Z$72&lt;$D$8+$E$8,$C$8="Financed"),$B$8/$E$8,0)+IF(AND(Assumptions!Z$72&gt;=$D$9,Assumptions!Z$72&lt;$D$9+$E$9,$C$9="Financed"),$B$9/$E$9,0)+IF(AND(Assumptions!Z$72&gt;=$D$10,Assumptions!Z$72&lt;$D$10+$E$10,$C$10="Financed"),$B$10/$E$10,0))</f>
        <v/>
      </c>
      <c r="AA18" s="52">
        <f>(IF(AND(Assumptions!AA$72&gt;=$D$7,Assumptions!AA$72&lt;$D$7+$E$7,$C$7="Financed"),$B$7/$E$7,0)+IF(AND(Assumptions!AA$72&gt;=$D$8,Assumptions!AA$72&lt;$D$8+$E$8,$C$8="Financed"),$B$8/$E$8,0)+IF(AND(Assumptions!AA$72&gt;=$D$9,Assumptions!AA$72&lt;$D$9+$E$9,$C$9="Financed"),$B$9/$E$9,0)+IF(AND(Assumptions!AA$72&gt;=$D$10,Assumptions!AA$72&lt;$D$10+$E$10,$C$10="Financed"),$B$10/$E$10,0))</f>
        <v/>
      </c>
      <c r="AB18" s="52">
        <f>(IF(AND(Assumptions!AB$72&gt;=$D$7,Assumptions!AB$72&lt;$D$7+$E$7,$C$7="Financed"),$B$7/$E$7,0)+IF(AND(Assumptions!AB$72&gt;=$D$8,Assumptions!AB$72&lt;$D$8+$E$8,$C$8="Financed"),$B$8/$E$8,0)+IF(AND(Assumptions!AB$72&gt;=$D$9,Assumptions!AB$72&lt;$D$9+$E$9,$C$9="Financed"),$B$9/$E$9,0)+IF(AND(Assumptions!AB$72&gt;=$D$10,Assumptions!AB$72&lt;$D$10+$E$10,$C$10="Financed"),$B$10/$E$10,0))</f>
        <v/>
      </c>
      <c r="AC18" s="52">
        <f>(IF(AND(Assumptions!AC$72&gt;=$D$7,Assumptions!AC$72&lt;$D$7+$E$7,$C$7="Financed"),$B$7/$E$7,0)+IF(AND(Assumptions!AC$72&gt;=$D$8,Assumptions!AC$72&lt;$D$8+$E$8,$C$8="Financed"),$B$8/$E$8,0)+IF(AND(Assumptions!AC$72&gt;=$D$9,Assumptions!AC$72&lt;$D$9+$E$9,$C$9="Financed"),$B$9/$E$9,0)+IF(AND(Assumptions!AC$72&gt;=$D$10,Assumptions!AC$72&lt;$D$10+$E$10,$C$10="Financed"),$B$10/$E$10,0))</f>
        <v/>
      </c>
      <c r="AD18" s="52">
        <f>(IF(AND(Assumptions!AD$72&gt;=$D$7,Assumptions!AD$72&lt;$D$7+$E$7,$C$7="Financed"),$B$7/$E$7,0)+IF(AND(Assumptions!AD$72&gt;=$D$8,Assumptions!AD$72&lt;$D$8+$E$8,$C$8="Financed"),$B$8/$E$8,0)+IF(AND(Assumptions!AD$72&gt;=$D$9,Assumptions!AD$72&lt;$D$9+$E$9,$C$9="Financed"),$B$9/$E$9,0)+IF(AND(Assumptions!AD$72&gt;=$D$10,Assumptions!AD$72&lt;$D$10+$E$10,$C$10="Financed"),$B$10/$E$10,0))</f>
        <v/>
      </c>
      <c r="AE18" s="52">
        <f>(IF(AND(Assumptions!AE$72&gt;=$D$7,Assumptions!AE$72&lt;$D$7+$E$7,$C$7="Financed"),$B$7/$E$7,0)+IF(AND(Assumptions!AE$72&gt;=$D$8,Assumptions!AE$72&lt;$D$8+$E$8,$C$8="Financed"),$B$8/$E$8,0)+IF(AND(Assumptions!AE$72&gt;=$D$9,Assumptions!AE$72&lt;$D$9+$E$9,$C$9="Financed"),$B$9/$E$9,0)+IF(AND(Assumptions!AE$72&gt;=$D$10,Assumptions!AE$72&lt;$D$10+$E$10,$C$10="Financed"),$B$10/$E$10,0))</f>
        <v/>
      </c>
      <c r="AF18" s="52">
        <f>(IF(AND(Assumptions!AF$72&gt;=$D$7,Assumptions!AF$72&lt;$D$7+$E$7,$C$7="Financed"),$B$7/$E$7,0)+IF(AND(Assumptions!AF$72&gt;=$D$8,Assumptions!AF$72&lt;$D$8+$E$8,$C$8="Financed"),$B$8/$E$8,0)+IF(AND(Assumptions!AF$72&gt;=$D$9,Assumptions!AF$72&lt;$D$9+$E$9,$C$9="Financed"),$B$9/$E$9,0)+IF(AND(Assumptions!AF$72&gt;=$D$10,Assumptions!AF$72&lt;$D$10+$E$10,$C$10="Financed"),$B$10/$E$10,0))</f>
        <v/>
      </c>
      <c r="AG18" s="52">
        <f>(IF(AND(Assumptions!AG$72&gt;=$D$7,Assumptions!AG$72&lt;$D$7+$E$7,$C$7="Financed"),$B$7/$E$7,0)+IF(AND(Assumptions!AG$72&gt;=$D$8,Assumptions!AG$72&lt;$D$8+$E$8,$C$8="Financed"),$B$8/$E$8,0)+IF(AND(Assumptions!AG$72&gt;=$D$9,Assumptions!AG$72&lt;$D$9+$E$9,$C$9="Financed"),$B$9/$E$9,0)+IF(AND(Assumptions!AG$72&gt;=$D$10,Assumptions!AG$72&lt;$D$10+$E$10,$C$10="Financed"),$B$10/$E$10,0))</f>
        <v/>
      </c>
      <c r="AH18" s="52">
        <f>(IF(AND(Assumptions!AH$72&gt;=$D$7,Assumptions!AH$72&lt;$D$7+$E$7,$C$7="Financed"),$B$7/$E$7,0)+IF(AND(Assumptions!AH$72&gt;=$D$8,Assumptions!AH$72&lt;$D$8+$E$8,$C$8="Financed"),$B$8/$E$8,0)+IF(AND(Assumptions!AH$72&gt;=$D$9,Assumptions!AH$72&lt;$D$9+$E$9,$C$9="Financed"),$B$9/$E$9,0)+IF(AND(Assumptions!AH$72&gt;=$D$10,Assumptions!AH$72&lt;$D$10+$E$10,$C$10="Financed"),$B$10/$E$10,0))</f>
        <v/>
      </c>
      <c r="AI18" s="52">
        <f>(IF(AND(Assumptions!AI$72&gt;=$D$7,Assumptions!AI$72&lt;$D$7+$E$7,$C$7="Financed"),$B$7/$E$7,0)+IF(AND(Assumptions!AI$72&gt;=$D$8,Assumptions!AI$72&lt;$D$8+$E$8,$C$8="Financed"),$B$8/$E$8,0)+IF(AND(Assumptions!AI$72&gt;=$D$9,Assumptions!AI$72&lt;$D$9+$E$9,$C$9="Financed"),$B$9/$E$9,0)+IF(AND(Assumptions!AI$72&gt;=$D$10,Assumptions!AI$72&lt;$D$10+$E$10,$C$10="Financed"),$B$10/$E$10,0))</f>
        <v/>
      </c>
      <c r="AJ18" s="52">
        <f>(IF(AND(Assumptions!AJ$72&gt;=$D$7,Assumptions!AJ$72&lt;$D$7+$E$7,$C$7="Financed"),$B$7/$E$7,0)+IF(AND(Assumptions!AJ$72&gt;=$D$8,Assumptions!AJ$72&lt;$D$8+$E$8,$C$8="Financed"),$B$8/$E$8,0)+IF(AND(Assumptions!AJ$72&gt;=$D$9,Assumptions!AJ$72&lt;$D$9+$E$9,$C$9="Financed"),$B$9/$E$9,0)+IF(AND(Assumptions!AJ$72&gt;=$D$10,Assumptions!AJ$72&lt;$D$10+$E$10,$C$10="Financed"),$B$10/$E$10,0))</f>
        <v/>
      </c>
      <c r="AK18" s="52">
        <f>(IF(AND(Assumptions!AK$72&gt;=$D$7,Assumptions!AK$72&lt;$D$7+$E$7,$C$7="Financed"),$B$7/$E$7,0)+IF(AND(Assumptions!AK$72&gt;=$D$8,Assumptions!AK$72&lt;$D$8+$E$8,$C$8="Financed"),$B$8/$E$8,0)+IF(AND(Assumptions!AK$72&gt;=$D$9,Assumptions!AK$72&lt;$D$9+$E$9,$C$9="Financed"),$B$9/$E$9,0)+IF(AND(Assumptions!AK$72&gt;=$D$10,Assumptions!AK$72&lt;$D$10+$E$10,$C$10="Financed"),$B$10/$E$10,0))</f>
        <v/>
      </c>
      <c r="AL18" s="52">
        <f>(IF(AND(Assumptions!AL$72&gt;=$D$7,Assumptions!AL$72&lt;$D$7+$E$7,$C$7="Financed"),$B$7/$E$7,0)+IF(AND(Assumptions!AL$72&gt;=$D$8,Assumptions!AL$72&lt;$D$8+$E$8,$C$8="Financed"),$B$8/$E$8,0)+IF(AND(Assumptions!AL$72&gt;=$D$9,Assumptions!AL$72&lt;$D$9+$E$9,$C$9="Financed"),$B$9/$E$9,0)+IF(AND(Assumptions!AL$72&gt;=$D$10,Assumptions!AL$72&lt;$D$10+$E$10,$C$10="Financed"),$B$10/$E$10,0))</f>
        <v/>
      </c>
      <c r="AM18" s="52">
        <f>(IF(AND(Assumptions!AM$72&gt;=$D$7,Assumptions!AM$72&lt;$D$7+$E$7,$C$7="Financed"),$B$7/$E$7,0)+IF(AND(Assumptions!AM$72&gt;=$D$8,Assumptions!AM$72&lt;$D$8+$E$8,$C$8="Financed"),$B$8/$E$8,0)+IF(AND(Assumptions!AM$72&gt;=$D$9,Assumptions!AM$72&lt;$D$9+$E$9,$C$9="Financed"),$B$9/$E$9,0)+IF(AND(Assumptions!AM$72&gt;=$D$10,Assumptions!AM$72&lt;$D$10+$E$10,$C$10="Financed"),$B$10/$E$10,0))</f>
        <v/>
      </c>
      <c r="AN18" s="52">
        <f>(IF(AND(Assumptions!AN$72&gt;=$D$7,Assumptions!AN$72&lt;$D$7+$E$7,$C$7="Financed"),$B$7/$E$7,0)+IF(AND(Assumptions!AN$72&gt;=$D$8,Assumptions!AN$72&lt;$D$8+$E$8,$C$8="Financed"),$B$8/$E$8,0)+IF(AND(Assumptions!AN$72&gt;=$D$9,Assumptions!AN$72&lt;$D$9+$E$9,$C$9="Financed"),$B$9/$E$9,0)+IF(AND(Assumptions!AN$72&gt;=$D$10,Assumptions!AN$72&lt;$D$10+$E$10,$C$10="Financed"),$B$10/$E$10,0))</f>
        <v/>
      </c>
      <c r="AO18" s="52">
        <f>(IF(AND(Assumptions!AO$72&gt;=$D$7,Assumptions!AO$72&lt;$D$7+$E$7,$C$7="Financed"),$B$7/$E$7,0)+IF(AND(Assumptions!AO$72&gt;=$D$8,Assumptions!AO$72&lt;$D$8+$E$8,$C$8="Financed"),$B$8/$E$8,0)+IF(AND(Assumptions!AO$72&gt;=$D$9,Assumptions!AO$72&lt;$D$9+$E$9,$C$9="Financed"),$B$9/$E$9,0)+IF(AND(Assumptions!AO$72&gt;=$D$10,Assumptions!AO$72&lt;$D$10+$E$10,$C$10="Financed"),$B$10/$E$10,0))</f>
        <v/>
      </c>
      <c r="AP18" s="52">
        <f>(IF(AND(Assumptions!AP$72&gt;=$D$7,Assumptions!AP$72&lt;$D$7+$E$7,$C$7="Financed"),$B$7/$E$7,0)+IF(AND(Assumptions!AP$72&gt;=$D$8,Assumptions!AP$72&lt;$D$8+$E$8,$C$8="Financed"),$B$8/$E$8,0)+IF(AND(Assumptions!AP$72&gt;=$D$9,Assumptions!AP$72&lt;$D$9+$E$9,$C$9="Financed"),$B$9/$E$9,0)+IF(AND(Assumptions!AP$72&gt;=$D$10,Assumptions!AP$72&lt;$D$10+$E$10,$C$10="Financed"),$B$10/$E$10,0))</f>
        <v/>
      </c>
      <c r="AQ18" s="52">
        <f>(IF(AND(Assumptions!AQ$72&gt;=$D$7,Assumptions!AQ$72&lt;$D$7+$E$7,$C$7="Financed"),$B$7/$E$7,0)+IF(AND(Assumptions!AQ$72&gt;=$D$8,Assumptions!AQ$72&lt;$D$8+$E$8,$C$8="Financed"),$B$8/$E$8,0)+IF(AND(Assumptions!AQ$72&gt;=$D$9,Assumptions!AQ$72&lt;$D$9+$E$9,$C$9="Financed"),$B$9/$E$9,0)+IF(AND(Assumptions!AQ$72&gt;=$D$10,Assumptions!AQ$72&lt;$D$10+$E$10,$C$10="Financed"),$B$10/$E$10,0))</f>
        <v/>
      </c>
      <c r="AR18" s="52">
        <f>(IF(AND(Assumptions!AR$72&gt;=$D$7,Assumptions!AR$72&lt;$D$7+$E$7,$C$7="Financed"),$B$7/$E$7,0)+IF(AND(Assumptions!AR$72&gt;=$D$8,Assumptions!AR$72&lt;$D$8+$E$8,$C$8="Financed"),$B$8/$E$8,0)+IF(AND(Assumptions!AR$72&gt;=$D$9,Assumptions!AR$72&lt;$D$9+$E$9,$C$9="Financed"),$B$9/$E$9,0)+IF(AND(Assumptions!AR$72&gt;=$D$10,Assumptions!AR$72&lt;$D$10+$E$10,$C$10="Financed"),$B$10/$E$10,0))</f>
        <v/>
      </c>
      <c r="AS18" s="52">
        <f>(IF(AND(Assumptions!AS$72&gt;=$D$7,Assumptions!AS$72&lt;$D$7+$E$7,$C$7="Financed"),$B$7/$E$7,0)+IF(AND(Assumptions!AS$72&gt;=$D$8,Assumptions!AS$72&lt;$D$8+$E$8,$C$8="Financed"),$B$8/$E$8,0)+IF(AND(Assumptions!AS$72&gt;=$D$9,Assumptions!AS$72&lt;$D$9+$E$9,$C$9="Financed"),$B$9/$E$9,0)+IF(AND(Assumptions!AS$72&gt;=$D$10,Assumptions!AS$72&lt;$D$10+$E$10,$C$10="Financed"),$B$10/$E$10,0))</f>
        <v/>
      </c>
      <c r="AT18" s="52">
        <f>(IF(AND(Assumptions!AT$72&gt;=$D$7,Assumptions!AT$72&lt;$D$7+$E$7,$C$7="Financed"),$B$7/$E$7,0)+IF(AND(Assumptions!AT$72&gt;=$D$8,Assumptions!AT$72&lt;$D$8+$E$8,$C$8="Financed"),$B$8/$E$8,0)+IF(AND(Assumptions!AT$72&gt;=$D$9,Assumptions!AT$72&lt;$D$9+$E$9,$C$9="Financed"),$B$9/$E$9,0)+IF(AND(Assumptions!AT$72&gt;=$D$10,Assumptions!AT$72&lt;$D$10+$E$10,$C$10="Financed"),$B$10/$E$10,0))</f>
        <v/>
      </c>
      <c r="AU18" s="52">
        <f>(IF(AND(Assumptions!AU$72&gt;=$D$7,Assumptions!AU$72&lt;$D$7+$E$7,$C$7="Financed"),$B$7/$E$7,0)+IF(AND(Assumptions!AU$72&gt;=$D$8,Assumptions!AU$72&lt;$D$8+$E$8,$C$8="Financed"),$B$8/$E$8,0)+IF(AND(Assumptions!AU$72&gt;=$D$9,Assumptions!AU$72&lt;$D$9+$E$9,$C$9="Financed"),$B$9/$E$9,0)+IF(AND(Assumptions!AU$72&gt;=$D$10,Assumptions!AU$72&lt;$D$10+$E$10,$C$10="Financed"),$B$10/$E$10,0))</f>
        <v/>
      </c>
      <c r="AV18" s="52">
        <f>(IF(AND(Assumptions!AV$72&gt;=$D$7,Assumptions!AV$72&lt;$D$7+$E$7,$C$7="Financed"),$B$7/$E$7,0)+IF(AND(Assumptions!AV$72&gt;=$D$8,Assumptions!AV$72&lt;$D$8+$E$8,$C$8="Financed"),$B$8/$E$8,0)+IF(AND(Assumptions!AV$72&gt;=$D$9,Assumptions!AV$72&lt;$D$9+$E$9,$C$9="Financed"),$B$9/$E$9,0)+IF(AND(Assumptions!AV$72&gt;=$D$10,Assumptions!AV$72&lt;$D$10+$E$10,$C$10="Financed"),$B$10/$E$10,0))</f>
        <v/>
      </c>
      <c r="AW18" s="52">
        <f>(IF(AND(Assumptions!AW$72&gt;=$D$7,Assumptions!AW$72&lt;$D$7+$E$7,$C$7="Financed"),$B$7/$E$7,0)+IF(AND(Assumptions!AW$72&gt;=$D$8,Assumptions!AW$72&lt;$D$8+$E$8,$C$8="Financed"),$B$8/$E$8,0)+IF(AND(Assumptions!AW$72&gt;=$D$9,Assumptions!AW$72&lt;$D$9+$E$9,$C$9="Financed"),$B$9/$E$9,0)+IF(AND(Assumptions!AW$72&gt;=$D$10,Assumptions!AW$72&lt;$D$10+$E$10,$C$10="Financed"),$B$10/$E$10,0))</f>
        <v/>
      </c>
      <c r="AX18" s="52">
        <f>(IF(AND(Assumptions!AX$72&gt;=$D$7,Assumptions!AX$72&lt;$D$7+$E$7,$C$7="Financed"),$B$7/$E$7,0)+IF(AND(Assumptions!AX$72&gt;=$D$8,Assumptions!AX$72&lt;$D$8+$E$8,$C$8="Financed"),$B$8/$E$8,0)+IF(AND(Assumptions!AX$72&gt;=$D$9,Assumptions!AX$72&lt;$D$9+$E$9,$C$9="Financed"),$B$9/$E$9,0)+IF(AND(Assumptions!AX$72&gt;=$D$10,Assumptions!AX$72&lt;$D$10+$E$10,$C$10="Financed"),$B$10/$E$10,0))</f>
        <v/>
      </c>
      <c r="AY18" s="52">
        <f>(IF(AND(Assumptions!AY$72&gt;=$D$7,Assumptions!AY$72&lt;$D$7+$E$7,$C$7="Financed"),$B$7/$E$7,0)+IF(AND(Assumptions!AY$72&gt;=$D$8,Assumptions!AY$72&lt;$D$8+$E$8,$C$8="Financed"),$B$8/$E$8,0)+IF(AND(Assumptions!AY$72&gt;=$D$9,Assumptions!AY$72&lt;$D$9+$E$9,$C$9="Financed"),$B$9/$E$9,0)+IF(AND(Assumptions!AY$72&gt;=$D$10,Assumptions!AY$72&lt;$D$10+$E$10,$C$10="Financed"),$B$10/$E$10,0))</f>
        <v/>
      </c>
      <c r="AZ18" s="52">
        <f>(IF(AND(Assumptions!AZ$72&gt;=$D$7,Assumptions!AZ$72&lt;$D$7+$E$7,$C$7="Financed"),$B$7/$E$7,0)+IF(AND(Assumptions!AZ$72&gt;=$D$8,Assumptions!AZ$72&lt;$D$8+$E$8,$C$8="Financed"),$B$8/$E$8,0)+IF(AND(Assumptions!AZ$72&gt;=$D$9,Assumptions!AZ$72&lt;$D$9+$E$9,$C$9="Financed"),$B$9/$E$9,0)+IF(AND(Assumptions!AZ$72&gt;=$D$10,Assumptions!AZ$72&lt;$D$10+$E$10,$C$10="Financed"),$B$10/$E$10,0))</f>
        <v/>
      </c>
      <c r="BA18" s="52">
        <f>(IF(AND(Assumptions!BA$72&gt;=$D$7,Assumptions!BA$72&lt;$D$7+$E$7,$C$7="Financed"),$B$7/$E$7,0)+IF(AND(Assumptions!BA$72&gt;=$D$8,Assumptions!BA$72&lt;$D$8+$E$8,$C$8="Financed"),$B$8/$E$8,0)+IF(AND(Assumptions!BA$72&gt;=$D$9,Assumptions!BA$72&lt;$D$9+$E$9,$C$9="Financed"),$B$9/$E$9,0)+IF(AND(Assumptions!BA$72&gt;=$D$10,Assumptions!BA$72&lt;$D$10+$E$10,$C$10="Financed"),$B$10/$E$10,0))</f>
        <v/>
      </c>
      <c r="BB18" s="52">
        <f>(IF(AND(Assumptions!BB$72&gt;=$D$7,Assumptions!BB$72&lt;$D$7+$E$7,$C$7="Financed"),$B$7/$E$7,0)+IF(AND(Assumptions!BB$72&gt;=$D$8,Assumptions!BB$72&lt;$D$8+$E$8,$C$8="Financed"),$B$8/$E$8,0)+IF(AND(Assumptions!BB$72&gt;=$D$9,Assumptions!BB$72&lt;$D$9+$E$9,$C$9="Financed"),$B$9/$E$9,0)+IF(AND(Assumptions!BB$72&gt;=$D$10,Assumptions!BB$72&lt;$D$10+$E$10,$C$10="Financed"),$B$10/$E$10,0))</f>
        <v/>
      </c>
      <c r="BC18" s="52">
        <f>(IF(AND(Assumptions!BC$72&gt;=$D$7,Assumptions!BC$72&lt;$D$7+$E$7,$C$7="Financed"),$B$7/$E$7,0)+IF(AND(Assumptions!BC$72&gt;=$D$8,Assumptions!BC$72&lt;$D$8+$E$8,$C$8="Financed"),$B$8/$E$8,0)+IF(AND(Assumptions!BC$72&gt;=$D$9,Assumptions!BC$72&lt;$D$9+$E$9,$C$9="Financed"),$B$9/$E$9,0)+IF(AND(Assumptions!BC$72&gt;=$D$10,Assumptions!BC$72&lt;$D$10+$E$10,$C$10="Financed"),$B$10/$E$10,0))</f>
        <v/>
      </c>
      <c r="BD18" s="52">
        <f>(IF(AND(Assumptions!BD$72&gt;=$D$7,Assumptions!BD$72&lt;$D$7+$E$7,$C$7="Financed"),$B$7/$E$7,0)+IF(AND(Assumptions!BD$72&gt;=$D$8,Assumptions!BD$72&lt;$D$8+$E$8,$C$8="Financed"),$B$8/$E$8,0)+IF(AND(Assumptions!BD$72&gt;=$D$9,Assumptions!BD$72&lt;$D$9+$E$9,$C$9="Financed"),$B$9/$E$9,0)+IF(AND(Assumptions!BD$72&gt;=$D$10,Assumptions!BD$72&lt;$D$10+$E$10,$C$10="Financed"),$B$10/$E$10,0))</f>
        <v/>
      </c>
      <c r="BE18" s="52">
        <f>(IF(AND(Assumptions!BE$72&gt;=$D$7,Assumptions!BE$72&lt;$D$7+$E$7,$C$7="Financed"),$B$7/$E$7,0)+IF(AND(Assumptions!BE$72&gt;=$D$8,Assumptions!BE$72&lt;$D$8+$E$8,$C$8="Financed"),$B$8/$E$8,0)+IF(AND(Assumptions!BE$72&gt;=$D$9,Assumptions!BE$72&lt;$D$9+$E$9,$C$9="Financed"),$B$9/$E$9,0)+IF(AND(Assumptions!BE$72&gt;=$D$10,Assumptions!BE$72&lt;$D$10+$E$10,$C$10="Financed"),$B$10/$E$10,0))</f>
        <v/>
      </c>
      <c r="BF18" s="52">
        <f>(IF(AND(Assumptions!BF$72&gt;=$D$7,Assumptions!BF$72&lt;$D$7+$E$7,$C$7="Financed"),$B$7/$E$7,0)+IF(AND(Assumptions!BF$72&gt;=$D$8,Assumptions!BF$72&lt;$D$8+$E$8,$C$8="Financed"),$B$8/$E$8,0)+IF(AND(Assumptions!BF$72&gt;=$D$9,Assumptions!BF$72&lt;$D$9+$E$9,$C$9="Financed"),$B$9/$E$9,0)+IF(AND(Assumptions!BF$72&gt;=$D$10,Assumptions!BF$72&lt;$D$10+$E$10,$C$10="Financed"),$B$10/$E$10,0))</f>
        <v/>
      </c>
      <c r="BG18" s="52">
        <f>(IF(AND(Assumptions!BG$72&gt;=$D$7,Assumptions!BG$72&lt;$D$7+$E$7,$C$7="Financed"),$B$7/$E$7,0)+IF(AND(Assumptions!BG$72&gt;=$D$8,Assumptions!BG$72&lt;$D$8+$E$8,$C$8="Financed"),$B$8/$E$8,0)+IF(AND(Assumptions!BG$72&gt;=$D$9,Assumptions!BG$72&lt;$D$9+$E$9,$C$9="Financed"),$B$9/$E$9,0)+IF(AND(Assumptions!BG$72&gt;=$D$10,Assumptions!BG$72&lt;$D$10+$E$10,$C$10="Financed"),$B$10/$E$10,0))</f>
        <v/>
      </c>
      <c r="BH18" s="52">
        <f>(IF(AND(Assumptions!BH$72&gt;=$D$7,Assumptions!BH$72&lt;$D$7+$E$7,$C$7="Financed"),$B$7/$E$7,0)+IF(AND(Assumptions!BH$72&gt;=$D$8,Assumptions!BH$72&lt;$D$8+$E$8,$C$8="Financed"),$B$8/$E$8,0)+IF(AND(Assumptions!BH$72&gt;=$D$9,Assumptions!BH$72&lt;$D$9+$E$9,$C$9="Financed"),$B$9/$E$9,0)+IF(AND(Assumptions!BH$72&gt;=$D$10,Assumptions!BH$72&lt;$D$10+$E$10,$C$10="Financed"),$B$10/$E$10,0))</f>
        <v/>
      </c>
      <c r="BI18" s="52">
        <f>(IF(AND(Assumptions!BI$72&gt;=$D$7,Assumptions!BI$72&lt;$D$7+$E$7,$C$7="Financed"),$B$7/$E$7,0)+IF(AND(Assumptions!BI$72&gt;=$D$8,Assumptions!BI$72&lt;$D$8+$E$8,$C$8="Financed"),$B$8/$E$8,0)+IF(AND(Assumptions!BI$72&gt;=$D$9,Assumptions!BI$72&lt;$D$9+$E$9,$C$9="Financed"),$B$9/$E$9,0)+IF(AND(Assumptions!BI$72&gt;=$D$10,Assumptions!BI$72&lt;$D$10+$E$10,$C$10="Financed"),$B$10/$E$10,0))</f>
        <v/>
      </c>
      <c r="BJ18" s="52">
        <f>(IF(AND(Assumptions!BJ$72&gt;=$D$7,Assumptions!BJ$72&lt;$D$7+$E$7,$C$7="Financed"),$B$7/$E$7,0)+IF(AND(Assumptions!BJ$72&gt;=$D$8,Assumptions!BJ$72&lt;$D$8+$E$8,$C$8="Financed"),$B$8/$E$8,0)+IF(AND(Assumptions!BJ$72&gt;=$D$9,Assumptions!BJ$72&lt;$D$9+$E$9,$C$9="Financed"),$B$9/$E$9,0)+IF(AND(Assumptions!BJ$72&gt;=$D$10,Assumptions!BJ$72&lt;$D$10+$E$10,$C$10="Financed"),$B$10/$E$10,0))</f>
        <v/>
      </c>
      <c r="BK18" s="52">
        <f>(IF(AND(Assumptions!BK$72&gt;=$D$7,Assumptions!BK$72&lt;$D$7+$E$7,$C$7="Financed"),$B$7/$E$7,0)+IF(AND(Assumptions!BK$72&gt;=$D$8,Assumptions!BK$72&lt;$D$8+$E$8,$C$8="Financed"),$B$8/$E$8,0)+IF(AND(Assumptions!BK$72&gt;=$D$9,Assumptions!BK$72&lt;$D$9+$E$9,$C$9="Financed"),$B$9/$E$9,0)+IF(AND(Assumptions!BK$72&gt;=$D$10,Assumptions!BK$72&lt;$D$10+$E$10,$C$10="Financed"),$B$10/$E$10,0))</f>
        <v/>
      </c>
      <c r="BL18" s="52">
        <f>(IF(AND(Assumptions!BL$72&gt;=$D$7,Assumptions!BL$72&lt;$D$7+$E$7,$C$7="Financed"),$B$7/$E$7,0)+IF(AND(Assumptions!BL$72&gt;=$D$8,Assumptions!BL$72&lt;$D$8+$E$8,$C$8="Financed"),$B$8/$E$8,0)+IF(AND(Assumptions!BL$72&gt;=$D$9,Assumptions!BL$72&lt;$D$9+$E$9,$C$9="Financed"),$B$9/$E$9,0)+IF(AND(Assumptions!BL$72&gt;=$D$10,Assumptions!BL$72&lt;$D$10+$E$10,$C$10="Financed"),$B$10/$E$10,0))</f>
        <v/>
      </c>
      <c r="BM18" s="52">
        <f>(IF(AND(Assumptions!BM$72&gt;=$D$7,Assumptions!BM$72&lt;$D$7+$E$7,$C$7="Financed"),$B$7/$E$7,0)+IF(AND(Assumptions!BM$72&gt;=$D$8,Assumptions!BM$72&lt;$D$8+$E$8,$C$8="Financed"),$B$8/$E$8,0)+IF(AND(Assumptions!BM$72&gt;=$D$9,Assumptions!BM$72&lt;$D$9+$E$9,$C$9="Financed"),$B$9/$E$9,0)+IF(AND(Assumptions!BM$72&gt;=$D$10,Assumptions!BM$72&lt;$D$10+$E$10,$C$10="Financed"),$B$10/$E$10,0))</f>
        <v/>
      </c>
      <c r="BN18" s="52">
        <f>(IF(AND(Assumptions!BN$72&gt;=$D$7,Assumptions!BN$72&lt;$D$7+$E$7,$C$7="Financed"),$B$7/$E$7,0)+IF(AND(Assumptions!BN$72&gt;=$D$8,Assumptions!BN$72&lt;$D$8+$E$8,$C$8="Financed"),$B$8/$E$8,0)+IF(AND(Assumptions!BN$72&gt;=$D$9,Assumptions!BN$72&lt;$D$9+$E$9,$C$9="Financed"),$B$9/$E$9,0)+IF(AND(Assumptions!BN$72&gt;=$D$10,Assumptions!BN$72&lt;$D$10+$E$10,$C$10="Financed"),$B$10/$E$10,0))</f>
        <v/>
      </c>
      <c r="BO18" s="52">
        <f>(IF(AND(Assumptions!BO$72&gt;=$D$7,Assumptions!BO$72&lt;$D$7+$E$7,$C$7="Financed"),$B$7/$E$7,0)+IF(AND(Assumptions!BO$72&gt;=$D$8,Assumptions!BO$72&lt;$D$8+$E$8,$C$8="Financed"),$B$8/$E$8,0)+IF(AND(Assumptions!BO$72&gt;=$D$9,Assumptions!BO$72&lt;$D$9+$E$9,$C$9="Financed"),$B$9/$E$9,0)+IF(AND(Assumptions!BO$72&gt;=$D$10,Assumptions!BO$72&lt;$D$10+$E$10,$C$10="Financed"),$B$10/$E$10,0))</f>
        <v/>
      </c>
      <c r="BP18" s="52">
        <f>(IF(AND(Assumptions!BP$72&gt;=$D$7,Assumptions!BP$72&lt;$D$7+$E$7,$C$7="Financed"),$B$7/$E$7,0)+IF(AND(Assumptions!BP$72&gt;=$D$8,Assumptions!BP$72&lt;$D$8+$E$8,$C$8="Financed"),$B$8/$E$8,0)+IF(AND(Assumptions!BP$72&gt;=$D$9,Assumptions!BP$72&lt;$D$9+$E$9,$C$9="Financed"),$B$9/$E$9,0)+IF(AND(Assumptions!BP$72&gt;=$D$10,Assumptions!BP$72&lt;$D$10+$E$10,$C$10="Financed"),$B$10/$E$10,0))</f>
        <v/>
      </c>
      <c r="BQ18" s="52">
        <f>(IF(AND(Assumptions!BQ$72&gt;=$D$7,Assumptions!BQ$72&lt;$D$7+$E$7,$C$7="Financed"),$B$7/$E$7,0)+IF(AND(Assumptions!BQ$72&gt;=$D$8,Assumptions!BQ$72&lt;$D$8+$E$8,$C$8="Financed"),$B$8/$E$8,0)+IF(AND(Assumptions!BQ$72&gt;=$D$9,Assumptions!BQ$72&lt;$D$9+$E$9,$C$9="Financed"),$B$9/$E$9,0)+IF(AND(Assumptions!BQ$72&gt;=$D$10,Assumptions!BQ$72&lt;$D$10+$E$10,$C$10="Financed"),$B$10/$E$10,0))</f>
        <v/>
      </c>
      <c r="BR18" s="52">
        <f>(IF(AND(Assumptions!BR$72&gt;=$D$7,Assumptions!BR$72&lt;$D$7+$E$7,$C$7="Financed"),$B$7/$E$7,0)+IF(AND(Assumptions!BR$72&gt;=$D$8,Assumptions!BR$72&lt;$D$8+$E$8,$C$8="Financed"),$B$8/$E$8,0)+IF(AND(Assumptions!BR$72&gt;=$D$9,Assumptions!BR$72&lt;$D$9+$E$9,$C$9="Financed"),$B$9/$E$9,0)+IF(AND(Assumptions!BR$72&gt;=$D$10,Assumptions!BR$72&lt;$D$10+$E$10,$C$10="Financed"),$B$10/$E$10,0))</f>
        <v/>
      </c>
      <c r="BS18" s="52">
        <f>(IF(AND(Assumptions!BS$72&gt;=$D$7,Assumptions!BS$72&lt;$D$7+$E$7,$C$7="Financed"),$B$7/$E$7,0)+IF(AND(Assumptions!BS$72&gt;=$D$8,Assumptions!BS$72&lt;$D$8+$E$8,$C$8="Financed"),$B$8/$E$8,0)+IF(AND(Assumptions!BS$72&gt;=$D$9,Assumptions!BS$72&lt;$D$9+$E$9,$C$9="Financed"),$B$9/$E$9,0)+IF(AND(Assumptions!BS$72&gt;=$D$10,Assumptions!BS$72&lt;$D$10+$E$10,$C$10="Financed"),$B$10/$E$10,0))</f>
        <v/>
      </c>
      <c r="BT18" s="52">
        <f>(IF(AND(Assumptions!BT$72&gt;=$D$7,Assumptions!BT$72&lt;$D$7+$E$7,$C$7="Financed"),$B$7/$E$7,0)+IF(AND(Assumptions!BT$72&gt;=$D$8,Assumptions!BT$72&lt;$D$8+$E$8,$C$8="Financed"),$B$8/$E$8,0)+IF(AND(Assumptions!BT$72&gt;=$D$9,Assumptions!BT$72&lt;$D$9+$E$9,$C$9="Financed"),$B$9/$E$9,0)+IF(AND(Assumptions!BT$72&gt;=$D$10,Assumptions!BT$72&lt;$D$10+$E$10,$C$10="Financed"),$B$10/$E$10,0))</f>
        <v/>
      </c>
      <c r="BU18" s="52">
        <f>(IF(AND(Assumptions!BU$72&gt;=$D$7,Assumptions!BU$72&lt;$D$7+$E$7,$C$7="Financed"),$B$7/$E$7,0)+IF(AND(Assumptions!BU$72&gt;=$D$8,Assumptions!BU$72&lt;$D$8+$E$8,$C$8="Financed"),$B$8/$E$8,0)+IF(AND(Assumptions!BU$72&gt;=$D$9,Assumptions!BU$72&lt;$D$9+$E$9,$C$9="Financed"),$B$9/$E$9,0)+IF(AND(Assumptions!BU$72&gt;=$D$10,Assumptions!BU$72&lt;$D$10+$E$10,$C$10="Financed"),$B$10/$E$10,0))</f>
        <v/>
      </c>
      <c r="BV18" s="52">
        <f>(IF(AND(Assumptions!BV$72&gt;=$D$7,Assumptions!BV$72&lt;$D$7+$E$7,$C$7="Financed"),$B$7/$E$7,0)+IF(AND(Assumptions!BV$72&gt;=$D$8,Assumptions!BV$72&lt;$D$8+$E$8,$C$8="Financed"),$B$8/$E$8,0)+IF(AND(Assumptions!BV$72&gt;=$D$9,Assumptions!BV$72&lt;$D$9+$E$9,$C$9="Financed"),$B$9/$E$9,0)+IF(AND(Assumptions!BV$72&gt;=$D$10,Assumptions!BV$72&lt;$D$10+$E$10,$C$10="Financed"),$B$10/$E$10,0))</f>
        <v/>
      </c>
      <c r="BW18" s="52">
        <f>(IF(AND(Assumptions!BW$72&gt;=$D$7,Assumptions!BW$72&lt;$D$7+$E$7,$C$7="Financed"),$B$7/$E$7,0)+IF(AND(Assumptions!BW$72&gt;=$D$8,Assumptions!BW$72&lt;$D$8+$E$8,$C$8="Financed"),$B$8/$E$8,0)+IF(AND(Assumptions!BW$72&gt;=$D$9,Assumptions!BW$72&lt;$D$9+$E$9,$C$9="Financed"),$B$9/$E$9,0)+IF(AND(Assumptions!BW$72&gt;=$D$10,Assumptions!BW$72&lt;$D$10+$E$10,$C$10="Financed"),$B$10/$E$10,0))</f>
        <v/>
      </c>
      <c r="BX18" s="52">
        <f>(IF(AND(Assumptions!BX$72&gt;=$D$7,Assumptions!BX$72&lt;$D$7+$E$7,$C$7="Financed"),$B$7/$E$7,0)+IF(AND(Assumptions!BX$72&gt;=$D$8,Assumptions!BX$72&lt;$D$8+$E$8,$C$8="Financed"),$B$8/$E$8,0)+IF(AND(Assumptions!BX$72&gt;=$D$9,Assumptions!BX$72&lt;$D$9+$E$9,$C$9="Financed"),$B$9/$E$9,0)+IF(AND(Assumptions!BX$72&gt;=$D$10,Assumptions!BX$72&lt;$D$10+$E$10,$C$10="Financed"),$B$10/$E$10,0))</f>
        <v/>
      </c>
      <c r="BY18" s="52">
        <f>(IF(AND(Assumptions!BY$72&gt;=$D$7,Assumptions!BY$72&lt;$D$7+$E$7,$C$7="Financed"),$B$7/$E$7,0)+IF(AND(Assumptions!BY$72&gt;=$D$8,Assumptions!BY$72&lt;$D$8+$E$8,$C$8="Financed"),$B$8/$E$8,0)+IF(AND(Assumptions!BY$72&gt;=$D$9,Assumptions!BY$72&lt;$D$9+$E$9,$C$9="Financed"),$B$9/$E$9,0)+IF(AND(Assumptions!BY$72&gt;=$D$10,Assumptions!BY$72&lt;$D$10+$E$10,$C$10="Financed"),$B$10/$E$10,0))</f>
        <v/>
      </c>
      <c r="BZ18" s="52">
        <f>(IF(AND(Assumptions!BZ$72&gt;=$D$7,Assumptions!BZ$72&lt;$D$7+$E$7,$C$7="Financed"),$B$7/$E$7,0)+IF(AND(Assumptions!BZ$72&gt;=$D$8,Assumptions!BZ$72&lt;$D$8+$E$8,$C$8="Financed"),$B$8/$E$8,0)+IF(AND(Assumptions!BZ$72&gt;=$D$9,Assumptions!BZ$72&lt;$D$9+$E$9,$C$9="Financed"),$B$9/$E$9,0)+IF(AND(Assumptions!BZ$72&gt;=$D$10,Assumptions!BZ$72&lt;$D$10+$E$10,$C$10="Financed"),$B$10/$E$10,0))</f>
        <v/>
      </c>
      <c r="CA18" s="52">
        <f>(IF(AND(Assumptions!CA$72&gt;=$D$7,Assumptions!CA$72&lt;$D$7+$E$7,$C$7="Financed"),$B$7/$E$7,0)+IF(AND(Assumptions!CA$72&gt;=$D$8,Assumptions!CA$72&lt;$D$8+$E$8,$C$8="Financed"),$B$8/$E$8,0)+IF(AND(Assumptions!CA$72&gt;=$D$9,Assumptions!CA$72&lt;$D$9+$E$9,$C$9="Financed"),$B$9/$E$9,0)+IF(AND(Assumptions!CA$72&gt;=$D$10,Assumptions!CA$72&lt;$D$10+$E$10,$C$10="Financed"),$B$10/$E$10,0))</f>
        <v/>
      </c>
      <c r="CB18" s="52">
        <f>(IF(AND(Assumptions!CB$72&gt;=$D$7,Assumptions!CB$72&lt;$D$7+$E$7,$C$7="Financed"),$B$7/$E$7,0)+IF(AND(Assumptions!CB$72&gt;=$D$8,Assumptions!CB$72&lt;$D$8+$E$8,$C$8="Financed"),$B$8/$E$8,0)+IF(AND(Assumptions!CB$72&gt;=$D$9,Assumptions!CB$72&lt;$D$9+$E$9,$C$9="Financed"),$B$9/$E$9,0)+IF(AND(Assumptions!CB$72&gt;=$D$10,Assumptions!CB$72&lt;$D$10+$E$10,$C$10="Financed"),$B$10/$E$10,0))</f>
        <v/>
      </c>
      <c r="CC18" s="52">
        <f>(IF(AND(Assumptions!CC$72&gt;=$D$7,Assumptions!CC$72&lt;$D$7+$E$7,$C$7="Financed"),$B$7/$E$7,0)+IF(AND(Assumptions!CC$72&gt;=$D$8,Assumptions!CC$72&lt;$D$8+$E$8,$C$8="Financed"),$B$8/$E$8,0)+IF(AND(Assumptions!CC$72&gt;=$D$9,Assumptions!CC$72&lt;$D$9+$E$9,$C$9="Financed"),$B$9/$E$9,0)+IF(AND(Assumptions!CC$72&gt;=$D$10,Assumptions!CC$72&lt;$D$10+$E$10,$C$10="Financed"),$B$10/$E$10,0))</f>
        <v/>
      </c>
      <c r="CD18" s="52">
        <f>(IF(AND(Assumptions!CD$72&gt;=$D$7,Assumptions!CD$72&lt;$D$7+$E$7,$C$7="Financed"),$B$7/$E$7,0)+IF(AND(Assumptions!CD$72&gt;=$D$8,Assumptions!CD$72&lt;$D$8+$E$8,$C$8="Financed"),$B$8/$E$8,0)+IF(AND(Assumptions!CD$72&gt;=$D$9,Assumptions!CD$72&lt;$D$9+$E$9,$C$9="Financed"),$B$9/$E$9,0)+IF(AND(Assumptions!CD$72&gt;=$D$10,Assumptions!CD$72&lt;$D$10+$E$10,$C$10="Financed"),$B$10/$E$10,0))</f>
        <v/>
      </c>
      <c r="CE18" s="52">
        <f>(IF(AND(Assumptions!CE$72&gt;=$D$7,Assumptions!CE$72&lt;$D$7+$E$7,$C$7="Financed"),$B$7/$E$7,0)+IF(AND(Assumptions!CE$72&gt;=$D$8,Assumptions!CE$72&lt;$D$8+$E$8,$C$8="Financed"),$B$8/$E$8,0)+IF(AND(Assumptions!CE$72&gt;=$D$9,Assumptions!CE$72&lt;$D$9+$E$9,$C$9="Financed"),$B$9/$E$9,0)+IF(AND(Assumptions!CE$72&gt;=$D$10,Assumptions!CE$72&lt;$D$10+$E$10,$C$10="Financed"),$B$10/$E$10,0))</f>
        <v/>
      </c>
      <c r="CF18" s="52">
        <f>(IF(AND(Assumptions!CF$72&gt;=$D$7,Assumptions!CF$72&lt;$D$7+$E$7,$C$7="Financed"),$B$7/$E$7,0)+IF(AND(Assumptions!CF$72&gt;=$D$8,Assumptions!CF$72&lt;$D$8+$E$8,$C$8="Financed"),$B$8/$E$8,0)+IF(AND(Assumptions!CF$72&gt;=$D$9,Assumptions!CF$72&lt;$D$9+$E$9,$C$9="Financed"),$B$9/$E$9,0)+IF(AND(Assumptions!CF$72&gt;=$D$10,Assumptions!CF$72&lt;$D$10+$E$10,$C$10="Financed"),$B$10/$E$10,0))</f>
        <v/>
      </c>
      <c r="CG18" s="52">
        <f>(IF(AND(Assumptions!CG$72&gt;=$D$7,Assumptions!CG$72&lt;$D$7+$E$7,$C$7="Financed"),$B$7/$E$7,0)+IF(AND(Assumptions!CG$72&gt;=$D$8,Assumptions!CG$72&lt;$D$8+$E$8,$C$8="Financed"),$B$8/$E$8,0)+IF(AND(Assumptions!CG$72&gt;=$D$9,Assumptions!CG$72&lt;$D$9+$E$9,$C$9="Financed"),$B$9/$E$9,0)+IF(AND(Assumptions!CG$72&gt;=$D$10,Assumptions!CG$72&lt;$D$10+$E$10,$C$10="Financed"),$B$10/$E$10,0))</f>
        <v/>
      </c>
      <c r="CH18" s="52">
        <f>(IF(AND(Assumptions!CH$72&gt;=$D$7,Assumptions!CH$72&lt;$D$7+$E$7,$C$7="Financed"),$B$7/$E$7,0)+IF(AND(Assumptions!CH$72&gt;=$D$8,Assumptions!CH$72&lt;$D$8+$E$8,$C$8="Financed"),$B$8/$E$8,0)+IF(AND(Assumptions!CH$72&gt;=$D$9,Assumptions!CH$72&lt;$D$9+$E$9,$C$9="Financed"),$B$9/$E$9,0)+IF(AND(Assumptions!CH$72&gt;=$D$10,Assumptions!CH$72&lt;$D$10+$E$10,$C$10="Financed"),$B$10/$E$10,0))</f>
        <v/>
      </c>
      <c r="CI18" s="52">
        <f>(IF(AND(Assumptions!CI$72&gt;=$D$7,Assumptions!CI$72&lt;$D$7+$E$7,$C$7="Financed"),$B$7/$E$7,0)+IF(AND(Assumptions!CI$72&gt;=$D$8,Assumptions!CI$72&lt;$D$8+$E$8,$C$8="Financed"),$B$8/$E$8,0)+IF(AND(Assumptions!CI$72&gt;=$D$9,Assumptions!CI$72&lt;$D$9+$E$9,$C$9="Financed"),$B$9/$E$9,0)+IF(AND(Assumptions!CI$72&gt;=$D$10,Assumptions!CI$72&lt;$D$10+$E$10,$C$10="Financed"),$B$10/$E$10,0))</f>
        <v/>
      </c>
      <c r="CJ18" s="52">
        <f>(IF(AND(Assumptions!CJ$72&gt;=$D$7,Assumptions!CJ$72&lt;$D$7+$E$7,$C$7="Financed"),$B$7/$E$7,0)+IF(AND(Assumptions!CJ$72&gt;=$D$8,Assumptions!CJ$72&lt;$D$8+$E$8,$C$8="Financed"),$B$8/$E$8,0)+IF(AND(Assumptions!CJ$72&gt;=$D$9,Assumptions!CJ$72&lt;$D$9+$E$9,$C$9="Financed"),$B$9/$E$9,0)+IF(AND(Assumptions!CJ$72&gt;=$D$10,Assumptions!CJ$72&lt;$D$10+$E$10,$C$10="Financed"),$B$10/$E$10,0))</f>
        <v/>
      </c>
      <c r="CK18" s="52">
        <f>(IF(AND(Assumptions!CK$72&gt;=$D$7,Assumptions!CK$72&lt;$D$7+$E$7,$C$7="Financed"),$B$7/$E$7,0)+IF(AND(Assumptions!CK$72&gt;=$D$8,Assumptions!CK$72&lt;$D$8+$E$8,$C$8="Financed"),$B$8/$E$8,0)+IF(AND(Assumptions!CK$72&gt;=$D$9,Assumptions!CK$72&lt;$D$9+$E$9,$C$9="Financed"),$B$9/$E$9,0)+IF(AND(Assumptions!CK$72&gt;=$D$10,Assumptions!CK$72&lt;$D$10+$E$10,$C$10="Financed"),$B$10/$E$10,0))</f>
        <v/>
      </c>
      <c r="CL18" s="52">
        <f>(IF(AND(Assumptions!CL$72&gt;=$D$7,Assumptions!CL$72&lt;$D$7+$E$7,$C$7="Financed"),$B$7/$E$7,0)+IF(AND(Assumptions!CL$72&gt;=$D$8,Assumptions!CL$72&lt;$D$8+$E$8,$C$8="Financed"),$B$8/$E$8,0)+IF(AND(Assumptions!CL$72&gt;=$D$9,Assumptions!CL$72&lt;$D$9+$E$9,$C$9="Financed"),$B$9/$E$9,0)+IF(AND(Assumptions!CL$72&gt;=$D$10,Assumptions!CL$72&lt;$D$10+$E$10,$C$10="Financed"),$B$10/$E$10,0))</f>
        <v/>
      </c>
      <c r="CM18" s="52">
        <f>(IF(AND(Assumptions!CM$72&gt;=$D$7,Assumptions!CM$72&lt;$D$7+$E$7,$C$7="Financed"),$B$7/$E$7,0)+IF(AND(Assumptions!CM$72&gt;=$D$8,Assumptions!CM$72&lt;$D$8+$E$8,$C$8="Financed"),$B$8/$E$8,0)+IF(AND(Assumptions!CM$72&gt;=$D$9,Assumptions!CM$72&lt;$D$9+$E$9,$C$9="Financed"),$B$9/$E$9,0)+IF(AND(Assumptions!CM$72&gt;=$D$10,Assumptions!CM$72&lt;$D$10+$E$10,$C$10="Financed"),$B$10/$E$10,0))</f>
        <v/>
      </c>
      <c r="CN18" s="52">
        <f>(IF(AND(Assumptions!CN$72&gt;=$D$7,Assumptions!CN$72&lt;$D$7+$E$7,$C$7="Financed"),$B$7/$E$7,0)+IF(AND(Assumptions!CN$72&gt;=$D$8,Assumptions!CN$72&lt;$D$8+$E$8,$C$8="Financed"),$B$8/$E$8,0)+IF(AND(Assumptions!CN$72&gt;=$D$9,Assumptions!CN$72&lt;$D$9+$E$9,$C$9="Financed"),$B$9/$E$9,0)+IF(AND(Assumptions!CN$72&gt;=$D$10,Assumptions!CN$72&lt;$D$10+$E$10,$C$10="Financed"),$B$10/$E$10,0))</f>
        <v/>
      </c>
      <c r="CO18" s="52">
        <f>(IF(AND(Assumptions!CO$72&gt;=$D$7,Assumptions!CO$72&lt;$D$7+$E$7,$C$7="Financed"),$B$7/$E$7,0)+IF(AND(Assumptions!CO$72&gt;=$D$8,Assumptions!CO$72&lt;$D$8+$E$8,$C$8="Financed"),$B$8/$E$8,0)+IF(AND(Assumptions!CO$72&gt;=$D$9,Assumptions!CO$72&lt;$D$9+$E$9,$C$9="Financed"),$B$9/$E$9,0)+IF(AND(Assumptions!CO$72&gt;=$D$10,Assumptions!CO$72&lt;$D$10+$E$10,$C$10="Financed"),$B$10/$E$10,0))</f>
        <v/>
      </c>
      <c r="CP18" s="52">
        <f>(IF(AND(Assumptions!CP$72&gt;=$D$7,Assumptions!CP$72&lt;$D$7+$E$7,$C$7="Financed"),$B$7/$E$7,0)+IF(AND(Assumptions!CP$72&gt;=$D$8,Assumptions!CP$72&lt;$D$8+$E$8,$C$8="Financed"),$B$8/$E$8,0)+IF(AND(Assumptions!CP$72&gt;=$D$9,Assumptions!CP$72&lt;$D$9+$E$9,$C$9="Financed"),$B$9/$E$9,0)+IF(AND(Assumptions!CP$72&gt;=$D$10,Assumptions!CP$72&lt;$D$10+$E$10,$C$10="Financed"),$B$10/$E$10,0))</f>
        <v/>
      </c>
      <c r="CQ18" s="52">
        <f>(IF(AND(Assumptions!CQ$72&gt;=$D$7,Assumptions!CQ$72&lt;$D$7+$E$7,$C$7="Financed"),$B$7/$E$7,0)+IF(AND(Assumptions!CQ$72&gt;=$D$8,Assumptions!CQ$72&lt;$D$8+$E$8,$C$8="Financed"),$B$8/$E$8,0)+IF(AND(Assumptions!CQ$72&gt;=$D$9,Assumptions!CQ$72&lt;$D$9+$E$9,$C$9="Financed"),$B$9/$E$9,0)+IF(AND(Assumptions!CQ$72&gt;=$D$10,Assumptions!CQ$72&lt;$D$10+$E$10,$C$10="Financed"),$B$10/$E$10,0))</f>
        <v/>
      </c>
      <c r="CR18" s="52">
        <f>(IF(AND(Assumptions!CR$72&gt;=$D$7,Assumptions!CR$72&lt;$D$7+$E$7,$C$7="Financed"),$B$7/$E$7,0)+IF(AND(Assumptions!CR$72&gt;=$D$8,Assumptions!CR$72&lt;$D$8+$E$8,$C$8="Financed"),$B$8/$E$8,0)+IF(AND(Assumptions!CR$72&gt;=$D$9,Assumptions!CR$72&lt;$D$9+$E$9,$C$9="Financed"),$B$9/$E$9,0)+IF(AND(Assumptions!CR$72&gt;=$D$10,Assumptions!CR$72&lt;$D$10+$E$10,$C$10="Financed"),$B$10/$E$10,0))</f>
        <v/>
      </c>
      <c r="CS18" s="52">
        <f>(IF(AND(Assumptions!CS$72&gt;=$D$7,Assumptions!CS$72&lt;$D$7+$E$7,$C$7="Financed"),$B$7/$E$7,0)+IF(AND(Assumptions!CS$72&gt;=$D$8,Assumptions!CS$72&lt;$D$8+$E$8,$C$8="Financed"),$B$8/$E$8,0)+IF(AND(Assumptions!CS$72&gt;=$D$9,Assumptions!CS$72&lt;$D$9+$E$9,$C$9="Financed"),$B$9/$E$9,0)+IF(AND(Assumptions!CS$72&gt;=$D$10,Assumptions!CS$72&lt;$D$10+$E$10,$C$10="Financed"),$B$10/$E$10,0))</f>
        <v/>
      </c>
      <c r="CT18" s="52">
        <f>(IF(AND(Assumptions!CT$72&gt;=$D$7,Assumptions!CT$72&lt;$D$7+$E$7,$C$7="Financed"),$B$7/$E$7,0)+IF(AND(Assumptions!CT$72&gt;=$D$8,Assumptions!CT$72&lt;$D$8+$E$8,$C$8="Financed"),$B$8/$E$8,0)+IF(AND(Assumptions!CT$72&gt;=$D$9,Assumptions!CT$72&lt;$D$9+$E$9,$C$9="Financed"),$B$9/$E$9,0)+IF(AND(Assumptions!CT$72&gt;=$D$10,Assumptions!CT$72&lt;$D$10+$E$10,$C$10="Financed"),$B$10/$E$10,0))</f>
        <v/>
      </c>
      <c r="CU18" s="52">
        <f>(IF(AND(Assumptions!CU$72&gt;=$D$7,Assumptions!CU$72&lt;$D$7+$E$7,$C$7="Financed"),$B$7/$E$7,0)+IF(AND(Assumptions!CU$72&gt;=$D$8,Assumptions!CU$72&lt;$D$8+$E$8,$C$8="Financed"),$B$8/$E$8,0)+IF(AND(Assumptions!CU$72&gt;=$D$9,Assumptions!CU$72&lt;$D$9+$E$9,$C$9="Financed"),$B$9/$E$9,0)+IF(AND(Assumptions!CU$72&gt;=$D$10,Assumptions!CU$72&lt;$D$10+$E$10,$C$10="Financed"),$B$10/$E$10,0))</f>
        <v/>
      </c>
      <c r="CV18" s="52">
        <f>(IF(AND(Assumptions!CV$72&gt;=$D$7,Assumptions!CV$72&lt;$D$7+$E$7,$C$7="Financed"),$B$7/$E$7,0)+IF(AND(Assumptions!CV$72&gt;=$D$8,Assumptions!CV$72&lt;$D$8+$E$8,$C$8="Financed"),$B$8/$E$8,0)+IF(AND(Assumptions!CV$72&gt;=$D$9,Assumptions!CV$72&lt;$D$9+$E$9,$C$9="Financed"),$B$9/$E$9,0)+IF(AND(Assumptions!CV$72&gt;=$D$10,Assumptions!CV$72&lt;$D$10+$E$10,$C$10="Financed"),$B$10/$E$10,0))</f>
        <v/>
      </c>
      <c r="CW18" s="52">
        <f>(IF(AND(Assumptions!CW$72&gt;=$D$7,Assumptions!CW$72&lt;$D$7+$E$7,$C$7="Financed"),$B$7/$E$7,0)+IF(AND(Assumptions!CW$72&gt;=$D$8,Assumptions!CW$72&lt;$D$8+$E$8,$C$8="Financed"),$B$8/$E$8,0)+IF(AND(Assumptions!CW$72&gt;=$D$9,Assumptions!CW$72&lt;$D$9+$E$9,$C$9="Financed"),$B$9/$E$9,0)+IF(AND(Assumptions!CW$72&gt;=$D$10,Assumptions!CW$72&lt;$D$10+$E$10,$C$10="Financed"),$B$10/$E$10,0))</f>
        <v/>
      </c>
      <c r="CX18" s="52">
        <f>(IF(AND(Assumptions!CX$72&gt;=$D$7,Assumptions!CX$72&lt;$D$7+$E$7,$C$7="Financed"),$B$7/$E$7,0)+IF(AND(Assumptions!CX$72&gt;=$D$8,Assumptions!CX$72&lt;$D$8+$E$8,$C$8="Financed"),$B$8/$E$8,0)+IF(AND(Assumptions!CX$72&gt;=$D$9,Assumptions!CX$72&lt;$D$9+$E$9,$C$9="Financed"),$B$9/$E$9,0)+IF(AND(Assumptions!CX$72&gt;=$D$10,Assumptions!CX$72&lt;$D$10+$E$10,$C$10="Financed"),$B$10/$E$10,0))</f>
        <v/>
      </c>
      <c r="CY18" s="52">
        <f>(IF(AND(Assumptions!CY$72&gt;=$D$7,Assumptions!CY$72&lt;$D$7+$E$7,$C$7="Financed"),$B$7/$E$7,0)+IF(AND(Assumptions!CY$72&gt;=$D$8,Assumptions!CY$72&lt;$D$8+$E$8,$C$8="Financed"),$B$8/$E$8,0)+IF(AND(Assumptions!CY$72&gt;=$D$9,Assumptions!CY$72&lt;$D$9+$E$9,$C$9="Financed"),$B$9/$E$9,0)+IF(AND(Assumptions!CY$72&gt;=$D$10,Assumptions!CY$72&lt;$D$10+$E$10,$C$10="Financed"),$B$10/$E$10,0))</f>
        <v/>
      </c>
      <c r="CZ18" s="52">
        <f>(IF(AND(Assumptions!CZ$72&gt;=$D$7,Assumptions!CZ$72&lt;$D$7+$E$7,$C$7="Financed"),$B$7/$E$7,0)+IF(AND(Assumptions!CZ$72&gt;=$D$8,Assumptions!CZ$72&lt;$D$8+$E$8,$C$8="Financed"),$B$8/$E$8,0)+IF(AND(Assumptions!CZ$72&gt;=$D$9,Assumptions!CZ$72&lt;$D$9+$E$9,$C$9="Financed"),$B$9/$E$9,0)+IF(AND(Assumptions!CZ$72&gt;=$D$10,Assumptions!CZ$72&lt;$D$10+$E$10,$C$10="Financed"),$B$10/$E$10,0))</f>
        <v/>
      </c>
      <c r="DA18" s="52">
        <f>(IF(AND(Assumptions!DA$72&gt;=$D$7,Assumptions!DA$72&lt;$D$7+$E$7,$C$7="Financed"),$B$7/$E$7,0)+IF(AND(Assumptions!DA$72&gt;=$D$8,Assumptions!DA$72&lt;$D$8+$E$8,$C$8="Financed"),$B$8/$E$8,0)+IF(AND(Assumptions!DA$72&gt;=$D$9,Assumptions!DA$72&lt;$D$9+$E$9,$C$9="Financed"),$B$9/$E$9,0)+IF(AND(Assumptions!DA$72&gt;=$D$10,Assumptions!DA$72&lt;$D$10+$E$10,$C$10="Financed"),$B$10/$E$10,0))</f>
        <v/>
      </c>
      <c r="DB18" s="52">
        <f>(IF(AND(Assumptions!DB$72&gt;=$D$7,Assumptions!DB$72&lt;$D$7+$E$7,$C$7="Financed"),$B$7/$E$7,0)+IF(AND(Assumptions!DB$72&gt;=$D$8,Assumptions!DB$72&lt;$D$8+$E$8,$C$8="Financed"),$B$8/$E$8,0)+IF(AND(Assumptions!DB$72&gt;=$D$9,Assumptions!DB$72&lt;$D$9+$E$9,$C$9="Financed"),$B$9/$E$9,0)+IF(AND(Assumptions!DB$72&gt;=$D$10,Assumptions!DB$72&lt;$D$10+$E$10,$C$10="Financed"),$B$10/$E$10,0))</f>
        <v/>
      </c>
      <c r="DC18" s="52">
        <f>(IF(AND(Assumptions!DC$72&gt;=$D$7,Assumptions!DC$72&lt;$D$7+$E$7,$C$7="Financed"),$B$7/$E$7,0)+IF(AND(Assumptions!DC$72&gt;=$D$8,Assumptions!DC$72&lt;$D$8+$E$8,$C$8="Financed"),$B$8/$E$8,0)+IF(AND(Assumptions!DC$72&gt;=$D$9,Assumptions!DC$72&lt;$D$9+$E$9,$C$9="Financed"),$B$9/$E$9,0)+IF(AND(Assumptions!DC$72&gt;=$D$10,Assumptions!DC$72&lt;$D$10+$E$10,$C$10="Financed"),$B$10/$E$10,0))</f>
        <v/>
      </c>
      <c r="DD18" s="52">
        <f>(IF(AND(Assumptions!DD$72&gt;=$D$7,Assumptions!DD$72&lt;$D$7+$E$7,$C$7="Financed"),$B$7/$E$7,0)+IF(AND(Assumptions!DD$72&gt;=$D$8,Assumptions!DD$72&lt;$D$8+$E$8,$C$8="Financed"),$B$8/$E$8,0)+IF(AND(Assumptions!DD$72&gt;=$D$9,Assumptions!DD$72&lt;$D$9+$E$9,$C$9="Financed"),$B$9/$E$9,0)+IF(AND(Assumptions!DD$72&gt;=$D$10,Assumptions!DD$72&lt;$D$10+$E$10,$C$10="Financed"),$B$10/$E$10,0))</f>
        <v/>
      </c>
      <c r="DE18" s="52">
        <f>(IF(AND(Assumptions!DE$72&gt;=$D$7,Assumptions!DE$72&lt;$D$7+$E$7,$C$7="Financed"),$B$7/$E$7,0)+IF(AND(Assumptions!DE$72&gt;=$D$8,Assumptions!DE$72&lt;$D$8+$E$8,$C$8="Financed"),$B$8/$E$8,0)+IF(AND(Assumptions!DE$72&gt;=$D$9,Assumptions!DE$72&lt;$D$9+$E$9,$C$9="Financed"),$B$9/$E$9,0)+IF(AND(Assumptions!DE$72&gt;=$D$10,Assumptions!DE$72&lt;$D$10+$E$10,$C$10="Financed"),$B$10/$E$10,0))</f>
        <v/>
      </c>
      <c r="DF18" s="52">
        <f>(IF(AND(Assumptions!DF$72&gt;=$D$7,Assumptions!DF$72&lt;$D$7+$E$7,$C$7="Financed"),$B$7/$E$7,0)+IF(AND(Assumptions!DF$72&gt;=$D$8,Assumptions!DF$72&lt;$D$8+$E$8,$C$8="Financed"),$B$8/$E$8,0)+IF(AND(Assumptions!DF$72&gt;=$D$9,Assumptions!DF$72&lt;$D$9+$E$9,$C$9="Financed"),$B$9/$E$9,0)+IF(AND(Assumptions!DF$72&gt;=$D$10,Assumptions!DF$72&lt;$D$10+$E$10,$C$10="Financed"),$B$10/$E$10,0))</f>
        <v/>
      </c>
      <c r="DG18" s="52">
        <f>(IF(AND(Assumptions!DG$72&gt;=$D$7,Assumptions!DG$72&lt;$D$7+$E$7,$C$7="Financed"),$B$7/$E$7,0)+IF(AND(Assumptions!DG$72&gt;=$D$8,Assumptions!DG$72&lt;$D$8+$E$8,$C$8="Financed"),$B$8/$E$8,0)+IF(AND(Assumptions!DG$72&gt;=$D$9,Assumptions!DG$72&lt;$D$9+$E$9,$C$9="Financed"),$B$9/$E$9,0)+IF(AND(Assumptions!DG$72&gt;=$D$10,Assumptions!DG$72&lt;$D$10+$E$10,$C$10="Financed"),$B$10/$E$10,0))</f>
        <v/>
      </c>
      <c r="DH18" s="52">
        <f>(IF(AND(Assumptions!DH$72&gt;=$D$7,Assumptions!DH$72&lt;$D$7+$E$7,$C$7="Financed"),$B$7/$E$7,0)+IF(AND(Assumptions!DH$72&gt;=$D$8,Assumptions!DH$72&lt;$D$8+$E$8,$C$8="Financed"),$B$8/$E$8,0)+IF(AND(Assumptions!DH$72&gt;=$D$9,Assumptions!DH$72&lt;$D$9+$E$9,$C$9="Financed"),$B$9/$E$9,0)+IF(AND(Assumptions!DH$72&gt;=$D$10,Assumptions!DH$72&lt;$D$10+$E$10,$C$10="Financed"),$B$10/$E$10,0))</f>
        <v/>
      </c>
      <c r="DI18" s="52">
        <f>(IF(AND(Assumptions!DI$72&gt;=$D$7,Assumptions!DI$72&lt;$D$7+$E$7,$C$7="Financed"),$B$7/$E$7,0)+IF(AND(Assumptions!DI$72&gt;=$D$8,Assumptions!DI$72&lt;$D$8+$E$8,$C$8="Financed"),$B$8/$E$8,0)+IF(AND(Assumptions!DI$72&gt;=$D$9,Assumptions!DI$72&lt;$D$9+$E$9,$C$9="Financed"),$B$9/$E$9,0)+IF(AND(Assumptions!DI$72&gt;=$D$10,Assumptions!DI$72&lt;$D$10+$E$10,$C$10="Financed"),$B$10/$E$10,0))</f>
        <v/>
      </c>
      <c r="DJ18" s="52">
        <f>(IF(AND(Assumptions!DJ$72&gt;=$D$7,Assumptions!DJ$72&lt;$D$7+$E$7,$C$7="Financed"),$B$7/$E$7,0)+IF(AND(Assumptions!DJ$72&gt;=$D$8,Assumptions!DJ$72&lt;$D$8+$E$8,$C$8="Financed"),$B$8/$E$8,0)+IF(AND(Assumptions!DJ$72&gt;=$D$9,Assumptions!DJ$72&lt;$D$9+$E$9,$C$9="Financed"),$B$9/$E$9,0)+IF(AND(Assumptions!DJ$72&gt;=$D$10,Assumptions!DJ$72&lt;$D$10+$E$10,$C$10="Financed"),$B$10/$E$10,0))</f>
        <v/>
      </c>
      <c r="DK18" s="52">
        <f>(IF(AND(Assumptions!DK$72&gt;=$D$7,Assumptions!DK$72&lt;$D$7+$E$7,$C$7="Financed"),$B$7/$E$7,0)+IF(AND(Assumptions!DK$72&gt;=$D$8,Assumptions!DK$72&lt;$D$8+$E$8,$C$8="Financed"),$B$8/$E$8,0)+IF(AND(Assumptions!DK$72&gt;=$D$9,Assumptions!DK$72&lt;$D$9+$E$9,$C$9="Financed"),$B$9/$E$9,0)+IF(AND(Assumptions!DK$72&gt;=$D$10,Assumptions!DK$72&lt;$D$10+$E$10,$C$10="Financed"),$B$10/$E$10,0))</f>
        <v/>
      </c>
      <c r="DL18" s="52">
        <f>(IF(AND(Assumptions!DL$72&gt;=$D$7,Assumptions!DL$72&lt;$D$7+$E$7,$C$7="Financed"),$B$7/$E$7,0)+IF(AND(Assumptions!DL$72&gt;=$D$8,Assumptions!DL$72&lt;$D$8+$E$8,$C$8="Financed"),$B$8/$E$8,0)+IF(AND(Assumptions!DL$72&gt;=$D$9,Assumptions!DL$72&lt;$D$9+$E$9,$C$9="Financed"),$B$9/$E$9,0)+IF(AND(Assumptions!DL$72&gt;=$D$10,Assumptions!DL$72&lt;$D$10+$E$10,$C$10="Financed"),$B$10/$E$10,0))</f>
        <v/>
      </c>
      <c r="DM18" s="52">
        <f>(IF(AND(Assumptions!DM$72&gt;=$D$7,Assumptions!DM$72&lt;$D$7+$E$7,$C$7="Financed"),$B$7/$E$7,0)+IF(AND(Assumptions!DM$72&gt;=$D$8,Assumptions!DM$72&lt;$D$8+$E$8,$C$8="Financed"),$B$8/$E$8,0)+IF(AND(Assumptions!DM$72&gt;=$D$9,Assumptions!DM$72&lt;$D$9+$E$9,$C$9="Financed"),$B$9/$E$9,0)+IF(AND(Assumptions!DM$72&gt;=$D$10,Assumptions!DM$72&lt;$D$10+$E$10,$C$10="Financed"),$B$10/$E$10,0))</f>
        <v/>
      </c>
      <c r="DN18" s="52">
        <f>(IF(AND(Assumptions!DN$72&gt;=$D$7,Assumptions!DN$72&lt;$D$7+$E$7,$C$7="Financed"),$B$7/$E$7,0)+IF(AND(Assumptions!DN$72&gt;=$D$8,Assumptions!DN$72&lt;$D$8+$E$8,$C$8="Financed"),$B$8/$E$8,0)+IF(AND(Assumptions!DN$72&gt;=$D$9,Assumptions!DN$72&lt;$D$9+$E$9,$C$9="Financed"),$B$9/$E$9,0)+IF(AND(Assumptions!DN$72&gt;=$D$10,Assumptions!DN$72&lt;$D$10+$E$10,$C$10="Financed"),$B$10/$E$10,0))</f>
        <v/>
      </c>
      <c r="DO18" s="52">
        <f>(IF(AND(Assumptions!DO$72&gt;=$D$7,Assumptions!DO$72&lt;$D$7+$E$7,$C$7="Financed"),$B$7/$E$7,0)+IF(AND(Assumptions!DO$72&gt;=$D$8,Assumptions!DO$72&lt;$D$8+$E$8,$C$8="Financed"),$B$8/$E$8,0)+IF(AND(Assumptions!DO$72&gt;=$D$9,Assumptions!DO$72&lt;$D$9+$E$9,$C$9="Financed"),$B$9/$E$9,0)+IF(AND(Assumptions!DO$72&gt;=$D$10,Assumptions!DO$72&lt;$D$10+$E$10,$C$10="Financed"),$B$10/$E$10,0))</f>
        <v/>
      </c>
      <c r="DP18" s="52">
        <f>(IF(AND(Assumptions!DP$72&gt;=$D$7,Assumptions!DP$72&lt;$D$7+$E$7,$C$7="Financed"),$B$7/$E$7,0)+IF(AND(Assumptions!DP$72&gt;=$D$8,Assumptions!DP$72&lt;$D$8+$E$8,$C$8="Financed"),$B$8/$E$8,0)+IF(AND(Assumptions!DP$72&gt;=$D$9,Assumptions!DP$72&lt;$D$9+$E$9,$C$9="Financed"),$B$9/$E$9,0)+IF(AND(Assumptions!DP$72&gt;=$D$10,Assumptions!DP$72&lt;$D$10+$E$10,$C$10="Financed"),$B$10/$E$10,0))</f>
        <v/>
      </c>
      <c r="DQ18" s="52">
        <f>(IF(AND(Assumptions!DQ$72&gt;=$D$7,Assumptions!DQ$72&lt;$D$7+$E$7,$C$7="Financed"),$B$7/$E$7,0)+IF(AND(Assumptions!DQ$72&gt;=$D$8,Assumptions!DQ$72&lt;$D$8+$E$8,$C$8="Financed"),$B$8/$E$8,0)+IF(AND(Assumptions!DQ$72&gt;=$D$9,Assumptions!DQ$72&lt;$D$9+$E$9,$C$9="Financed"),$B$9/$E$9,0)+IF(AND(Assumptions!DQ$72&gt;=$D$10,Assumptions!DQ$72&lt;$D$10+$E$10,$C$10="Financed"),$B$10/$E$10,0))</f>
        <v/>
      </c>
      <c r="DR18" s="52">
        <f>(IF(AND(Assumptions!DR$72&gt;=$D$7,Assumptions!DR$72&lt;$D$7+$E$7,$C$7="Financed"),$B$7/$E$7,0)+IF(AND(Assumptions!DR$72&gt;=$D$8,Assumptions!DR$72&lt;$D$8+$E$8,$C$8="Financed"),$B$8/$E$8,0)+IF(AND(Assumptions!DR$72&gt;=$D$9,Assumptions!DR$72&lt;$D$9+$E$9,$C$9="Financed"),$B$9/$E$9,0)+IF(AND(Assumptions!DR$72&gt;=$D$10,Assumptions!DR$72&lt;$D$10+$E$10,$C$10="Financed"),$B$10/$E$10,0))</f>
        <v/>
      </c>
      <c r="DS18" s="52">
        <f>(IF(AND(Assumptions!DS$72&gt;=$D$7,Assumptions!DS$72&lt;$D$7+$E$7,$C$7="Financed"),$B$7/$E$7,0)+IF(AND(Assumptions!DS$72&gt;=$D$8,Assumptions!DS$72&lt;$D$8+$E$8,$C$8="Financed"),$B$8/$E$8,0)+IF(AND(Assumptions!DS$72&gt;=$D$9,Assumptions!DS$72&lt;$D$9+$E$9,$C$9="Financed"),$B$9/$E$9,0)+IF(AND(Assumptions!DS$72&gt;=$D$10,Assumptions!DS$72&lt;$D$10+$E$10,$C$10="Financed"),$B$10/$E$10,0))</f>
        <v/>
      </c>
      <c r="DT18" s="52">
        <f>(IF(AND(Assumptions!DT$72&gt;=$D$7,Assumptions!DT$72&lt;$D$7+$E$7,$C$7="Financed"),$B$7/$E$7,0)+IF(AND(Assumptions!DT$72&gt;=$D$8,Assumptions!DT$72&lt;$D$8+$E$8,$C$8="Financed"),$B$8/$E$8,0)+IF(AND(Assumptions!DT$72&gt;=$D$9,Assumptions!DT$72&lt;$D$9+$E$9,$C$9="Financed"),$B$9/$E$9,0)+IF(AND(Assumptions!DT$72&gt;=$D$10,Assumptions!DT$72&lt;$D$10+$E$10,$C$10="Financed"),$B$10/$E$10,0))</f>
        <v/>
      </c>
    </row>
    <row r="19">
      <c r="A19" s="10" t="inlineStr">
        <is>
          <t>Retail rollover TI/LC ($/mo, neg)</t>
        </is>
      </c>
      <c r="E19" s="50">
        <f>-'Retail Revenue'!E$41</f>
        <v/>
      </c>
      <c r="F19" s="50">
        <f>-'Retail Revenue'!F$41</f>
        <v/>
      </c>
      <c r="G19" s="50">
        <f>-'Retail Revenue'!G$41</f>
        <v/>
      </c>
      <c r="H19" s="50">
        <f>-'Retail Revenue'!H$41</f>
        <v/>
      </c>
      <c r="I19" s="50">
        <f>-'Retail Revenue'!I$41</f>
        <v/>
      </c>
      <c r="J19" s="50">
        <f>-'Retail Revenue'!J$41</f>
        <v/>
      </c>
      <c r="K19" s="50">
        <f>-'Retail Revenue'!K$41</f>
        <v/>
      </c>
      <c r="L19" s="50">
        <f>-'Retail Revenue'!L$41</f>
        <v/>
      </c>
      <c r="M19" s="50">
        <f>-'Retail Revenue'!M$41</f>
        <v/>
      </c>
      <c r="N19" s="50">
        <f>-'Retail Revenue'!N$41</f>
        <v/>
      </c>
      <c r="O19" s="50">
        <f>-'Retail Revenue'!O$41</f>
        <v/>
      </c>
      <c r="P19" s="50">
        <f>-'Retail Revenue'!P$41</f>
        <v/>
      </c>
      <c r="Q19" s="50">
        <f>-'Retail Revenue'!Q$41</f>
        <v/>
      </c>
      <c r="R19" s="50">
        <f>-'Retail Revenue'!R$41</f>
        <v/>
      </c>
      <c r="S19" s="50">
        <f>-'Retail Revenue'!S$41</f>
        <v/>
      </c>
      <c r="T19" s="50">
        <f>-'Retail Revenue'!T$41</f>
        <v/>
      </c>
      <c r="U19" s="50">
        <f>-'Retail Revenue'!U$41</f>
        <v/>
      </c>
      <c r="V19" s="50">
        <f>-'Retail Revenue'!V$41</f>
        <v/>
      </c>
      <c r="W19" s="50">
        <f>-'Retail Revenue'!W$41</f>
        <v/>
      </c>
      <c r="X19" s="50">
        <f>-'Retail Revenue'!X$41</f>
        <v/>
      </c>
      <c r="Y19" s="50">
        <f>-'Retail Revenue'!Y$41</f>
        <v/>
      </c>
      <c r="Z19" s="50">
        <f>-'Retail Revenue'!Z$41</f>
        <v/>
      </c>
      <c r="AA19" s="50">
        <f>-'Retail Revenue'!AA$41</f>
        <v/>
      </c>
      <c r="AB19" s="50">
        <f>-'Retail Revenue'!AB$41</f>
        <v/>
      </c>
      <c r="AC19" s="50">
        <f>-'Retail Revenue'!AC$41</f>
        <v/>
      </c>
      <c r="AD19" s="50">
        <f>-'Retail Revenue'!AD$41</f>
        <v/>
      </c>
      <c r="AE19" s="50">
        <f>-'Retail Revenue'!AE$41</f>
        <v/>
      </c>
      <c r="AF19" s="50">
        <f>-'Retail Revenue'!AF$41</f>
        <v/>
      </c>
      <c r="AG19" s="50">
        <f>-'Retail Revenue'!AG$41</f>
        <v/>
      </c>
      <c r="AH19" s="50">
        <f>-'Retail Revenue'!AH$41</f>
        <v/>
      </c>
      <c r="AI19" s="50">
        <f>-'Retail Revenue'!AI$41</f>
        <v/>
      </c>
      <c r="AJ19" s="50">
        <f>-'Retail Revenue'!AJ$41</f>
        <v/>
      </c>
      <c r="AK19" s="50">
        <f>-'Retail Revenue'!AK$41</f>
        <v/>
      </c>
      <c r="AL19" s="50">
        <f>-'Retail Revenue'!AL$41</f>
        <v/>
      </c>
      <c r="AM19" s="50">
        <f>-'Retail Revenue'!AM$41</f>
        <v/>
      </c>
      <c r="AN19" s="50">
        <f>-'Retail Revenue'!AN$41</f>
        <v/>
      </c>
      <c r="AO19" s="50">
        <f>-'Retail Revenue'!AO$41</f>
        <v/>
      </c>
      <c r="AP19" s="50">
        <f>-'Retail Revenue'!AP$41</f>
        <v/>
      </c>
      <c r="AQ19" s="50">
        <f>-'Retail Revenue'!AQ$41</f>
        <v/>
      </c>
      <c r="AR19" s="50">
        <f>-'Retail Revenue'!AR$41</f>
        <v/>
      </c>
      <c r="AS19" s="50">
        <f>-'Retail Revenue'!AS$41</f>
        <v/>
      </c>
      <c r="AT19" s="50">
        <f>-'Retail Revenue'!AT$41</f>
        <v/>
      </c>
      <c r="AU19" s="50">
        <f>-'Retail Revenue'!AU$41</f>
        <v/>
      </c>
      <c r="AV19" s="50">
        <f>-'Retail Revenue'!AV$41</f>
        <v/>
      </c>
      <c r="AW19" s="50">
        <f>-'Retail Revenue'!AW$41</f>
        <v/>
      </c>
      <c r="AX19" s="50">
        <f>-'Retail Revenue'!AX$41</f>
        <v/>
      </c>
      <c r="AY19" s="50">
        <f>-'Retail Revenue'!AY$41</f>
        <v/>
      </c>
      <c r="AZ19" s="50">
        <f>-'Retail Revenue'!AZ$41</f>
        <v/>
      </c>
      <c r="BA19" s="50">
        <f>-'Retail Revenue'!BA$41</f>
        <v/>
      </c>
      <c r="BB19" s="50">
        <f>-'Retail Revenue'!BB$41</f>
        <v/>
      </c>
      <c r="BC19" s="50">
        <f>-'Retail Revenue'!BC$41</f>
        <v/>
      </c>
      <c r="BD19" s="50">
        <f>-'Retail Revenue'!BD$41</f>
        <v/>
      </c>
      <c r="BE19" s="50">
        <f>-'Retail Revenue'!BE$41</f>
        <v/>
      </c>
      <c r="BF19" s="50">
        <f>-'Retail Revenue'!BF$41</f>
        <v/>
      </c>
      <c r="BG19" s="50">
        <f>-'Retail Revenue'!BG$41</f>
        <v/>
      </c>
      <c r="BH19" s="50">
        <f>-'Retail Revenue'!BH$41</f>
        <v/>
      </c>
      <c r="BI19" s="50">
        <f>-'Retail Revenue'!BI$41</f>
        <v/>
      </c>
      <c r="BJ19" s="50">
        <f>-'Retail Revenue'!BJ$41</f>
        <v/>
      </c>
      <c r="BK19" s="50">
        <f>-'Retail Revenue'!BK$41</f>
        <v/>
      </c>
      <c r="BL19" s="50">
        <f>-'Retail Revenue'!BL$41</f>
        <v/>
      </c>
      <c r="BM19" s="50">
        <f>-'Retail Revenue'!BM$41</f>
        <v/>
      </c>
      <c r="BN19" s="50">
        <f>-'Retail Revenue'!BN$41</f>
        <v/>
      </c>
      <c r="BO19" s="50">
        <f>-'Retail Revenue'!BO$41</f>
        <v/>
      </c>
      <c r="BP19" s="50">
        <f>-'Retail Revenue'!BP$41</f>
        <v/>
      </c>
      <c r="BQ19" s="50">
        <f>-'Retail Revenue'!BQ$41</f>
        <v/>
      </c>
      <c r="BR19" s="50">
        <f>-'Retail Revenue'!BR$41</f>
        <v/>
      </c>
      <c r="BS19" s="50">
        <f>-'Retail Revenue'!BS$41</f>
        <v/>
      </c>
      <c r="BT19" s="50">
        <f>-'Retail Revenue'!BT$41</f>
        <v/>
      </c>
      <c r="BU19" s="50">
        <f>-'Retail Revenue'!BU$41</f>
        <v/>
      </c>
      <c r="BV19" s="50">
        <f>-'Retail Revenue'!BV$41</f>
        <v/>
      </c>
      <c r="BW19" s="50">
        <f>-'Retail Revenue'!BW$41</f>
        <v/>
      </c>
      <c r="BX19" s="50">
        <f>-'Retail Revenue'!BX$41</f>
        <v/>
      </c>
      <c r="BY19" s="50">
        <f>-'Retail Revenue'!BY$41</f>
        <v/>
      </c>
      <c r="BZ19" s="50">
        <f>-'Retail Revenue'!BZ$41</f>
        <v/>
      </c>
      <c r="CA19" s="50">
        <f>-'Retail Revenue'!CA$41</f>
        <v/>
      </c>
      <c r="CB19" s="50">
        <f>-'Retail Revenue'!CB$41</f>
        <v/>
      </c>
      <c r="CC19" s="50">
        <f>-'Retail Revenue'!CC$41</f>
        <v/>
      </c>
      <c r="CD19" s="50">
        <f>-'Retail Revenue'!CD$41</f>
        <v/>
      </c>
      <c r="CE19" s="50">
        <f>-'Retail Revenue'!CE$41</f>
        <v/>
      </c>
      <c r="CF19" s="50">
        <f>-'Retail Revenue'!CF$41</f>
        <v/>
      </c>
      <c r="CG19" s="50">
        <f>-'Retail Revenue'!CG$41</f>
        <v/>
      </c>
      <c r="CH19" s="50">
        <f>-'Retail Revenue'!CH$41</f>
        <v/>
      </c>
      <c r="CI19" s="50">
        <f>-'Retail Revenue'!CI$41</f>
        <v/>
      </c>
      <c r="CJ19" s="50">
        <f>-'Retail Revenue'!CJ$41</f>
        <v/>
      </c>
      <c r="CK19" s="50">
        <f>-'Retail Revenue'!CK$41</f>
        <v/>
      </c>
      <c r="CL19" s="50">
        <f>-'Retail Revenue'!CL$41</f>
        <v/>
      </c>
      <c r="CM19" s="50">
        <f>-'Retail Revenue'!CM$41</f>
        <v/>
      </c>
      <c r="CN19" s="50">
        <f>-'Retail Revenue'!CN$41</f>
        <v/>
      </c>
      <c r="CO19" s="50">
        <f>-'Retail Revenue'!CO$41</f>
        <v/>
      </c>
      <c r="CP19" s="50">
        <f>-'Retail Revenue'!CP$41</f>
        <v/>
      </c>
      <c r="CQ19" s="50">
        <f>-'Retail Revenue'!CQ$41</f>
        <v/>
      </c>
      <c r="CR19" s="50">
        <f>-'Retail Revenue'!CR$41</f>
        <v/>
      </c>
      <c r="CS19" s="50">
        <f>-'Retail Revenue'!CS$41</f>
        <v/>
      </c>
      <c r="CT19" s="50">
        <f>-'Retail Revenue'!CT$41</f>
        <v/>
      </c>
      <c r="CU19" s="50">
        <f>-'Retail Revenue'!CU$41</f>
        <v/>
      </c>
      <c r="CV19" s="50">
        <f>-'Retail Revenue'!CV$41</f>
        <v/>
      </c>
      <c r="CW19" s="50">
        <f>-'Retail Revenue'!CW$41</f>
        <v/>
      </c>
      <c r="CX19" s="50">
        <f>-'Retail Revenue'!CX$41</f>
        <v/>
      </c>
      <c r="CY19" s="50">
        <f>-'Retail Revenue'!CY$41</f>
        <v/>
      </c>
      <c r="CZ19" s="50">
        <f>-'Retail Revenue'!CZ$41</f>
        <v/>
      </c>
      <c r="DA19" s="50">
        <f>-'Retail Revenue'!DA$41</f>
        <v/>
      </c>
      <c r="DB19" s="50">
        <f>-'Retail Revenue'!DB$41</f>
        <v/>
      </c>
      <c r="DC19" s="50">
        <f>-'Retail Revenue'!DC$41</f>
        <v/>
      </c>
      <c r="DD19" s="50">
        <f>-'Retail Revenue'!DD$41</f>
        <v/>
      </c>
      <c r="DE19" s="50">
        <f>-'Retail Revenue'!DE$41</f>
        <v/>
      </c>
      <c r="DF19" s="50">
        <f>-'Retail Revenue'!DF$41</f>
        <v/>
      </c>
      <c r="DG19" s="50">
        <f>-'Retail Revenue'!DG$41</f>
        <v/>
      </c>
      <c r="DH19" s="50">
        <f>-'Retail Revenue'!DH$41</f>
        <v/>
      </c>
      <c r="DI19" s="50">
        <f>-'Retail Revenue'!DI$41</f>
        <v/>
      </c>
      <c r="DJ19" s="50">
        <f>-'Retail Revenue'!DJ$41</f>
        <v/>
      </c>
      <c r="DK19" s="50">
        <f>-'Retail Revenue'!DK$41</f>
        <v/>
      </c>
      <c r="DL19" s="50">
        <f>-'Retail Revenue'!DL$41</f>
        <v/>
      </c>
      <c r="DM19" s="50">
        <f>-'Retail Revenue'!DM$41</f>
        <v/>
      </c>
      <c r="DN19" s="50">
        <f>-'Retail Revenue'!DN$41</f>
        <v/>
      </c>
      <c r="DO19" s="50">
        <f>-'Retail Revenue'!DO$41</f>
        <v/>
      </c>
      <c r="DP19" s="50">
        <f>-'Retail Revenue'!DP$41</f>
        <v/>
      </c>
      <c r="DQ19" s="50">
        <f>-'Retail Revenue'!DQ$41</f>
        <v/>
      </c>
      <c r="DR19" s="50">
        <f>-'Retail Revenue'!DR$41</f>
        <v/>
      </c>
      <c r="DS19" s="50">
        <f>-'Retail Revenue'!DS$41</f>
        <v/>
      </c>
      <c r="DT19" s="50">
        <f>-'Retail Revenue'!DT$41</f>
        <v/>
      </c>
    </row>
    <row r="20">
      <c r="A20" s="3" t="inlineStr">
        <is>
          <t>Total capital outflow ($/mo, neg)</t>
        </is>
      </c>
      <c r="E20" s="62">
        <f>E$17+E$19</f>
        <v/>
      </c>
      <c r="F20" s="62">
        <f>F$17+F$19</f>
        <v/>
      </c>
      <c r="G20" s="62">
        <f>G$17+G$19</f>
        <v/>
      </c>
      <c r="H20" s="62">
        <f>H$17+H$19</f>
        <v/>
      </c>
      <c r="I20" s="62">
        <f>I$17+I$19</f>
        <v/>
      </c>
      <c r="J20" s="62">
        <f>J$17+J$19</f>
        <v/>
      </c>
      <c r="K20" s="62">
        <f>K$17+K$19</f>
        <v/>
      </c>
      <c r="L20" s="62">
        <f>L$17+L$19</f>
        <v/>
      </c>
      <c r="M20" s="62">
        <f>M$17+M$19</f>
        <v/>
      </c>
      <c r="N20" s="62">
        <f>N$17+N$19</f>
        <v/>
      </c>
      <c r="O20" s="62">
        <f>O$17+O$19</f>
        <v/>
      </c>
      <c r="P20" s="62">
        <f>P$17+P$19</f>
        <v/>
      </c>
      <c r="Q20" s="62">
        <f>Q$17+Q$19</f>
        <v/>
      </c>
      <c r="R20" s="62">
        <f>R$17+R$19</f>
        <v/>
      </c>
      <c r="S20" s="62">
        <f>S$17+S$19</f>
        <v/>
      </c>
      <c r="T20" s="62">
        <f>T$17+T$19</f>
        <v/>
      </c>
      <c r="U20" s="62">
        <f>U$17+U$19</f>
        <v/>
      </c>
      <c r="V20" s="62">
        <f>V$17+V$19</f>
        <v/>
      </c>
      <c r="W20" s="62">
        <f>W$17+W$19</f>
        <v/>
      </c>
      <c r="X20" s="62">
        <f>X$17+X$19</f>
        <v/>
      </c>
      <c r="Y20" s="62">
        <f>Y$17+Y$19</f>
        <v/>
      </c>
      <c r="Z20" s="62">
        <f>Z$17+Z$19</f>
        <v/>
      </c>
      <c r="AA20" s="62">
        <f>AA$17+AA$19</f>
        <v/>
      </c>
      <c r="AB20" s="62">
        <f>AB$17+AB$19</f>
        <v/>
      </c>
      <c r="AC20" s="62">
        <f>AC$17+AC$19</f>
        <v/>
      </c>
      <c r="AD20" s="62">
        <f>AD$17+AD$19</f>
        <v/>
      </c>
      <c r="AE20" s="62">
        <f>AE$17+AE$19</f>
        <v/>
      </c>
      <c r="AF20" s="62">
        <f>AF$17+AF$19</f>
        <v/>
      </c>
      <c r="AG20" s="62">
        <f>AG$17+AG$19</f>
        <v/>
      </c>
      <c r="AH20" s="62">
        <f>AH$17+AH$19</f>
        <v/>
      </c>
      <c r="AI20" s="62">
        <f>AI$17+AI$19</f>
        <v/>
      </c>
      <c r="AJ20" s="62">
        <f>AJ$17+AJ$19</f>
        <v/>
      </c>
      <c r="AK20" s="62">
        <f>AK$17+AK$19</f>
        <v/>
      </c>
      <c r="AL20" s="62">
        <f>AL$17+AL$19</f>
        <v/>
      </c>
      <c r="AM20" s="62">
        <f>AM$17+AM$19</f>
        <v/>
      </c>
      <c r="AN20" s="62">
        <f>AN$17+AN$19</f>
        <v/>
      </c>
      <c r="AO20" s="62">
        <f>AO$17+AO$19</f>
        <v/>
      </c>
      <c r="AP20" s="62">
        <f>AP$17+AP$19</f>
        <v/>
      </c>
      <c r="AQ20" s="62">
        <f>AQ$17+AQ$19</f>
        <v/>
      </c>
      <c r="AR20" s="62">
        <f>AR$17+AR$19</f>
        <v/>
      </c>
      <c r="AS20" s="62">
        <f>AS$17+AS$19</f>
        <v/>
      </c>
      <c r="AT20" s="62">
        <f>AT$17+AT$19</f>
        <v/>
      </c>
      <c r="AU20" s="62">
        <f>AU$17+AU$19</f>
        <v/>
      </c>
      <c r="AV20" s="62">
        <f>AV$17+AV$19</f>
        <v/>
      </c>
      <c r="AW20" s="62">
        <f>AW$17+AW$19</f>
        <v/>
      </c>
      <c r="AX20" s="62">
        <f>AX$17+AX$19</f>
        <v/>
      </c>
      <c r="AY20" s="62">
        <f>AY$17+AY$19</f>
        <v/>
      </c>
      <c r="AZ20" s="62">
        <f>AZ$17+AZ$19</f>
        <v/>
      </c>
      <c r="BA20" s="62">
        <f>BA$17+BA$19</f>
        <v/>
      </c>
      <c r="BB20" s="62">
        <f>BB$17+BB$19</f>
        <v/>
      </c>
      <c r="BC20" s="62">
        <f>BC$17+BC$19</f>
        <v/>
      </c>
      <c r="BD20" s="62">
        <f>BD$17+BD$19</f>
        <v/>
      </c>
      <c r="BE20" s="62">
        <f>BE$17+BE$19</f>
        <v/>
      </c>
      <c r="BF20" s="62">
        <f>BF$17+BF$19</f>
        <v/>
      </c>
      <c r="BG20" s="62">
        <f>BG$17+BG$19</f>
        <v/>
      </c>
      <c r="BH20" s="62">
        <f>BH$17+BH$19</f>
        <v/>
      </c>
      <c r="BI20" s="62">
        <f>BI$17+BI$19</f>
        <v/>
      </c>
      <c r="BJ20" s="62">
        <f>BJ$17+BJ$19</f>
        <v/>
      </c>
      <c r="BK20" s="62">
        <f>BK$17+BK$19</f>
        <v/>
      </c>
      <c r="BL20" s="62">
        <f>BL$17+BL$19</f>
        <v/>
      </c>
      <c r="BM20" s="62">
        <f>BM$17+BM$19</f>
        <v/>
      </c>
      <c r="BN20" s="62">
        <f>BN$17+BN$19</f>
        <v/>
      </c>
      <c r="BO20" s="62">
        <f>BO$17+BO$19</f>
        <v/>
      </c>
      <c r="BP20" s="62">
        <f>BP$17+BP$19</f>
        <v/>
      </c>
      <c r="BQ20" s="62">
        <f>BQ$17+BQ$19</f>
        <v/>
      </c>
      <c r="BR20" s="62">
        <f>BR$17+BR$19</f>
        <v/>
      </c>
      <c r="BS20" s="62">
        <f>BS$17+BS$19</f>
        <v/>
      </c>
      <c r="BT20" s="62">
        <f>BT$17+BT$19</f>
        <v/>
      </c>
      <c r="BU20" s="62">
        <f>BU$17+BU$19</f>
        <v/>
      </c>
      <c r="BV20" s="62">
        <f>BV$17+BV$19</f>
        <v/>
      </c>
      <c r="BW20" s="62">
        <f>BW$17+BW$19</f>
        <v/>
      </c>
      <c r="BX20" s="62">
        <f>BX$17+BX$19</f>
        <v/>
      </c>
      <c r="BY20" s="62">
        <f>BY$17+BY$19</f>
        <v/>
      </c>
      <c r="BZ20" s="62">
        <f>BZ$17+BZ$19</f>
        <v/>
      </c>
      <c r="CA20" s="62">
        <f>CA$17+CA$19</f>
        <v/>
      </c>
      <c r="CB20" s="62">
        <f>CB$17+CB$19</f>
        <v/>
      </c>
      <c r="CC20" s="62">
        <f>CC$17+CC$19</f>
        <v/>
      </c>
      <c r="CD20" s="62">
        <f>CD$17+CD$19</f>
        <v/>
      </c>
      <c r="CE20" s="62">
        <f>CE$17+CE$19</f>
        <v/>
      </c>
      <c r="CF20" s="62">
        <f>CF$17+CF$19</f>
        <v/>
      </c>
      <c r="CG20" s="62">
        <f>CG$17+CG$19</f>
        <v/>
      </c>
      <c r="CH20" s="62">
        <f>CH$17+CH$19</f>
        <v/>
      </c>
      <c r="CI20" s="62">
        <f>CI$17+CI$19</f>
        <v/>
      </c>
      <c r="CJ20" s="62">
        <f>CJ$17+CJ$19</f>
        <v/>
      </c>
      <c r="CK20" s="62">
        <f>CK$17+CK$19</f>
        <v/>
      </c>
      <c r="CL20" s="62">
        <f>CL$17+CL$19</f>
        <v/>
      </c>
      <c r="CM20" s="62">
        <f>CM$17+CM$19</f>
        <v/>
      </c>
      <c r="CN20" s="62">
        <f>CN$17+CN$19</f>
        <v/>
      </c>
      <c r="CO20" s="62">
        <f>CO$17+CO$19</f>
        <v/>
      </c>
      <c r="CP20" s="62">
        <f>CP$17+CP$19</f>
        <v/>
      </c>
      <c r="CQ20" s="62">
        <f>CQ$17+CQ$19</f>
        <v/>
      </c>
      <c r="CR20" s="62">
        <f>CR$17+CR$19</f>
        <v/>
      </c>
      <c r="CS20" s="62">
        <f>CS$17+CS$19</f>
        <v/>
      </c>
      <c r="CT20" s="62">
        <f>CT$17+CT$19</f>
        <v/>
      </c>
      <c r="CU20" s="62">
        <f>CU$17+CU$19</f>
        <v/>
      </c>
      <c r="CV20" s="62">
        <f>CV$17+CV$19</f>
        <v/>
      </c>
      <c r="CW20" s="62">
        <f>CW$17+CW$19</f>
        <v/>
      </c>
      <c r="CX20" s="62">
        <f>CX$17+CX$19</f>
        <v/>
      </c>
      <c r="CY20" s="62">
        <f>CY$17+CY$19</f>
        <v/>
      </c>
      <c r="CZ20" s="62">
        <f>CZ$17+CZ$19</f>
        <v/>
      </c>
      <c r="DA20" s="62">
        <f>DA$17+DA$19</f>
        <v/>
      </c>
      <c r="DB20" s="62">
        <f>DB$17+DB$19</f>
        <v/>
      </c>
      <c r="DC20" s="62">
        <f>DC$17+DC$19</f>
        <v/>
      </c>
      <c r="DD20" s="62">
        <f>DD$17+DD$19</f>
        <v/>
      </c>
      <c r="DE20" s="62">
        <f>DE$17+DE$19</f>
        <v/>
      </c>
      <c r="DF20" s="62">
        <f>DF$17+DF$19</f>
        <v/>
      </c>
      <c r="DG20" s="62">
        <f>DG$17+DG$19</f>
        <v/>
      </c>
      <c r="DH20" s="62">
        <f>DH$17+DH$19</f>
        <v/>
      </c>
      <c r="DI20" s="62">
        <f>DI$17+DI$19</f>
        <v/>
      </c>
      <c r="DJ20" s="62">
        <f>DJ$17+DJ$19</f>
        <v/>
      </c>
      <c r="DK20" s="62">
        <f>DK$17+DK$19</f>
        <v/>
      </c>
      <c r="DL20" s="62">
        <f>DL$17+DL$19</f>
        <v/>
      </c>
      <c r="DM20" s="62">
        <f>DM$17+DM$19</f>
        <v/>
      </c>
      <c r="DN20" s="62">
        <f>DN$17+DN$19</f>
        <v/>
      </c>
      <c r="DO20" s="62">
        <f>DO$17+DO$19</f>
        <v/>
      </c>
      <c r="DP20" s="62">
        <f>DP$17+DP$19</f>
        <v/>
      </c>
      <c r="DQ20" s="62">
        <f>DQ$17+DQ$19</f>
        <v/>
      </c>
      <c r="DR20" s="62">
        <f>DR$17+DR$19</f>
        <v/>
      </c>
      <c r="DS20" s="62">
        <f>DS$17+DS$19</f>
        <v/>
      </c>
      <c r="DT20" s="62">
        <f>DT$17+DT$19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T13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DEBT — Sizing (min-of), Single/Separate Loans, Refi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Blended loan terms (Single Blended Loan mode)</t>
        </is>
      </c>
      <c r="B5" s="9" t="n"/>
      <c r="C5" s="9" t="n"/>
      <c r="D5" s="9" t="n"/>
    </row>
    <row r="6">
      <c r="A6" s="10" t="inlineStr">
        <is>
          <t>Max LTV (%)</t>
        </is>
      </c>
      <c r="B6" s="56" t="n">
        <v>0.65</v>
      </c>
    </row>
    <row r="7">
      <c r="A7" s="10" t="inlineStr">
        <is>
          <t>Max LTC (%)</t>
        </is>
      </c>
      <c r="B7" s="56" t="n">
        <v>0.7</v>
      </c>
    </row>
    <row r="8">
      <c r="A8" s="10" t="inlineStr">
        <is>
          <t>Min DSCR (x)</t>
        </is>
      </c>
      <c r="B8" s="63" t="n">
        <v>1.25</v>
      </c>
    </row>
    <row r="9">
      <c r="A9" s="10" t="inlineStr">
        <is>
          <t>Min Debt Yield (%)</t>
        </is>
      </c>
      <c r="B9" s="56" t="n">
        <v>0.08500000000000001</v>
      </c>
    </row>
    <row r="10">
      <c r="A10" s="10" t="inlineStr">
        <is>
          <t>Fixed rate (%)</t>
        </is>
      </c>
      <c r="B10" s="27" t="n">
        <v>0.0575</v>
      </c>
    </row>
    <row r="11">
      <c r="A11" s="10" t="inlineStr">
        <is>
          <t>SOFR (%)</t>
        </is>
      </c>
      <c r="B11" s="27" t="n">
        <v>0.043</v>
      </c>
    </row>
    <row r="12">
      <c r="A12" s="10" t="inlineStr">
        <is>
          <t>Spread (bps)</t>
        </is>
      </c>
      <c r="B12" s="64" t="n">
        <v>250</v>
      </c>
    </row>
    <row r="13">
      <c r="A13" s="10" t="inlineStr">
        <is>
          <t>All-in rate (%)</t>
        </is>
      </c>
      <c r="B13" s="35">
        <f>IF(LoanRateType="Fixed",FixedRate,SOFR+SpreadBps/10000)</f>
        <v/>
      </c>
    </row>
    <row r="14">
      <c r="A14" s="10" t="inlineStr">
        <is>
          <t>IO period (months)</t>
        </is>
      </c>
      <c r="B14" s="57" t="n">
        <v>36</v>
      </c>
    </row>
    <row r="15">
      <c r="A15" s="10" t="inlineStr">
        <is>
          <t>Amortization (years)</t>
        </is>
      </c>
      <c r="B15" s="29" t="n">
        <v>30</v>
      </c>
    </row>
    <row r="16">
      <c r="A16" s="10" t="inlineStr">
        <is>
          <t>Financing cost (% of loan)</t>
        </is>
      </c>
      <c r="B16" s="56" t="n">
        <v>0.01</v>
      </c>
    </row>
    <row r="17">
      <c r="A17" s="10" t="inlineStr">
        <is>
          <t>Blended debt constant</t>
        </is>
      </c>
      <c r="B17" s="35">
        <f>LoanRate/12/(1-(1+LoanRate/12)^(-AmortYears*12))*12</f>
        <v/>
      </c>
    </row>
    <row r="19">
      <c r="A19" s="8" t="inlineStr">
        <is>
          <t>MF loan terms (Separate mode)</t>
        </is>
      </c>
      <c r="B19" s="9" t="n"/>
      <c r="C19" s="9" t="n"/>
      <c r="D19" s="9" t="n"/>
    </row>
    <row r="20">
      <c r="A20" s="10" t="inlineStr">
        <is>
          <t>Max LTV (%)</t>
        </is>
      </c>
      <c r="B20" s="56" t="n">
        <v>0.65</v>
      </c>
    </row>
    <row r="21">
      <c r="A21" s="10" t="inlineStr">
        <is>
          <t>Max LTC (%)</t>
        </is>
      </c>
      <c r="B21" s="56" t="n">
        <v>0.7</v>
      </c>
    </row>
    <row r="22">
      <c r="A22" s="10" t="inlineStr">
        <is>
          <t>Min DSCR (x)</t>
        </is>
      </c>
      <c r="B22" s="63" t="n">
        <v>1.25</v>
      </c>
    </row>
    <row r="23">
      <c r="A23" s="10" t="inlineStr">
        <is>
          <t>Min Debt Yield (%)</t>
        </is>
      </c>
      <c r="B23" s="56" t="n">
        <v>0.08500000000000001</v>
      </c>
    </row>
    <row r="24">
      <c r="A24" s="10" t="inlineStr">
        <is>
          <t>Rate type (Fixed/Floating)</t>
        </is>
      </c>
      <c r="B24" s="15" t="inlineStr">
        <is>
          <t>Fixed</t>
        </is>
      </c>
    </row>
    <row r="25">
      <c r="A25" s="10" t="inlineStr">
        <is>
          <t>Fixed rate (%)</t>
        </is>
      </c>
      <c r="B25" s="27" t="n">
        <v>0.056</v>
      </c>
    </row>
    <row r="26">
      <c r="A26" s="10" t="inlineStr">
        <is>
          <t>SOFR (%)</t>
        </is>
      </c>
      <c r="B26" s="27" t="n">
        <v>0.043</v>
      </c>
    </row>
    <row r="27">
      <c r="A27" s="10" t="inlineStr">
        <is>
          <t>Spread (bps)</t>
        </is>
      </c>
      <c r="B27" s="64" t="n">
        <v>250</v>
      </c>
    </row>
    <row r="28">
      <c r="A28" s="10" t="inlineStr">
        <is>
          <t>All-in rate (%)</t>
        </is>
      </c>
      <c r="B28" s="35">
        <f>IF(MFLoan_RateType="Fixed",MFLoan_FixedRate,MFLoan_SOFR+MFLoan_Spread/10000)</f>
        <v/>
      </c>
    </row>
    <row r="29">
      <c r="A29" s="10" t="inlineStr">
        <is>
          <t>IO period (months)</t>
        </is>
      </c>
      <c r="B29" s="57" t="n">
        <v>36</v>
      </c>
    </row>
    <row r="30">
      <c r="A30" s="10" t="inlineStr">
        <is>
          <t>Amortization (years)</t>
        </is>
      </c>
      <c r="B30" s="29" t="n">
        <v>30</v>
      </c>
    </row>
    <row r="31">
      <c r="A31" s="10" t="inlineStr">
        <is>
          <t>Financing cost (% of loan)</t>
        </is>
      </c>
      <c r="B31" s="56" t="n">
        <v>0.01</v>
      </c>
    </row>
    <row r="32">
      <c r="A32" s="10" t="inlineStr">
        <is>
          <t>Debt constant</t>
        </is>
      </c>
      <c r="B32" s="35">
        <f>MFLoan_Rate/12/(1-(1+MFLoan_Rate/12)^(-MFLoan_Amort*12))*12</f>
        <v/>
      </c>
    </row>
    <row r="34">
      <c r="A34" s="8" t="inlineStr">
        <is>
          <t>Retail loan terms (Separate mode)</t>
        </is>
      </c>
      <c r="B34" s="9" t="n"/>
      <c r="C34" s="9" t="n"/>
      <c r="D34" s="9" t="n"/>
    </row>
    <row r="35">
      <c r="A35" s="10" t="inlineStr">
        <is>
          <t>Max LTV (%)</t>
        </is>
      </c>
      <c r="B35" s="56" t="n">
        <v>0.65</v>
      </c>
    </row>
    <row r="36">
      <c r="A36" s="10" t="inlineStr">
        <is>
          <t>Max LTC (%)</t>
        </is>
      </c>
      <c r="B36" s="56" t="n">
        <v>0.7</v>
      </c>
    </row>
    <row r="37">
      <c r="A37" s="10" t="inlineStr">
        <is>
          <t>Min DSCR (x)</t>
        </is>
      </c>
      <c r="B37" s="63" t="n">
        <v>1.25</v>
      </c>
    </row>
    <row r="38">
      <c r="A38" s="10" t="inlineStr">
        <is>
          <t>Min Debt Yield (%)</t>
        </is>
      </c>
      <c r="B38" s="56" t="n">
        <v>0.08500000000000001</v>
      </c>
    </row>
    <row r="39">
      <c r="A39" s="10" t="inlineStr">
        <is>
          <t>Rate type (Fixed/Floating)</t>
        </is>
      </c>
      <c r="B39" s="15" t="inlineStr">
        <is>
          <t>Fixed</t>
        </is>
      </c>
    </row>
    <row r="40">
      <c r="A40" s="10" t="inlineStr">
        <is>
          <t>Fixed rate (%)</t>
        </is>
      </c>
      <c r="B40" s="27" t="n">
        <v>0.0625</v>
      </c>
    </row>
    <row r="41">
      <c r="A41" s="10" t="inlineStr">
        <is>
          <t>SOFR (%)</t>
        </is>
      </c>
      <c r="B41" s="27" t="n">
        <v>0.043</v>
      </c>
    </row>
    <row r="42">
      <c r="A42" s="10" t="inlineStr">
        <is>
          <t>Spread (bps)</t>
        </is>
      </c>
      <c r="B42" s="64" t="n">
        <v>250</v>
      </c>
    </row>
    <row r="43">
      <c r="A43" s="10" t="inlineStr">
        <is>
          <t>All-in rate (%)</t>
        </is>
      </c>
      <c r="B43" s="35">
        <f>IF(RTLoan_RateType="Fixed",RTLoan_FixedRate,RTLoan_SOFR+RTLoan_Spread/10000)</f>
        <v/>
      </c>
    </row>
    <row r="44">
      <c r="A44" s="10" t="inlineStr">
        <is>
          <t>IO period (months)</t>
        </is>
      </c>
      <c r="B44" s="57" t="n">
        <v>36</v>
      </c>
    </row>
    <row r="45">
      <c r="A45" s="10" t="inlineStr">
        <is>
          <t>Amortization (years)</t>
        </is>
      </c>
      <c r="B45" s="29" t="n">
        <v>30</v>
      </c>
    </row>
    <row r="46">
      <c r="A46" s="10" t="inlineStr">
        <is>
          <t>Financing cost (% of loan)</t>
        </is>
      </c>
      <c r="B46" s="56" t="n">
        <v>0.01</v>
      </c>
    </row>
    <row r="47">
      <c r="A47" s="10" t="inlineStr">
        <is>
          <t>Debt constant</t>
        </is>
      </c>
      <c r="B47" s="35">
        <f>RTLoan_Rate/12/(1-(1+RTLoan_Rate/12)^(-RTLoan_Amort*12))*12</f>
        <v/>
      </c>
    </row>
    <row r="49">
      <c r="A49" s="8" t="inlineStr">
        <is>
          <t>Sizing inputs — NOI, value, cost (component split drives Separate mode)</t>
        </is>
      </c>
      <c r="B49" s="9" t="n"/>
      <c r="C49" s="9" t="n"/>
      <c r="D49" s="9" t="n"/>
      <c r="E49" s="9" t="n"/>
      <c r="F49" s="9" t="n"/>
    </row>
    <row r="50">
      <c r="A50" s="10" t="inlineStr">
        <is>
          <t>Going-in NOI — total ($)</t>
        </is>
      </c>
      <c r="B50" s="50">
        <f>SUM('Monthly CF'!F$12:Q$12)</f>
        <v/>
      </c>
    </row>
    <row r="51">
      <c r="A51" s="10" t="inlineStr">
        <is>
          <t>Stabilized NOI — total ($)</t>
        </is>
      </c>
      <c r="B51" s="50">
        <f>SUM('Monthly CF'!R$12:AC$12)</f>
        <v/>
      </c>
    </row>
    <row r="52">
      <c r="A52" s="10" t="inlineStr">
        <is>
          <t>Going-in NOI — MF ($)</t>
        </is>
      </c>
      <c r="B52" s="50">
        <f>SUM('Monthly CF'!F$13:Q$13)</f>
        <v/>
      </c>
    </row>
    <row r="53">
      <c r="A53" s="10" t="inlineStr">
        <is>
          <t>Stabilized NOI — MF ($)</t>
        </is>
      </c>
      <c r="B53" s="50">
        <f>SUM('Monthly CF'!R$13:AC$13)</f>
        <v/>
      </c>
    </row>
    <row r="54">
      <c r="A54" s="10" t="inlineStr">
        <is>
          <t>Going-in NOI — Retail ($)</t>
        </is>
      </c>
      <c r="B54" s="50">
        <f>SUM('Monthly CF'!F$14:Q$14)</f>
        <v/>
      </c>
    </row>
    <row r="55">
      <c r="A55" s="10" t="inlineStr">
        <is>
          <t>Stabilized NOI — Retail ($)</t>
        </is>
      </c>
      <c r="B55" s="50">
        <f>SUM('Monthly CF'!R$14:AC$14)</f>
        <v/>
      </c>
    </row>
    <row r="56">
      <c r="A56" s="10" t="inlineStr">
        <is>
          <t>MF value (alloc. by going-in NOI share)</t>
        </is>
      </c>
      <c r="B56" s="52">
        <f>PurchasePrice*IFERROR(GoingInNOI_MF/GoingInNOI,0)</f>
        <v/>
      </c>
    </row>
    <row r="57">
      <c r="A57" s="10" t="inlineStr">
        <is>
          <t>Retail value (residual)</t>
        </is>
      </c>
      <c r="B57" s="52">
        <f>PurchasePrice-Value_MF</f>
        <v/>
      </c>
    </row>
    <row r="58">
      <c r="A58" s="10" t="inlineStr">
        <is>
          <t>MF cost (alloc. share)</t>
        </is>
      </c>
      <c r="B58" s="52">
        <f>TotalCost*IFERROR(GoingInNOI_MF/GoingInNOI,0)</f>
        <v/>
      </c>
    </row>
    <row r="59">
      <c r="A59" s="10" t="inlineStr">
        <is>
          <t>Retail cost (residual)</t>
        </is>
      </c>
      <c r="B59" s="52">
        <f>TotalCost-Cost_MF</f>
        <v/>
      </c>
    </row>
    <row r="61">
      <c r="A61" s="8" t="inlineStr">
        <is>
          <t>Loan sizing (min-of constraints; binding flag)</t>
        </is>
      </c>
      <c r="B61" s="9" t="n"/>
      <c r="C61" s="9" t="n"/>
      <c r="D61" s="9" t="n"/>
      <c r="E61" s="9" t="n"/>
      <c r="F61" s="9" t="n"/>
    </row>
    <row r="62">
      <c r="A62" s="10" t="inlineStr">
        <is>
          <t>Blend: max loan — LTV</t>
        </is>
      </c>
      <c r="B62" s="52">
        <f>IF(Use_LTV="On",PurchasePrice*MaxLTV,1000000000000000)</f>
        <v/>
      </c>
    </row>
    <row r="63">
      <c r="A63" s="10" t="inlineStr">
        <is>
          <t>Blend: max loan — LTC</t>
        </is>
      </c>
      <c r="B63" s="52">
        <f>IF(Use_LTC="On",TotalCost*MaxLTC,1000000000000000)</f>
        <v/>
      </c>
    </row>
    <row r="64">
      <c r="A64" s="10" t="inlineStr">
        <is>
          <t>Blend: max loan — DSCR</t>
        </is>
      </c>
      <c r="B64" s="52">
        <f>IF(Use_DSCR="On",GoingInNOI/(MinDSCR*DebtConstant),1000000000000000)</f>
        <v/>
      </c>
    </row>
    <row r="65">
      <c r="A65" s="10" t="inlineStr">
        <is>
          <t>Blend: max loan — Debt Yield</t>
        </is>
      </c>
      <c r="B65" s="52">
        <f>IF(Use_DY="On",GoingInNOI/MinDebtYield,1000000000000000)</f>
        <v/>
      </c>
    </row>
    <row r="66">
      <c r="A66" s="3" t="inlineStr">
        <is>
          <t>Blend: loan (MIN of active)</t>
        </is>
      </c>
      <c r="B66" s="62">
        <f>MIN(Blend_LTV,Blend_LTC,Blend_DSCRcap,Blend_DYcap,PurchasePrice)</f>
        <v/>
      </c>
    </row>
    <row r="67">
      <c r="A67" s="10" t="inlineStr">
        <is>
          <t>Blend: binding constraint</t>
        </is>
      </c>
      <c r="B67" s="10">
        <f>IF(BlendedLoan=Blend_LTV,"LTV",IF(BlendedLoan=Blend_LTC,"LTC",IF(BlendedLoan=Blend_DSCRcap,"DSCR",IF(BlendedLoan=Blend_DYcap,"Debt Yield","Value cap"))))</f>
        <v/>
      </c>
    </row>
    <row r="69">
      <c r="A69" s="10" t="inlineStr">
        <is>
          <t>MFLn: max loan — LTV</t>
        </is>
      </c>
      <c r="B69" s="52">
        <f>IF(Use_LTV="On",Value_MF*MFLoan_MaxLTV,1000000000000000)</f>
        <v/>
      </c>
    </row>
    <row r="70">
      <c r="A70" s="10" t="inlineStr">
        <is>
          <t>MFLn: max loan — LTC</t>
        </is>
      </c>
      <c r="B70" s="52">
        <f>IF(Use_LTC="On",Cost_MF*MFLoan_MaxLTC,1000000000000000)</f>
        <v/>
      </c>
    </row>
    <row r="71">
      <c r="A71" s="10" t="inlineStr">
        <is>
          <t>MFLn: max loan — DSCR</t>
        </is>
      </c>
      <c r="B71" s="52">
        <f>IF(Use_DSCR="On",GoingInNOI_MF/(MFLoan_MinDSCR*MFLoan_DebtConstant),1000000000000000)</f>
        <v/>
      </c>
    </row>
    <row r="72">
      <c r="A72" s="10" t="inlineStr">
        <is>
          <t>MFLn: max loan — Debt Yield</t>
        </is>
      </c>
      <c r="B72" s="52">
        <f>IF(Use_DY="On",GoingInNOI_MF/MFLoan_MinDY,1000000000000000)</f>
        <v/>
      </c>
    </row>
    <row r="73">
      <c r="A73" s="3" t="inlineStr">
        <is>
          <t>MFLn: loan (MIN of active)</t>
        </is>
      </c>
      <c r="B73" s="62">
        <f>MIN(MFLn_LTV,MFLn_LTC,MFLn_DSCRcap,MFLn_DYcap,Value_MF)</f>
        <v/>
      </c>
    </row>
    <row r="74">
      <c r="A74" s="10" t="inlineStr">
        <is>
          <t>MFLn: binding constraint</t>
        </is>
      </c>
      <c r="B74" s="10">
        <f>IF(MF_Loan=MFLn_LTV,"LTV",IF(MF_Loan=MFLn_LTC,"LTC",IF(MF_Loan=MFLn_DSCRcap,"DSCR",IF(MF_Loan=MFLn_DYcap,"Debt Yield","Value cap"))))</f>
        <v/>
      </c>
    </row>
    <row r="76">
      <c r="A76" s="10" t="inlineStr">
        <is>
          <t>RTLn: max loan — LTV</t>
        </is>
      </c>
      <c r="B76" s="52">
        <f>IF(Use_LTV="On",Value_Retail*RTLoan_MaxLTV,1000000000000000)</f>
        <v/>
      </c>
    </row>
    <row r="77">
      <c r="A77" s="10" t="inlineStr">
        <is>
          <t>RTLn: max loan — LTC</t>
        </is>
      </c>
      <c r="B77" s="52">
        <f>IF(Use_LTC="On",Cost_Retail*RTLoan_MaxLTC,1000000000000000)</f>
        <v/>
      </c>
    </row>
    <row r="78">
      <c r="A78" s="10" t="inlineStr">
        <is>
          <t>RTLn: max loan — DSCR</t>
        </is>
      </c>
      <c r="B78" s="52">
        <f>IF(Use_DSCR="On",GoingInNOI_Retail/(RTLoan_MinDSCR*RTLoan_DebtConstant),1000000000000000)</f>
        <v/>
      </c>
    </row>
    <row r="79">
      <c r="A79" s="10" t="inlineStr">
        <is>
          <t>RTLn: max loan — Debt Yield</t>
        </is>
      </c>
      <c r="B79" s="52">
        <f>IF(Use_DY="On",GoingInNOI_Retail/RTLoan_MinDY,1000000000000000)</f>
        <v/>
      </c>
    </row>
    <row r="80">
      <c r="A80" s="3" t="inlineStr">
        <is>
          <t>RTLn: loan (MIN of active)</t>
        </is>
      </c>
      <c r="B80" s="62">
        <f>MIN(RTLn_LTV,RTLn_LTC,RTLn_DSCRcap,RTLn_DYcap,Value_Retail)</f>
        <v/>
      </c>
    </row>
    <row r="81">
      <c r="A81" s="10" t="inlineStr">
        <is>
          <t>RTLn: binding constraint</t>
        </is>
      </c>
      <c r="B81" s="10">
        <f>IF(RT_Loan=RTLn_LTV,"LTV",IF(RT_Loan=RTLn_LTC,"LTC",IF(RT_Loan=RTLn_DSCRcap,"DSCR",IF(RT_Loan=RTLn_DYcap,"Debt Yield","Value cap"))))</f>
        <v/>
      </c>
    </row>
    <row r="83">
      <c r="A83" s="8" t="inlineStr">
        <is>
          <t>Active loans (A + B); structure-driven</t>
        </is>
      </c>
      <c r="B83" s="9" t="n"/>
      <c r="C83" s="9" t="n"/>
      <c r="D83" s="9" t="n"/>
      <c r="E83" s="9" t="n"/>
      <c r="F83" s="9" t="n"/>
    </row>
    <row r="84">
      <c r="A84" s="10" t="inlineStr">
        <is>
          <t>Loan A amount ($)</t>
        </is>
      </c>
      <c r="B84" s="52">
        <f>IF(DebtStructure="Separate MF + Retail Loans",MF_Loan,BlendedLoan)</f>
        <v/>
      </c>
    </row>
    <row r="85">
      <c r="A85" s="10" t="inlineStr">
        <is>
          <t>Loan B amount ($)</t>
        </is>
      </c>
      <c r="B85" s="52">
        <f>IF(DebtStructure="Separate MF + Retail Loans",RT_Loan,0)</f>
        <v/>
      </c>
    </row>
    <row r="86">
      <c r="A86" s="10" t="inlineStr">
        <is>
          <t>Loan A rate (%)</t>
        </is>
      </c>
      <c r="B86" s="35">
        <f>IF(DebtStructure="Separate MF + Retail Loans",MFLoan_Rate,LoanRate)</f>
        <v/>
      </c>
    </row>
    <row r="87">
      <c r="A87" s="10" t="inlineStr">
        <is>
          <t>Loan B rate (%)</t>
        </is>
      </c>
      <c r="B87" s="35">
        <f>IF(DebtStructure="Separate MF + Retail Loans",RTLoan_Rate,LoanRate)</f>
        <v/>
      </c>
    </row>
    <row r="88">
      <c r="A88" s="10" t="inlineStr">
        <is>
          <t>Loan A IO (months)</t>
        </is>
      </c>
      <c r="B88" s="65">
        <f>IF(DebtStructure="Separate MF + Retail Loans",MFLoan_IO,IOMonths)</f>
        <v/>
      </c>
    </row>
    <row r="89">
      <c r="A89" s="10" t="inlineStr">
        <is>
          <t>Loan B IO (months)</t>
        </is>
      </c>
      <c r="B89" s="65">
        <f>IF(DebtStructure="Separate MF + Retail Loans",RTLoan_IO,IOMonths)</f>
        <v/>
      </c>
    </row>
    <row r="90">
      <c r="A90" s="10" t="inlineStr">
        <is>
          <t>Loan A amort (years)</t>
        </is>
      </c>
      <c r="B90" s="13">
        <f>IF(DebtStructure="Separate MF + Retail Loans",MFLoan_Amort,AmortYears)</f>
        <v/>
      </c>
    </row>
    <row r="91">
      <c r="A91" s="10" t="inlineStr">
        <is>
          <t>Loan B amort (years)</t>
        </is>
      </c>
      <c r="B91" s="13">
        <f>IF(DebtStructure="Separate MF + Retail Loans",RTLoan_Amort,AmortYears)</f>
        <v/>
      </c>
    </row>
    <row r="92">
      <c r="A92" s="10" t="inlineStr">
        <is>
          <t>Property loan (A+B) ($)</t>
        </is>
      </c>
      <c r="B92" s="52">
        <f>LoanA_Amount+LoanB_Amount</f>
        <v/>
      </c>
    </row>
    <row r="93">
      <c r="A93" s="3" t="inlineStr">
        <is>
          <t>Committed loan incl. financed holdback ($)</t>
        </is>
      </c>
      <c r="B93" s="62">
        <f>PropertyLoan+FinancedCapBudget</f>
        <v/>
      </c>
    </row>
    <row r="94">
      <c r="A94" s="10" t="inlineStr">
        <is>
          <t>Binding constraint</t>
        </is>
      </c>
      <c r="B94" s="18">
        <f>IF(DebtStructure="Separate MF + Retail Loans","MF:"&amp;MFLn_Binding&amp;" / RT:"&amp;RTLn_Binding,Blend_Binding)</f>
        <v/>
      </c>
    </row>
    <row r="95">
      <c r="A95" s="10" t="inlineStr">
        <is>
          <t>Financing costs ($)</t>
        </is>
      </c>
      <c r="B95" s="52" t="n">
        <v>0</v>
      </c>
    </row>
    <row r="97">
      <c r="A97" s="8" t="inlineStr">
        <is>
          <t>Refi (toggle #5) — refinances total balance into Loan A</t>
        </is>
      </c>
      <c r="B97" s="9" t="n"/>
      <c r="C97" s="9" t="n"/>
      <c r="D97" s="9" t="n"/>
    </row>
    <row r="98">
      <c r="A98" s="10" t="inlineStr">
        <is>
          <t>Refi month</t>
        </is>
      </c>
      <c r="B98" s="57" t="n">
        <v>36</v>
      </c>
    </row>
    <row r="99">
      <c r="A99" s="10" t="inlineStr">
        <is>
          <t>Refi cap on stabilized value (%)</t>
        </is>
      </c>
      <c r="B99" s="27" t="n">
        <v>0.055</v>
      </c>
    </row>
    <row r="100">
      <c r="A100" s="10" t="inlineStr">
        <is>
          <t>Refi LTV (%)</t>
        </is>
      </c>
      <c r="B100" s="56" t="n">
        <v>0.65</v>
      </c>
    </row>
    <row r="101">
      <c r="A101" s="10" t="inlineStr">
        <is>
          <t>Refi cost (% of new loan)</t>
        </is>
      </c>
      <c r="B101" s="56" t="n">
        <v>0.01</v>
      </c>
    </row>
    <row r="102">
      <c r="A102" s="10" t="inlineStr">
        <is>
          <t>Stabilized value (for refi)</t>
        </is>
      </c>
      <c r="B102" s="52">
        <f>StabNOI/RefiCap</f>
        <v/>
      </c>
    </row>
    <row r="103">
      <c r="A103" s="10" t="inlineStr">
        <is>
          <t>New refi loan</t>
        </is>
      </c>
      <c r="B103" s="52">
        <f>IF(RefiOn="On",MIN(StabValue*RefiLTV,StabNOI/(MinDSCR*DebtConstant)),0)</f>
        <v/>
      </c>
    </row>
    <row r="106">
      <c r="A106" s="8" t="inlineStr">
        <is>
          <t>MONTHLY DEBT SCHEDULE (Loan A + Loan B; B inert in Single mode)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</row>
    <row r="107">
      <c r="A107" s="3" t="inlineStr">
        <is>
          <t>Month index</t>
        </is>
      </c>
      <c r="E107" s="6">
        <f>Assumptions!E$72</f>
        <v/>
      </c>
      <c r="F107" s="6">
        <f>Assumptions!F$72</f>
        <v/>
      </c>
      <c r="G107" s="6">
        <f>Assumptions!G$72</f>
        <v/>
      </c>
      <c r="H107" s="6">
        <f>Assumptions!H$72</f>
        <v/>
      </c>
      <c r="I107" s="6">
        <f>Assumptions!I$72</f>
        <v/>
      </c>
      <c r="J107" s="6">
        <f>Assumptions!J$72</f>
        <v/>
      </c>
      <c r="K107" s="6">
        <f>Assumptions!K$72</f>
        <v/>
      </c>
      <c r="L107" s="6">
        <f>Assumptions!L$72</f>
        <v/>
      </c>
      <c r="M107" s="6">
        <f>Assumptions!M$72</f>
        <v/>
      </c>
      <c r="N107" s="6">
        <f>Assumptions!N$72</f>
        <v/>
      </c>
      <c r="O107" s="6">
        <f>Assumptions!O$72</f>
        <v/>
      </c>
      <c r="P107" s="6">
        <f>Assumptions!P$72</f>
        <v/>
      </c>
      <c r="Q107" s="6">
        <f>Assumptions!Q$72</f>
        <v/>
      </c>
      <c r="R107" s="6">
        <f>Assumptions!R$72</f>
        <v/>
      </c>
      <c r="S107" s="6">
        <f>Assumptions!S$72</f>
        <v/>
      </c>
      <c r="T107" s="6">
        <f>Assumptions!T$72</f>
        <v/>
      </c>
      <c r="U107" s="6">
        <f>Assumptions!U$72</f>
        <v/>
      </c>
      <c r="V107" s="6">
        <f>Assumptions!V$72</f>
        <v/>
      </c>
      <c r="W107" s="6">
        <f>Assumptions!W$72</f>
        <v/>
      </c>
      <c r="X107" s="6">
        <f>Assumptions!X$72</f>
        <v/>
      </c>
      <c r="Y107" s="6">
        <f>Assumptions!Y$72</f>
        <v/>
      </c>
      <c r="Z107" s="6">
        <f>Assumptions!Z$72</f>
        <v/>
      </c>
      <c r="AA107" s="6">
        <f>Assumptions!AA$72</f>
        <v/>
      </c>
      <c r="AB107" s="6">
        <f>Assumptions!AB$72</f>
        <v/>
      </c>
      <c r="AC107" s="6">
        <f>Assumptions!AC$72</f>
        <v/>
      </c>
      <c r="AD107" s="6">
        <f>Assumptions!AD$72</f>
        <v/>
      </c>
      <c r="AE107" s="6">
        <f>Assumptions!AE$72</f>
        <v/>
      </c>
      <c r="AF107" s="6">
        <f>Assumptions!AF$72</f>
        <v/>
      </c>
      <c r="AG107" s="6">
        <f>Assumptions!AG$72</f>
        <v/>
      </c>
      <c r="AH107" s="6">
        <f>Assumptions!AH$72</f>
        <v/>
      </c>
      <c r="AI107" s="6">
        <f>Assumptions!AI$72</f>
        <v/>
      </c>
      <c r="AJ107" s="6">
        <f>Assumptions!AJ$72</f>
        <v/>
      </c>
      <c r="AK107" s="6">
        <f>Assumptions!AK$72</f>
        <v/>
      </c>
      <c r="AL107" s="6">
        <f>Assumptions!AL$72</f>
        <v/>
      </c>
      <c r="AM107" s="6">
        <f>Assumptions!AM$72</f>
        <v/>
      </c>
      <c r="AN107" s="6">
        <f>Assumptions!AN$72</f>
        <v/>
      </c>
      <c r="AO107" s="6">
        <f>Assumptions!AO$72</f>
        <v/>
      </c>
      <c r="AP107" s="6">
        <f>Assumptions!AP$72</f>
        <v/>
      </c>
      <c r="AQ107" s="6">
        <f>Assumptions!AQ$72</f>
        <v/>
      </c>
      <c r="AR107" s="6">
        <f>Assumptions!AR$72</f>
        <v/>
      </c>
      <c r="AS107" s="6">
        <f>Assumptions!AS$72</f>
        <v/>
      </c>
      <c r="AT107" s="6">
        <f>Assumptions!AT$72</f>
        <v/>
      </c>
      <c r="AU107" s="6">
        <f>Assumptions!AU$72</f>
        <v/>
      </c>
      <c r="AV107" s="6">
        <f>Assumptions!AV$72</f>
        <v/>
      </c>
      <c r="AW107" s="6">
        <f>Assumptions!AW$72</f>
        <v/>
      </c>
      <c r="AX107" s="6">
        <f>Assumptions!AX$72</f>
        <v/>
      </c>
      <c r="AY107" s="6">
        <f>Assumptions!AY$72</f>
        <v/>
      </c>
      <c r="AZ107" s="6">
        <f>Assumptions!AZ$72</f>
        <v/>
      </c>
      <c r="BA107" s="6">
        <f>Assumptions!BA$72</f>
        <v/>
      </c>
      <c r="BB107" s="6">
        <f>Assumptions!BB$72</f>
        <v/>
      </c>
      <c r="BC107" s="6">
        <f>Assumptions!BC$72</f>
        <v/>
      </c>
      <c r="BD107" s="6">
        <f>Assumptions!BD$72</f>
        <v/>
      </c>
      <c r="BE107" s="6">
        <f>Assumptions!BE$72</f>
        <v/>
      </c>
      <c r="BF107" s="6">
        <f>Assumptions!BF$72</f>
        <v/>
      </c>
      <c r="BG107" s="6">
        <f>Assumptions!BG$72</f>
        <v/>
      </c>
      <c r="BH107" s="6">
        <f>Assumptions!BH$72</f>
        <v/>
      </c>
      <c r="BI107" s="6">
        <f>Assumptions!BI$72</f>
        <v/>
      </c>
      <c r="BJ107" s="6">
        <f>Assumptions!BJ$72</f>
        <v/>
      </c>
      <c r="BK107" s="6">
        <f>Assumptions!BK$72</f>
        <v/>
      </c>
      <c r="BL107" s="6">
        <f>Assumptions!BL$72</f>
        <v/>
      </c>
      <c r="BM107" s="6">
        <f>Assumptions!BM$72</f>
        <v/>
      </c>
      <c r="BN107" s="6">
        <f>Assumptions!BN$72</f>
        <v/>
      </c>
      <c r="BO107" s="6">
        <f>Assumptions!BO$72</f>
        <v/>
      </c>
      <c r="BP107" s="6">
        <f>Assumptions!BP$72</f>
        <v/>
      </c>
      <c r="BQ107" s="6">
        <f>Assumptions!BQ$72</f>
        <v/>
      </c>
      <c r="BR107" s="6">
        <f>Assumptions!BR$72</f>
        <v/>
      </c>
      <c r="BS107" s="6">
        <f>Assumptions!BS$72</f>
        <v/>
      </c>
      <c r="BT107" s="6">
        <f>Assumptions!BT$72</f>
        <v/>
      </c>
      <c r="BU107" s="6">
        <f>Assumptions!BU$72</f>
        <v/>
      </c>
      <c r="BV107" s="6">
        <f>Assumptions!BV$72</f>
        <v/>
      </c>
      <c r="BW107" s="6">
        <f>Assumptions!BW$72</f>
        <v/>
      </c>
      <c r="BX107" s="6">
        <f>Assumptions!BX$72</f>
        <v/>
      </c>
      <c r="BY107" s="6">
        <f>Assumptions!BY$72</f>
        <v/>
      </c>
      <c r="BZ107" s="6">
        <f>Assumptions!BZ$72</f>
        <v/>
      </c>
      <c r="CA107" s="6">
        <f>Assumptions!CA$72</f>
        <v/>
      </c>
      <c r="CB107" s="6">
        <f>Assumptions!CB$72</f>
        <v/>
      </c>
      <c r="CC107" s="6">
        <f>Assumptions!CC$72</f>
        <v/>
      </c>
      <c r="CD107" s="6">
        <f>Assumptions!CD$72</f>
        <v/>
      </c>
      <c r="CE107" s="6">
        <f>Assumptions!CE$72</f>
        <v/>
      </c>
      <c r="CF107" s="6">
        <f>Assumptions!CF$72</f>
        <v/>
      </c>
      <c r="CG107" s="6">
        <f>Assumptions!CG$72</f>
        <v/>
      </c>
      <c r="CH107" s="6">
        <f>Assumptions!CH$72</f>
        <v/>
      </c>
      <c r="CI107" s="6">
        <f>Assumptions!CI$72</f>
        <v/>
      </c>
      <c r="CJ107" s="6">
        <f>Assumptions!CJ$72</f>
        <v/>
      </c>
      <c r="CK107" s="6">
        <f>Assumptions!CK$72</f>
        <v/>
      </c>
      <c r="CL107" s="6">
        <f>Assumptions!CL$72</f>
        <v/>
      </c>
      <c r="CM107" s="6">
        <f>Assumptions!CM$72</f>
        <v/>
      </c>
      <c r="CN107" s="6">
        <f>Assumptions!CN$72</f>
        <v/>
      </c>
      <c r="CO107" s="6">
        <f>Assumptions!CO$72</f>
        <v/>
      </c>
      <c r="CP107" s="6">
        <f>Assumptions!CP$72</f>
        <v/>
      </c>
      <c r="CQ107" s="6">
        <f>Assumptions!CQ$72</f>
        <v/>
      </c>
      <c r="CR107" s="6">
        <f>Assumptions!CR$72</f>
        <v/>
      </c>
      <c r="CS107" s="6">
        <f>Assumptions!CS$72</f>
        <v/>
      </c>
      <c r="CT107" s="6">
        <f>Assumptions!CT$72</f>
        <v/>
      </c>
      <c r="CU107" s="6">
        <f>Assumptions!CU$72</f>
        <v/>
      </c>
      <c r="CV107" s="6">
        <f>Assumptions!CV$72</f>
        <v/>
      </c>
      <c r="CW107" s="6">
        <f>Assumptions!CW$72</f>
        <v/>
      </c>
      <c r="CX107" s="6">
        <f>Assumptions!CX$72</f>
        <v/>
      </c>
      <c r="CY107" s="6">
        <f>Assumptions!CY$72</f>
        <v/>
      </c>
      <c r="CZ107" s="6">
        <f>Assumptions!CZ$72</f>
        <v/>
      </c>
      <c r="DA107" s="6">
        <f>Assumptions!DA$72</f>
        <v/>
      </c>
      <c r="DB107" s="6">
        <f>Assumptions!DB$72</f>
        <v/>
      </c>
      <c r="DC107" s="6">
        <f>Assumptions!DC$72</f>
        <v/>
      </c>
      <c r="DD107" s="6">
        <f>Assumptions!DD$72</f>
        <v/>
      </c>
      <c r="DE107" s="6">
        <f>Assumptions!DE$72</f>
        <v/>
      </c>
      <c r="DF107" s="6">
        <f>Assumptions!DF$72</f>
        <v/>
      </c>
      <c r="DG107" s="6">
        <f>Assumptions!DG$72</f>
        <v/>
      </c>
      <c r="DH107" s="6">
        <f>Assumptions!DH$72</f>
        <v/>
      </c>
      <c r="DI107" s="6">
        <f>Assumptions!DI$72</f>
        <v/>
      </c>
      <c r="DJ107" s="6">
        <f>Assumptions!DJ$72</f>
        <v/>
      </c>
      <c r="DK107" s="6">
        <f>Assumptions!DK$72</f>
        <v/>
      </c>
      <c r="DL107" s="6">
        <f>Assumptions!DL$72</f>
        <v/>
      </c>
      <c r="DM107" s="6">
        <f>Assumptions!DM$72</f>
        <v/>
      </c>
      <c r="DN107" s="6">
        <f>Assumptions!DN$72</f>
        <v/>
      </c>
      <c r="DO107" s="6">
        <f>Assumptions!DO$72</f>
        <v/>
      </c>
      <c r="DP107" s="6">
        <f>Assumptions!DP$72</f>
        <v/>
      </c>
      <c r="DQ107" s="6">
        <f>Assumptions!DQ$72</f>
        <v/>
      </c>
      <c r="DR107" s="6">
        <f>Assumptions!DR$72</f>
        <v/>
      </c>
      <c r="DS107" s="6">
        <f>Assumptions!DS$72</f>
        <v/>
      </c>
      <c r="DT107" s="6">
        <f>Assumptions!DT$72</f>
        <v/>
      </c>
    </row>
    <row r="108">
      <c r="A108" s="10" t="inlineStr">
        <is>
          <t>Loan A: opening balance ($)</t>
        </is>
      </c>
      <c r="E108" s="52">
        <f>0</f>
        <v/>
      </c>
      <c r="F108" s="52">
        <f>E$114</f>
        <v/>
      </c>
      <c r="G108" s="52">
        <f>F$114</f>
        <v/>
      </c>
      <c r="H108" s="52">
        <f>G$114</f>
        <v/>
      </c>
      <c r="I108" s="52">
        <f>H$114</f>
        <v/>
      </c>
      <c r="J108" s="52">
        <f>I$114</f>
        <v/>
      </c>
      <c r="K108" s="52">
        <f>J$114</f>
        <v/>
      </c>
      <c r="L108" s="52">
        <f>K$114</f>
        <v/>
      </c>
      <c r="M108" s="52">
        <f>L$114</f>
        <v/>
      </c>
      <c r="N108" s="52">
        <f>M$114</f>
        <v/>
      </c>
      <c r="O108" s="52">
        <f>N$114</f>
        <v/>
      </c>
      <c r="P108" s="52">
        <f>O$114</f>
        <v/>
      </c>
      <c r="Q108" s="52">
        <f>P$114</f>
        <v/>
      </c>
      <c r="R108" s="52">
        <f>Q$114</f>
        <v/>
      </c>
      <c r="S108" s="52">
        <f>R$114</f>
        <v/>
      </c>
      <c r="T108" s="52">
        <f>S$114</f>
        <v/>
      </c>
      <c r="U108" s="52">
        <f>T$114</f>
        <v/>
      </c>
      <c r="V108" s="52">
        <f>U$114</f>
        <v/>
      </c>
      <c r="W108" s="52">
        <f>V$114</f>
        <v/>
      </c>
      <c r="X108" s="52">
        <f>W$114</f>
        <v/>
      </c>
      <c r="Y108" s="52">
        <f>X$114</f>
        <v/>
      </c>
      <c r="Z108" s="52">
        <f>Y$114</f>
        <v/>
      </c>
      <c r="AA108" s="52">
        <f>Z$114</f>
        <v/>
      </c>
      <c r="AB108" s="52">
        <f>AA$114</f>
        <v/>
      </c>
      <c r="AC108" s="52">
        <f>AB$114</f>
        <v/>
      </c>
      <c r="AD108" s="52">
        <f>AC$114</f>
        <v/>
      </c>
      <c r="AE108" s="52">
        <f>AD$114</f>
        <v/>
      </c>
      <c r="AF108" s="52">
        <f>AE$114</f>
        <v/>
      </c>
      <c r="AG108" s="52">
        <f>AF$114</f>
        <v/>
      </c>
      <c r="AH108" s="52">
        <f>AG$114</f>
        <v/>
      </c>
      <c r="AI108" s="52">
        <f>AH$114</f>
        <v/>
      </c>
      <c r="AJ108" s="52">
        <f>AI$114</f>
        <v/>
      </c>
      <c r="AK108" s="52">
        <f>AJ$114</f>
        <v/>
      </c>
      <c r="AL108" s="52">
        <f>AK$114</f>
        <v/>
      </c>
      <c r="AM108" s="52">
        <f>AL$114</f>
        <v/>
      </c>
      <c r="AN108" s="52">
        <f>AM$114</f>
        <v/>
      </c>
      <c r="AO108" s="52">
        <f>AN$114</f>
        <v/>
      </c>
      <c r="AP108" s="52">
        <f>AO$114</f>
        <v/>
      </c>
      <c r="AQ108" s="52">
        <f>AP$114</f>
        <v/>
      </c>
      <c r="AR108" s="52">
        <f>AQ$114</f>
        <v/>
      </c>
      <c r="AS108" s="52">
        <f>AR$114</f>
        <v/>
      </c>
      <c r="AT108" s="52">
        <f>AS$114</f>
        <v/>
      </c>
      <c r="AU108" s="52">
        <f>AT$114</f>
        <v/>
      </c>
      <c r="AV108" s="52">
        <f>AU$114</f>
        <v/>
      </c>
      <c r="AW108" s="52">
        <f>AV$114</f>
        <v/>
      </c>
      <c r="AX108" s="52">
        <f>AW$114</f>
        <v/>
      </c>
      <c r="AY108" s="52">
        <f>AX$114</f>
        <v/>
      </c>
      <c r="AZ108" s="52">
        <f>AY$114</f>
        <v/>
      </c>
      <c r="BA108" s="52">
        <f>AZ$114</f>
        <v/>
      </c>
      <c r="BB108" s="52">
        <f>BA$114</f>
        <v/>
      </c>
      <c r="BC108" s="52">
        <f>BB$114</f>
        <v/>
      </c>
      <c r="BD108" s="52">
        <f>BC$114</f>
        <v/>
      </c>
      <c r="BE108" s="52">
        <f>BD$114</f>
        <v/>
      </c>
      <c r="BF108" s="52">
        <f>BE$114</f>
        <v/>
      </c>
      <c r="BG108" s="52">
        <f>BF$114</f>
        <v/>
      </c>
      <c r="BH108" s="52">
        <f>BG$114</f>
        <v/>
      </c>
      <c r="BI108" s="52">
        <f>BH$114</f>
        <v/>
      </c>
      <c r="BJ108" s="52">
        <f>BI$114</f>
        <v/>
      </c>
      <c r="BK108" s="52">
        <f>BJ$114</f>
        <v/>
      </c>
      <c r="BL108" s="52">
        <f>BK$114</f>
        <v/>
      </c>
      <c r="BM108" s="52">
        <f>BL$114</f>
        <v/>
      </c>
      <c r="BN108" s="52">
        <f>BM$114</f>
        <v/>
      </c>
      <c r="BO108" s="52">
        <f>BN$114</f>
        <v/>
      </c>
      <c r="BP108" s="52">
        <f>BO$114</f>
        <v/>
      </c>
      <c r="BQ108" s="52">
        <f>BP$114</f>
        <v/>
      </c>
      <c r="BR108" s="52">
        <f>BQ$114</f>
        <v/>
      </c>
      <c r="BS108" s="52">
        <f>BR$114</f>
        <v/>
      </c>
      <c r="BT108" s="52">
        <f>BS$114</f>
        <v/>
      </c>
      <c r="BU108" s="52">
        <f>BT$114</f>
        <v/>
      </c>
      <c r="BV108" s="52">
        <f>BU$114</f>
        <v/>
      </c>
      <c r="BW108" s="52">
        <f>BV$114</f>
        <v/>
      </c>
      <c r="BX108" s="52">
        <f>BW$114</f>
        <v/>
      </c>
      <c r="BY108" s="52">
        <f>BX$114</f>
        <v/>
      </c>
      <c r="BZ108" s="52">
        <f>BY$114</f>
        <v/>
      </c>
      <c r="CA108" s="52">
        <f>BZ$114</f>
        <v/>
      </c>
      <c r="CB108" s="52">
        <f>CA$114</f>
        <v/>
      </c>
      <c r="CC108" s="52">
        <f>CB$114</f>
        <v/>
      </c>
      <c r="CD108" s="52">
        <f>CC$114</f>
        <v/>
      </c>
      <c r="CE108" s="52">
        <f>CD$114</f>
        <v/>
      </c>
      <c r="CF108" s="52">
        <f>CE$114</f>
        <v/>
      </c>
      <c r="CG108" s="52">
        <f>CF$114</f>
        <v/>
      </c>
      <c r="CH108" s="52">
        <f>CG$114</f>
        <v/>
      </c>
      <c r="CI108" s="52">
        <f>CH$114</f>
        <v/>
      </c>
      <c r="CJ108" s="52">
        <f>CI$114</f>
        <v/>
      </c>
      <c r="CK108" s="52">
        <f>CJ$114</f>
        <v/>
      </c>
      <c r="CL108" s="52">
        <f>CK$114</f>
        <v/>
      </c>
      <c r="CM108" s="52">
        <f>CL$114</f>
        <v/>
      </c>
      <c r="CN108" s="52">
        <f>CM$114</f>
        <v/>
      </c>
      <c r="CO108" s="52">
        <f>CN$114</f>
        <v/>
      </c>
      <c r="CP108" s="52">
        <f>CO$114</f>
        <v/>
      </c>
      <c r="CQ108" s="52">
        <f>CP$114</f>
        <v/>
      </c>
      <c r="CR108" s="52">
        <f>CQ$114</f>
        <v/>
      </c>
      <c r="CS108" s="52">
        <f>CR$114</f>
        <v/>
      </c>
      <c r="CT108" s="52">
        <f>CS$114</f>
        <v/>
      </c>
      <c r="CU108" s="52">
        <f>CT$114</f>
        <v/>
      </c>
      <c r="CV108" s="52">
        <f>CU$114</f>
        <v/>
      </c>
      <c r="CW108" s="52">
        <f>CV$114</f>
        <v/>
      </c>
      <c r="CX108" s="52">
        <f>CW$114</f>
        <v/>
      </c>
      <c r="CY108" s="52">
        <f>CX$114</f>
        <v/>
      </c>
      <c r="CZ108" s="52">
        <f>CY$114</f>
        <v/>
      </c>
      <c r="DA108" s="52">
        <f>CZ$114</f>
        <v/>
      </c>
      <c r="DB108" s="52">
        <f>DA$114</f>
        <v/>
      </c>
      <c r="DC108" s="52">
        <f>DB$114</f>
        <v/>
      </c>
      <c r="DD108" s="52">
        <f>DC$114</f>
        <v/>
      </c>
      <c r="DE108" s="52">
        <f>DD$114</f>
        <v/>
      </c>
      <c r="DF108" s="52">
        <f>DE$114</f>
        <v/>
      </c>
      <c r="DG108" s="52">
        <f>DF$114</f>
        <v/>
      </c>
      <c r="DH108" s="52">
        <f>DG$114</f>
        <v/>
      </c>
      <c r="DI108" s="52">
        <f>DH$114</f>
        <v/>
      </c>
      <c r="DJ108" s="52">
        <f>DI$114</f>
        <v/>
      </c>
      <c r="DK108" s="52">
        <f>DJ$114</f>
        <v/>
      </c>
      <c r="DL108" s="52">
        <f>DK$114</f>
        <v/>
      </c>
      <c r="DM108" s="52">
        <f>DL$114</f>
        <v/>
      </c>
      <c r="DN108" s="52">
        <f>DM$114</f>
        <v/>
      </c>
      <c r="DO108" s="52">
        <f>DN$114</f>
        <v/>
      </c>
      <c r="DP108" s="52">
        <f>DO$114</f>
        <v/>
      </c>
      <c r="DQ108" s="52">
        <f>DP$114</f>
        <v/>
      </c>
      <c r="DR108" s="52">
        <f>DQ$114</f>
        <v/>
      </c>
      <c r="DS108" s="52">
        <f>DR$114</f>
        <v/>
      </c>
      <c r="DT108" s="52">
        <f>DS$114</f>
        <v/>
      </c>
    </row>
    <row r="109">
      <c r="A109" s="10" t="inlineStr">
        <is>
          <t>Loan A: draw ($)</t>
        </is>
      </c>
      <c r="E109" s="52">
        <f>LoanA_Amount</f>
        <v/>
      </c>
      <c r="F109" s="52">
        <f>0+CapEx!F$18+IF(AND(RefiOn="On",Assumptions!F$72=RefiMonth),RefiLoan,0)</f>
        <v/>
      </c>
      <c r="G109" s="52">
        <f>0+CapEx!G$18+IF(AND(RefiOn="On",Assumptions!G$72=RefiMonth),RefiLoan,0)</f>
        <v/>
      </c>
      <c r="H109" s="52">
        <f>0+CapEx!H$18+IF(AND(RefiOn="On",Assumptions!H$72=RefiMonth),RefiLoan,0)</f>
        <v/>
      </c>
      <c r="I109" s="52">
        <f>0+CapEx!I$18+IF(AND(RefiOn="On",Assumptions!I$72=RefiMonth),RefiLoan,0)</f>
        <v/>
      </c>
      <c r="J109" s="52">
        <f>0+CapEx!J$18+IF(AND(RefiOn="On",Assumptions!J$72=RefiMonth),RefiLoan,0)</f>
        <v/>
      </c>
      <c r="K109" s="52">
        <f>0+CapEx!K$18+IF(AND(RefiOn="On",Assumptions!K$72=RefiMonth),RefiLoan,0)</f>
        <v/>
      </c>
      <c r="L109" s="52">
        <f>0+CapEx!L$18+IF(AND(RefiOn="On",Assumptions!L$72=RefiMonth),RefiLoan,0)</f>
        <v/>
      </c>
      <c r="M109" s="52">
        <f>0+CapEx!M$18+IF(AND(RefiOn="On",Assumptions!M$72=RefiMonth),RefiLoan,0)</f>
        <v/>
      </c>
      <c r="N109" s="52">
        <f>0+CapEx!N$18+IF(AND(RefiOn="On",Assumptions!N$72=RefiMonth),RefiLoan,0)</f>
        <v/>
      </c>
      <c r="O109" s="52">
        <f>0+CapEx!O$18+IF(AND(RefiOn="On",Assumptions!O$72=RefiMonth),RefiLoan,0)</f>
        <v/>
      </c>
      <c r="P109" s="52">
        <f>0+CapEx!P$18+IF(AND(RefiOn="On",Assumptions!P$72=RefiMonth),RefiLoan,0)</f>
        <v/>
      </c>
      <c r="Q109" s="52">
        <f>0+CapEx!Q$18+IF(AND(RefiOn="On",Assumptions!Q$72=RefiMonth),RefiLoan,0)</f>
        <v/>
      </c>
      <c r="R109" s="52">
        <f>0+CapEx!R$18+IF(AND(RefiOn="On",Assumptions!R$72=RefiMonth),RefiLoan,0)</f>
        <v/>
      </c>
      <c r="S109" s="52">
        <f>0+CapEx!S$18+IF(AND(RefiOn="On",Assumptions!S$72=RefiMonth),RefiLoan,0)</f>
        <v/>
      </c>
      <c r="T109" s="52">
        <f>0+CapEx!T$18+IF(AND(RefiOn="On",Assumptions!T$72=RefiMonth),RefiLoan,0)</f>
        <v/>
      </c>
      <c r="U109" s="52">
        <f>0+CapEx!U$18+IF(AND(RefiOn="On",Assumptions!U$72=RefiMonth),RefiLoan,0)</f>
        <v/>
      </c>
      <c r="V109" s="52">
        <f>0+CapEx!V$18+IF(AND(RefiOn="On",Assumptions!V$72=RefiMonth),RefiLoan,0)</f>
        <v/>
      </c>
      <c r="W109" s="52">
        <f>0+CapEx!W$18+IF(AND(RefiOn="On",Assumptions!W$72=RefiMonth),RefiLoan,0)</f>
        <v/>
      </c>
      <c r="X109" s="52">
        <f>0+CapEx!X$18+IF(AND(RefiOn="On",Assumptions!X$72=RefiMonth),RefiLoan,0)</f>
        <v/>
      </c>
      <c r="Y109" s="52">
        <f>0+CapEx!Y$18+IF(AND(RefiOn="On",Assumptions!Y$72=RefiMonth),RefiLoan,0)</f>
        <v/>
      </c>
      <c r="Z109" s="52">
        <f>0+CapEx!Z$18+IF(AND(RefiOn="On",Assumptions!Z$72=RefiMonth),RefiLoan,0)</f>
        <v/>
      </c>
      <c r="AA109" s="52">
        <f>0+CapEx!AA$18+IF(AND(RefiOn="On",Assumptions!AA$72=RefiMonth),RefiLoan,0)</f>
        <v/>
      </c>
      <c r="AB109" s="52">
        <f>0+CapEx!AB$18+IF(AND(RefiOn="On",Assumptions!AB$72=RefiMonth),RefiLoan,0)</f>
        <v/>
      </c>
      <c r="AC109" s="52">
        <f>0+CapEx!AC$18+IF(AND(RefiOn="On",Assumptions!AC$72=RefiMonth),RefiLoan,0)</f>
        <v/>
      </c>
      <c r="AD109" s="52">
        <f>0+CapEx!AD$18+IF(AND(RefiOn="On",Assumptions!AD$72=RefiMonth),RefiLoan,0)</f>
        <v/>
      </c>
      <c r="AE109" s="52">
        <f>0+CapEx!AE$18+IF(AND(RefiOn="On",Assumptions!AE$72=RefiMonth),RefiLoan,0)</f>
        <v/>
      </c>
      <c r="AF109" s="52">
        <f>0+CapEx!AF$18+IF(AND(RefiOn="On",Assumptions!AF$72=RefiMonth),RefiLoan,0)</f>
        <v/>
      </c>
      <c r="AG109" s="52">
        <f>0+CapEx!AG$18+IF(AND(RefiOn="On",Assumptions!AG$72=RefiMonth),RefiLoan,0)</f>
        <v/>
      </c>
      <c r="AH109" s="52">
        <f>0+CapEx!AH$18+IF(AND(RefiOn="On",Assumptions!AH$72=RefiMonth),RefiLoan,0)</f>
        <v/>
      </c>
      <c r="AI109" s="52">
        <f>0+CapEx!AI$18+IF(AND(RefiOn="On",Assumptions!AI$72=RefiMonth),RefiLoan,0)</f>
        <v/>
      </c>
      <c r="AJ109" s="52">
        <f>0+CapEx!AJ$18+IF(AND(RefiOn="On",Assumptions!AJ$72=RefiMonth),RefiLoan,0)</f>
        <v/>
      </c>
      <c r="AK109" s="52">
        <f>0+CapEx!AK$18+IF(AND(RefiOn="On",Assumptions!AK$72=RefiMonth),RefiLoan,0)</f>
        <v/>
      </c>
      <c r="AL109" s="52">
        <f>0+CapEx!AL$18+IF(AND(RefiOn="On",Assumptions!AL$72=RefiMonth),RefiLoan,0)</f>
        <v/>
      </c>
      <c r="AM109" s="52">
        <f>0+CapEx!AM$18+IF(AND(RefiOn="On",Assumptions!AM$72=RefiMonth),RefiLoan,0)</f>
        <v/>
      </c>
      <c r="AN109" s="52">
        <f>0+CapEx!AN$18+IF(AND(RefiOn="On",Assumptions!AN$72=RefiMonth),RefiLoan,0)</f>
        <v/>
      </c>
      <c r="AO109" s="52">
        <f>0+CapEx!AO$18+IF(AND(RefiOn="On",Assumptions!AO$72=RefiMonth),RefiLoan,0)</f>
        <v/>
      </c>
      <c r="AP109" s="52">
        <f>0+CapEx!AP$18+IF(AND(RefiOn="On",Assumptions!AP$72=RefiMonth),RefiLoan,0)</f>
        <v/>
      </c>
      <c r="AQ109" s="52">
        <f>0+CapEx!AQ$18+IF(AND(RefiOn="On",Assumptions!AQ$72=RefiMonth),RefiLoan,0)</f>
        <v/>
      </c>
      <c r="AR109" s="52">
        <f>0+CapEx!AR$18+IF(AND(RefiOn="On",Assumptions!AR$72=RefiMonth),RefiLoan,0)</f>
        <v/>
      </c>
      <c r="AS109" s="52">
        <f>0+CapEx!AS$18+IF(AND(RefiOn="On",Assumptions!AS$72=RefiMonth),RefiLoan,0)</f>
        <v/>
      </c>
      <c r="AT109" s="52">
        <f>0+CapEx!AT$18+IF(AND(RefiOn="On",Assumptions!AT$72=RefiMonth),RefiLoan,0)</f>
        <v/>
      </c>
      <c r="AU109" s="52">
        <f>0+CapEx!AU$18+IF(AND(RefiOn="On",Assumptions!AU$72=RefiMonth),RefiLoan,0)</f>
        <v/>
      </c>
      <c r="AV109" s="52">
        <f>0+CapEx!AV$18+IF(AND(RefiOn="On",Assumptions!AV$72=RefiMonth),RefiLoan,0)</f>
        <v/>
      </c>
      <c r="AW109" s="52">
        <f>0+CapEx!AW$18+IF(AND(RefiOn="On",Assumptions!AW$72=RefiMonth),RefiLoan,0)</f>
        <v/>
      </c>
      <c r="AX109" s="52">
        <f>0+CapEx!AX$18+IF(AND(RefiOn="On",Assumptions!AX$72=RefiMonth),RefiLoan,0)</f>
        <v/>
      </c>
      <c r="AY109" s="52">
        <f>0+CapEx!AY$18+IF(AND(RefiOn="On",Assumptions!AY$72=RefiMonth),RefiLoan,0)</f>
        <v/>
      </c>
      <c r="AZ109" s="52">
        <f>0+CapEx!AZ$18+IF(AND(RefiOn="On",Assumptions!AZ$72=RefiMonth),RefiLoan,0)</f>
        <v/>
      </c>
      <c r="BA109" s="52">
        <f>0+CapEx!BA$18+IF(AND(RefiOn="On",Assumptions!BA$72=RefiMonth),RefiLoan,0)</f>
        <v/>
      </c>
      <c r="BB109" s="52">
        <f>0+CapEx!BB$18+IF(AND(RefiOn="On",Assumptions!BB$72=RefiMonth),RefiLoan,0)</f>
        <v/>
      </c>
      <c r="BC109" s="52">
        <f>0+CapEx!BC$18+IF(AND(RefiOn="On",Assumptions!BC$72=RefiMonth),RefiLoan,0)</f>
        <v/>
      </c>
      <c r="BD109" s="52">
        <f>0+CapEx!BD$18+IF(AND(RefiOn="On",Assumptions!BD$72=RefiMonth),RefiLoan,0)</f>
        <v/>
      </c>
      <c r="BE109" s="52">
        <f>0+CapEx!BE$18+IF(AND(RefiOn="On",Assumptions!BE$72=RefiMonth),RefiLoan,0)</f>
        <v/>
      </c>
      <c r="BF109" s="52">
        <f>0+CapEx!BF$18+IF(AND(RefiOn="On",Assumptions!BF$72=RefiMonth),RefiLoan,0)</f>
        <v/>
      </c>
      <c r="BG109" s="52">
        <f>0+CapEx!BG$18+IF(AND(RefiOn="On",Assumptions!BG$72=RefiMonth),RefiLoan,0)</f>
        <v/>
      </c>
      <c r="BH109" s="52">
        <f>0+CapEx!BH$18+IF(AND(RefiOn="On",Assumptions!BH$72=RefiMonth),RefiLoan,0)</f>
        <v/>
      </c>
      <c r="BI109" s="52">
        <f>0+CapEx!BI$18+IF(AND(RefiOn="On",Assumptions!BI$72=RefiMonth),RefiLoan,0)</f>
        <v/>
      </c>
      <c r="BJ109" s="52">
        <f>0+CapEx!BJ$18+IF(AND(RefiOn="On",Assumptions!BJ$72=RefiMonth),RefiLoan,0)</f>
        <v/>
      </c>
      <c r="BK109" s="52">
        <f>0+CapEx!BK$18+IF(AND(RefiOn="On",Assumptions!BK$72=RefiMonth),RefiLoan,0)</f>
        <v/>
      </c>
      <c r="BL109" s="52">
        <f>0+CapEx!BL$18+IF(AND(RefiOn="On",Assumptions!BL$72=RefiMonth),RefiLoan,0)</f>
        <v/>
      </c>
      <c r="BM109" s="52">
        <f>0+CapEx!BM$18+IF(AND(RefiOn="On",Assumptions!BM$72=RefiMonth),RefiLoan,0)</f>
        <v/>
      </c>
      <c r="BN109" s="52">
        <f>0+CapEx!BN$18+IF(AND(RefiOn="On",Assumptions!BN$72=RefiMonth),RefiLoan,0)</f>
        <v/>
      </c>
      <c r="BO109" s="52">
        <f>0+CapEx!BO$18+IF(AND(RefiOn="On",Assumptions!BO$72=RefiMonth),RefiLoan,0)</f>
        <v/>
      </c>
      <c r="BP109" s="52">
        <f>0+CapEx!BP$18+IF(AND(RefiOn="On",Assumptions!BP$72=RefiMonth),RefiLoan,0)</f>
        <v/>
      </c>
      <c r="BQ109" s="52">
        <f>0+CapEx!BQ$18+IF(AND(RefiOn="On",Assumptions!BQ$72=RefiMonth),RefiLoan,0)</f>
        <v/>
      </c>
      <c r="BR109" s="52">
        <f>0+CapEx!BR$18+IF(AND(RefiOn="On",Assumptions!BR$72=RefiMonth),RefiLoan,0)</f>
        <v/>
      </c>
      <c r="BS109" s="52">
        <f>0+CapEx!BS$18+IF(AND(RefiOn="On",Assumptions!BS$72=RefiMonth),RefiLoan,0)</f>
        <v/>
      </c>
      <c r="BT109" s="52">
        <f>0+CapEx!BT$18+IF(AND(RefiOn="On",Assumptions!BT$72=RefiMonth),RefiLoan,0)</f>
        <v/>
      </c>
      <c r="BU109" s="52">
        <f>0+CapEx!BU$18+IF(AND(RefiOn="On",Assumptions!BU$72=RefiMonth),RefiLoan,0)</f>
        <v/>
      </c>
      <c r="BV109" s="52">
        <f>0+CapEx!BV$18+IF(AND(RefiOn="On",Assumptions!BV$72=RefiMonth),RefiLoan,0)</f>
        <v/>
      </c>
      <c r="BW109" s="52">
        <f>0+CapEx!BW$18+IF(AND(RefiOn="On",Assumptions!BW$72=RefiMonth),RefiLoan,0)</f>
        <v/>
      </c>
      <c r="BX109" s="52">
        <f>0+CapEx!BX$18+IF(AND(RefiOn="On",Assumptions!BX$72=RefiMonth),RefiLoan,0)</f>
        <v/>
      </c>
      <c r="BY109" s="52">
        <f>0+CapEx!BY$18+IF(AND(RefiOn="On",Assumptions!BY$72=RefiMonth),RefiLoan,0)</f>
        <v/>
      </c>
      <c r="BZ109" s="52">
        <f>0+CapEx!BZ$18+IF(AND(RefiOn="On",Assumptions!BZ$72=RefiMonth),RefiLoan,0)</f>
        <v/>
      </c>
      <c r="CA109" s="52">
        <f>0+CapEx!CA$18+IF(AND(RefiOn="On",Assumptions!CA$72=RefiMonth),RefiLoan,0)</f>
        <v/>
      </c>
      <c r="CB109" s="52">
        <f>0+CapEx!CB$18+IF(AND(RefiOn="On",Assumptions!CB$72=RefiMonth),RefiLoan,0)</f>
        <v/>
      </c>
      <c r="CC109" s="52">
        <f>0+CapEx!CC$18+IF(AND(RefiOn="On",Assumptions!CC$72=RefiMonth),RefiLoan,0)</f>
        <v/>
      </c>
      <c r="CD109" s="52">
        <f>0+CapEx!CD$18+IF(AND(RefiOn="On",Assumptions!CD$72=RefiMonth),RefiLoan,0)</f>
        <v/>
      </c>
      <c r="CE109" s="52">
        <f>0+CapEx!CE$18+IF(AND(RefiOn="On",Assumptions!CE$72=RefiMonth),RefiLoan,0)</f>
        <v/>
      </c>
      <c r="CF109" s="52">
        <f>0+CapEx!CF$18+IF(AND(RefiOn="On",Assumptions!CF$72=RefiMonth),RefiLoan,0)</f>
        <v/>
      </c>
      <c r="CG109" s="52">
        <f>0+CapEx!CG$18+IF(AND(RefiOn="On",Assumptions!CG$72=RefiMonth),RefiLoan,0)</f>
        <v/>
      </c>
      <c r="CH109" s="52">
        <f>0+CapEx!CH$18+IF(AND(RefiOn="On",Assumptions!CH$72=RefiMonth),RefiLoan,0)</f>
        <v/>
      </c>
      <c r="CI109" s="52">
        <f>0+CapEx!CI$18+IF(AND(RefiOn="On",Assumptions!CI$72=RefiMonth),RefiLoan,0)</f>
        <v/>
      </c>
      <c r="CJ109" s="52">
        <f>0+CapEx!CJ$18+IF(AND(RefiOn="On",Assumptions!CJ$72=RefiMonth),RefiLoan,0)</f>
        <v/>
      </c>
      <c r="CK109" s="52">
        <f>0+CapEx!CK$18+IF(AND(RefiOn="On",Assumptions!CK$72=RefiMonth),RefiLoan,0)</f>
        <v/>
      </c>
      <c r="CL109" s="52">
        <f>0+CapEx!CL$18+IF(AND(RefiOn="On",Assumptions!CL$72=RefiMonth),RefiLoan,0)</f>
        <v/>
      </c>
      <c r="CM109" s="52">
        <f>0+CapEx!CM$18+IF(AND(RefiOn="On",Assumptions!CM$72=RefiMonth),RefiLoan,0)</f>
        <v/>
      </c>
      <c r="CN109" s="52">
        <f>0+CapEx!CN$18+IF(AND(RefiOn="On",Assumptions!CN$72=RefiMonth),RefiLoan,0)</f>
        <v/>
      </c>
      <c r="CO109" s="52">
        <f>0+CapEx!CO$18+IF(AND(RefiOn="On",Assumptions!CO$72=RefiMonth),RefiLoan,0)</f>
        <v/>
      </c>
      <c r="CP109" s="52">
        <f>0+CapEx!CP$18+IF(AND(RefiOn="On",Assumptions!CP$72=RefiMonth),RefiLoan,0)</f>
        <v/>
      </c>
      <c r="CQ109" s="52">
        <f>0+CapEx!CQ$18+IF(AND(RefiOn="On",Assumptions!CQ$72=RefiMonth),RefiLoan,0)</f>
        <v/>
      </c>
      <c r="CR109" s="52">
        <f>0+CapEx!CR$18+IF(AND(RefiOn="On",Assumptions!CR$72=RefiMonth),RefiLoan,0)</f>
        <v/>
      </c>
      <c r="CS109" s="52">
        <f>0+CapEx!CS$18+IF(AND(RefiOn="On",Assumptions!CS$72=RefiMonth),RefiLoan,0)</f>
        <v/>
      </c>
      <c r="CT109" s="52">
        <f>0+CapEx!CT$18+IF(AND(RefiOn="On",Assumptions!CT$72=RefiMonth),RefiLoan,0)</f>
        <v/>
      </c>
      <c r="CU109" s="52">
        <f>0+CapEx!CU$18+IF(AND(RefiOn="On",Assumptions!CU$72=RefiMonth),RefiLoan,0)</f>
        <v/>
      </c>
      <c r="CV109" s="52">
        <f>0+CapEx!CV$18+IF(AND(RefiOn="On",Assumptions!CV$72=RefiMonth),RefiLoan,0)</f>
        <v/>
      </c>
      <c r="CW109" s="52">
        <f>0+CapEx!CW$18+IF(AND(RefiOn="On",Assumptions!CW$72=RefiMonth),RefiLoan,0)</f>
        <v/>
      </c>
      <c r="CX109" s="52">
        <f>0+CapEx!CX$18+IF(AND(RefiOn="On",Assumptions!CX$72=RefiMonth),RefiLoan,0)</f>
        <v/>
      </c>
      <c r="CY109" s="52">
        <f>0+CapEx!CY$18+IF(AND(RefiOn="On",Assumptions!CY$72=RefiMonth),RefiLoan,0)</f>
        <v/>
      </c>
      <c r="CZ109" s="52">
        <f>0+CapEx!CZ$18+IF(AND(RefiOn="On",Assumptions!CZ$72=RefiMonth),RefiLoan,0)</f>
        <v/>
      </c>
      <c r="DA109" s="52">
        <f>0+CapEx!DA$18+IF(AND(RefiOn="On",Assumptions!DA$72=RefiMonth),RefiLoan,0)</f>
        <v/>
      </c>
      <c r="DB109" s="52">
        <f>0+CapEx!DB$18+IF(AND(RefiOn="On",Assumptions!DB$72=RefiMonth),RefiLoan,0)</f>
        <v/>
      </c>
      <c r="DC109" s="52">
        <f>0+CapEx!DC$18+IF(AND(RefiOn="On",Assumptions!DC$72=RefiMonth),RefiLoan,0)</f>
        <v/>
      </c>
      <c r="DD109" s="52">
        <f>0+CapEx!DD$18+IF(AND(RefiOn="On",Assumptions!DD$72=RefiMonth),RefiLoan,0)</f>
        <v/>
      </c>
      <c r="DE109" s="52">
        <f>0+CapEx!DE$18+IF(AND(RefiOn="On",Assumptions!DE$72=RefiMonth),RefiLoan,0)</f>
        <v/>
      </c>
      <c r="DF109" s="52">
        <f>0+CapEx!DF$18+IF(AND(RefiOn="On",Assumptions!DF$72=RefiMonth),RefiLoan,0)</f>
        <v/>
      </c>
      <c r="DG109" s="52">
        <f>0+CapEx!DG$18+IF(AND(RefiOn="On",Assumptions!DG$72=RefiMonth),RefiLoan,0)</f>
        <v/>
      </c>
      <c r="DH109" s="52">
        <f>0+CapEx!DH$18+IF(AND(RefiOn="On",Assumptions!DH$72=RefiMonth),RefiLoan,0)</f>
        <v/>
      </c>
      <c r="DI109" s="52">
        <f>0+CapEx!DI$18+IF(AND(RefiOn="On",Assumptions!DI$72=RefiMonth),RefiLoan,0)</f>
        <v/>
      </c>
      <c r="DJ109" s="52">
        <f>0+CapEx!DJ$18+IF(AND(RefiOn="On",Assumptions!DJ$72=RefiMonth),RefiLoan,0)</f>
        <v/>
      </c>
      <c r="DK109" s="52">
        <f>0+CapEx!DK$18+IF(AND(RefiOn="On",Assumptions!DK$72=RefiMonth),RefiLoan,0)</f>
        <v/>
      </c>
      <c r="DL109" s="52">
        <f>0+CapEx!DL$18+IF(AND(RefiOn="On",Assumptions!DL$72=RefiMonth),RefiLoan,0)</f>
        <v/>
      </c>
      <c r="DM109" s="52">
        <f>0+CapEx!DM$18+IF(AND(RefiOn="On",Assumptions!DM$72=RefiMonth),RefiLoan,0)</f>
        <v/>
      </c>
      <c r="DN109" s="52">
        <f>0+CapEx!DN$18+IF(AND(RefiOn="On",Assumptions!DN$72=RefiMonth),RefiLoan,0)</f>
        <v/>
      </c>
      <c r="DO109" s="52">
        <f>0+CapEx!DO$18+IF(AND(RefiOn="On",Assumptions!DO$72=RefiMonth),RefiLoan,0)</f>
        <v/>
      </c>
      <c r="DP109" s="52">
        <f>0+CapEx!DP$18+IF(AND(RefiOn="On",Assumptions!DP$72=RefiMonth),RefiLoan,0)</f>
        <v/>
      </c>
      <c r="DQ109" s="52">
        <f>0+CapEx!DQ$18+IF(AND(RefiOn="On",Assumptions!DQ$72=RefiMonth),RefiLoan,0)</f>
        <v/>
      </c>
      <c r="DR109" s="52">
        <f>0+CapEx!DR$18+IF(AND(RefiOn="On",Assumptions!DR$72=RefiMonth),RefiLoan,0)</f>
        <v/>
      </c>
      <c r="DS109" s="52">
        <f>0+CapEx!DS$18+IF(AND(RefiOn="On",Assumptions!DS$72=RefiMonth),RefiLoan,0)</f>
        <v/>
      </c>
      <c r="DT109" s="52">
        <f>0+CapEx!DT$18+IF(AND(RefiOn="On",Assumptions!DT$72=RefiMonth),RefiLoan,0)</f>
        <v/>
      </c>
    </row>
    <row r="110">
      <c r="A110" s="10" t="inlineStr">
        <is>
          <t>Loan A: interest ($)</t>
        </is>
      </c>
      <c r="E110" s="52">
        <f>E$108*LoanA_Rate/12*Assumptions!E$74</f>
        <v/>
      </c>
      <c r="F110" s="52">
        <f>F$108*LoanA_Rate/12*Assumptions!F$74</f>
        <v/>
      </c>
      <c r="G110" s="52">
        <f>G$108*LoanA_Rate/12*Assumptions!G$74</f>
        <v/>
      </c>
      <c r="H110" s="52">
        <f>H$108*LoanA_Rate/12*Assumptions!H$74</f>
        <v/>
      </c>
      <c r="I110" s="52">
        <f>I$108*LoanA_Rate/12*Assumptions!I$74</f>
        <v/>
      </c>
      <c r="J110" s="52">
        <f>J$108*LoanA_Rate/12*Assumptions!J$74</f>
        <v/>
      </c>
      <c r="K110" s="52">
        <f>K$108*LoanA_Rate/12*Assumptions!K$74</f>
        <v/>
      </c>
      <c r="L110" s="52">
        <f>L$108*LoanA_Rate/12*Assumptions!L$74</f>
        <v/>
      </c>
      <c r="M110" s="52">
        <f>M$108*LoanA_Rate/12*Assumptions!M$74</f>
        <v/>
      </c>
      <c r="N110" s="52">
        <f>N$108*LoanA_Rate/12*Assumptions!N$74</f>
        <v/>
      </c>
      <c r="O110" s="52">
        <f>O$108*LoanA_Rate/12*Assumptions!O$74</f>
        <v/>
      </c>
      <c r="P110" s="52">
        <f>P$108*LoanA_Rate/12*Assumptions!P$74</f>
        <v/>
      </c>
      <c r="Q110" s="52">
        <f>Q$108*LoanA_Rate/12*Assumptions!Q$74</f>
        <v/>
      </c>
      <c r="R110" s="52">
        <f>R$108*LoanA_Rate/12*Assumptions!R$74</f>
        <v/>
      </c>
      <c r="S110" s="52">
        <f>S$108*LoanA_Rate/12*Assumptions!S$74</f>
        <v/>
      </c>
      <c r="T110" s="52">
        <f>T$108*LoanA_Rate/12*Assumptions!T$74</f>
        <v/>
      </c>
      <c r="U110" s="52">
        <f>U$108*LoanA_Rate/12*Assumptions!U$74</f>
        <v/>
      </c>
      <c r="V110" s="52">
        <f>V$108*LoanA_Rate/12*Assumptions!V$74</f>
        <v/>
      </c>
      <c r="W110" s="52">
        <f>W$108*LoanA_Rate/12*Assumptions!W$74</f>
        <v/>
      </c>
      <c r="X110" s="52">
        <f>X$108*LoanA_Rate/12*Assumptions!X$74</f>
        <v/>
      </c>
      <c r="Y110" s="52">
        <f>Y$108*LoanA_Rate/12*Assumptions!Y$74</f>
        <v/>
      </c>
      <c r="Z110" s="52">
        <f>Z$108*LoanA_Rate/12*Assumptions!Z$74</f>
        <v/>
      </c>
      <c r="AA110" s="52">
        <f>AA$108*LoanA_Rate/12*Assumptions!AA$74</f>
        <v/>
      </c>
      <c r="AB110" s="52">
        <f>AB$108*LoanA_Rate/12*Assumptions!AB$74</f>
        <v/>
      </c>
      <c r="AC110" s="52">
        <f>AC$108*LoanA_Rate/12*Assumptions!AC$74</f>
        <v/>
      </c>
      <c r="AD110" s="52">
        <f>AD$108*LoanA_Rate/12*Assumptions!AD$74</f>
        <v/>
      </c>
      <c r="AE110" s="52">
        <f>AE$108*LoanA_Rate/12*Assumptions!AE$74</f>
        <v/>
      </c>
      <c r="AF110" s="52">
        <f>AF$108*LoanA_Rate/12*Assumptions!AF$74</f>
        <v/>
      </c>
      <c r="AG110" s="52">
        <f>AG$108*LoanA_Rate/12*Assumptions!AG$74</f>
        <v/>
      </c>
      <c r="AH110" s="52">
        <f>AH$108*LoanA_Rate/12*Assumptions!AH$74</f>
        <v/>
      </c>
      <c r="AI110" s="52">
        <f>AI$108*LoanA_Rate/12*Assumptions!AI$74</f>
        <v/>
      </c>
      <c r="AJ110" s="52">
        <f>AJ$108*LoanA_Rate/12*Assumptions!AJ$74</f>
        <v/>
      </c>
      <c r="AK110" s="52">
        <f>AK$108*LoanA_Rate/12*Assumptions!AK$74</f>
        <v/>
      </c>
      <c r="AL110" s="52">
        <f>AL$108*LoanA_Rate/12*Assumptions!AL$74</f>
        <v/>
      </c>
      <c r="AM110" s="52">
        <f>AM$108*LoanA_Rate/12*Assumptions!AM$74</f>
        <v/>
      </c>
      <c r="AN110" s="52">
        <f>AN$108*LoanA_Rate/12*Assumptions!AN$74</f>
        <v/>
      </c>
      <c r="AO110" s="52">
        <f>AO$108*LoanA_Rate/12*Assumptions!AO$74</f>
        <v/>
      </c>
      <c r="AP110" s="52">
        <f>AP$108*LoanA_Rate/12*Assumptions!AP$74</f>
        <v/>
      </c>
      <c r="AQ110" s="52">
        <f>AQ$108*LoanA_Rate/12*Assumptions!AQ$74</f>
        <v/>
      </c>
      <c r="AR110" s="52">
        <f>AR$108*LoanA_Rate/12*Assumptions!AR$74</f>
        <v/>
      </c>
      <c r="AS110" s="52">
        <f>AS$108*LoanA_Rate/12*Assumptions!AS$74</f>
        <v/>
      </c>
      <c r="AT110" s="52">
        <f>AT$108*LoanA_Rate/12*Assumptions!AT$74</f>
        <v/>
      </c>
      <c r="AU110" s="52">
        <f>AU$108*LoanA_Rate/12*Assumptions!AU$74</f>
        <v/>
      </c>
      <c r="AV110" s="52">
        <f>AV$108*LoanA_Rate/12*Assumptions!AV$74</f>
        <v/>
      </c>
      <c r="AW110" s="52">
        <f>AW$108*LoanA_Rate/12*Assumptions!AW$74</f>
        <v/>
      </c>
      <c r="AX110" s="52">
        <f>AX$108*LoanA_Rate/12*Assumptions!AX$74</f>
        <v/>
      </c>
      <c r="AY110" s="52">
        <f>AY$108*LoanA_Rate/12*Assumptions!AY$74</f>
        <v/>
      </c>
      <c r="AZ110" s="52">
        <f>AZ$108*LoanA_Rate/12*Assumptions!AZ$74</f>
        <v/>
      </c>
      <c r="BA110" s="52">
        <f>BA$108*LoanA_Rate/12*Assumptions!BA$74</f>
        <v/>
      </c>
      <c r="BB110" s="52">
        <f>BB$108*LoanA_Rate/12*Assumptions!BB$74</f>
        <v/>
      </c>
      <c r="BC110" s="52">
        <f>BC$108*LoanA_Rate/12*Assumptions!BC$74</f>
        <v/>
      </c>
      <c r="BD110" s="52">
        <f>BD$108*LoanA_Rate/12*Assumptions!BD$74</f>
        <v/>
      </c>
      <c r="BE110" s="52">
        <f>BE$108*LoanA_Rate/12*Assumptions!BE$74</f>
        <v/>
      </c>
      <c r="BF110" s="52">
        <f>BF$108*LoanA_Rate/12*Assumptions!BF$74</f>
        <v/>
      </c>
      <c r="BG110" s="52">
        <f>BG$108*LoanA_Rate/12*Assumptions!BG$74</f>
        <v/>
      </c>
      <c r="BH110" s="52">
        <f>BH$108*LoanA_Rate/12*Assumptions!BH$74</f>
        <v/>
      </c>
      <c r="BI110" s="52">
        <f>BI$108*LoanA_Rate/12*Assumptions!BI$74</f>
        <v/>
      </c>
      <c r="BJ110" s="52">
        <f>BJ$108*LoanA_Rate/12*Assumptions!BJ$74</f>
        <v/>
      </c>
      <c r="BK110" s="52">
        <f>BK$108*LoanA_Rate/12*Assumptions!BK$74</f>
        <v/>
      </c>
      <c r="BL110" s="52">
        <f>BL$108*LoanA_Rate/12*Assumptions!BL$74</f>
        <v/>
      </c>
      <c r="BM110" s="52">
        <f>BM$108*LoanA_Rate/12*Assumptions!BM$74</f>
        <v/>
      </c>
      <c r="BN110" s="52">
        <f>BN$108*LoanA_Rate/12*Assumptions!BN$74</f>
        <v/>
      </c>
      <c r="BO110" s="52">
        <f>BO$108*LoanA_Rate/12*Assumptions!BO$74</f>
        <v/>
      </c>
      <c r="BP110" s="52">
        <f>BP$108*LoanA_Rate/12*Assumptions!BP$74</f>
        <v/>
      </c>
      <c r="BQ110" s="52">
        <f>BQ$108*LoanA_Rate/12*Assumptions!BQ$74</f>
        <v/>
      </c>
      <c r="BR110" s="52">
        <f>BR$108*LoanA_Rate/12*Assumptions!BR$74</f>
        <v/>
      </c>
      <c r="BS110" s="52">
        <f>BS$108*LoanA_Rate/12*Assumptions!BS$74</f>
        <v/>
      </c>
      <c r="BT110" s="52">
        <f>BT$108*LoanA_Rate/12*Assumptions!BT$74</f>
        <v/>
      </c>
      <c r="BU110" s="52">
        <f>BU$108*LoanA_Rate/12*Assumptions!BU$74</f>
        <v/>
      </c>
      <c r="BV110" s="52">
        <f>BV$108*LoanA_Rate/12*Assumptions!BV$74</f>
        <v/>
      </c>
      <c r="BW110" s="52">
        <f>BW$108*LoanA_Rate/12*Assumptions!BW$74</f>
        <v/>
      </c>
      <c r="BX110" s="52">
        <f>BX$108*LoanA_Rate/12*Assumptions!BX$74</f>
        <v/>
      </c>
      <c r="BY110" s="52">
        <f>BY$108*LoanA_Rate/12*Assumptions!BY$74</f>
        <v/>
      </c>
      <c r="BZ110" s="52">
        <f>BZ$108*LoanA_Rate/12*Assumptions!BZ$74</f>
        <v/>
      </c>
      <c r="CA110" s="52">
        <f>CA$108*LoanA_Rate/12*Assumptions!CA$74</f>
        <v/>
      </c>
      <c r="CB110" s="52">
        <f>CB$108*LoanA_Rate/12*Assumptions!CB$74</f>
        <v/>
      </c>
      <c r="CC110" s="52">
        <f>CC$108*LoanA_Rate/12*Assumptions!CC$74</f>
        <v/>
      </c>
      <c r="CD110" s="52">
        <f>CD$108*LoanA_Rate/12*Assumptions!CD$74</f>
        <v/>
      </c>
      <c r="CE110" s="52">
        <f>CE$108*LoanA_Rate/12*Assumptions!CE$74</f>
        <v/>
      </c>
      <c r="CF110" s="52">
        <f>CF$108*LoanA_Rate/12*Assumptions!CF$74</f>
        <v/>
      </c>
      <c r="CG110" s="52">
        <f>CG$108*LoanA_Rate/12*Assumptions!CG$74</f>
        <v/>
      </c>
      <c r="CH110" s="52">
        <f>CH$108*LoanA_Rate/12*Assumptions!CH$74</f>
        <v/>
      </c>
      <c r="CI110" s="52">
        <f>CI$108*LoanA_Rate/12*Assumptions!CI$74</f>
        <v/>
      </c>
      <c r="CJ110" s="52">
        <f>CJ$108*LoanA_Rate/12*Assumptions!CJ$74</f>
        <v/>
      </c>
      <c r="CK110" s="52">
        <f>CK$108*LoanA_Rate/12*Assumptions!CK$74</f>
        <v/>
      </c>
      <c r="CL110" s="52">
        <f>CL$108*LoanA_Rate/12*Assumptions!CL$74</f>
        <v/>
      </c>
      <c r="CM110" s="52">
        <f>CM$108*LoanA_Rate/12*Assumptions!CM$74</f>
        <v/>
      </c>
      <c r="CN110" s="52">
        <f>CN$108*LoanA_Rate/12*Assumptions!CN$74</f>
        <v/>
      </c>
      <c r="CO110" s="52">
        <f>CO$108*LoanA_Rate/12*Assumptions!CO$74</f>
        <v/>
      </c>
      <c r="CP110" s="52">
        <f>CP$108*LoanA_Rate/12*Assumptions!CP$74</f>
        <v/>
      </c>
      <c r="CQ110" s="52">
        <f>CQ$108*LoanA_Rate/12*Assumptions!CQ$74</f>
        <v/>
      </c>
      <c r="CR110" s="52">
        <f>CR$108*LoanA_Rate/12*Assumptions!CR$74</f>
        <v/>
      </c>
      <c r="CS110" s="52">
        <f>CS$108*LoanA_Rate/12*Assumptions!CS$74</f>
        <v/>
      </c>
      <c r="CT110" s="52">
        <f>CT$108*LoanA_Rate/12*Assumptions!CT$74</f>
        <v/>
      </c>
      <c r="CU110" s="52">
        <f>CU$108*LoanA_Rate/12*Assumptions!CU$74</f>
        <v/>
      </c>
      <c r="CV110" s="52">
        <f>CV$108*LoanA_Rate/12*Assumptions!CV$74</f>
        <v/>
      </c>
      <c r="CW110" s="52">
        <f>CW$108*LoanA_Rate/12*Assumptions!CW$74</f>
        <v/>
      </c>
      <c r="CX110" s="52">
        <f>CX$108*LoanA_Rate/12*Assumptions!CX$74</f>
        <v/>
      </c>
      <c r="CY110" s="52">
        <f>CY$108*LoanA_Rate/12*Assumptions!CY$74</f>
        <v/>
      </c>
      <c r="CZ110" s="52">
        <f>CZ$108*LoanA_Rate/12*Assumptions!CZ$74</f>
        <v/>
      </c>
      <c r="DA110" s="52">
        <f>DA$108*LoanA_Rate/12*Assumptions!DA$74</f>
        <v/>
      </c>
      <c r="DB110" s="52">
        <f>DB$108*LoanA_Rate/12*Assumptions!DB$74</f>
        <v/>
      </c>
      <c r="DC110" s="52">
        <f>DC$108*LoanA_Rate/12*Assumptions!DC$74</f>
        <v/>
      </c>
      <c r="DD110" s="52">
        <f>DD$108*LoanA_Rate/12*Assumptions!DD$74</f>
        <v/>
      </c>
      <c r="DE110" s="52">
        <f>DE$108*LoanA_Rate/12*Assumptions!DE$74</f>
        <v/>
      </c>
      <c r="DF110" s="52">
        <f>DF$108*LoanA_Rate/12*Assumptions!DF$74</f>
        <v/>
      </c>
      <c r="DG110" s="52">
        <f>DG$108*LoanA_Rate/12*Assumptions!DG$74</f>
        <v/>
      </c>
      <c r="DH110" s="52">
        <f>DH$108*LoanA_Rate/12*Assumptions!DH$74</f>
        <v/>
      </c>
      <c r="DI110" s="52">
        <f>DI$108*LoanA_Rate/12*Assumptions!DI$74</f>
        <v/>
      </c>
      <c r="DJ110" s="52">
        <f>DJ$108*LoanA_Rate/12*Assumptions!DJ$74</f>
        <v/>
      </c>
      <c r="DK110" s="52">
        <f>DK$108*LoanA_Rate/12*Assumptions!DK$74</f>
        <v/>
      </c>
      <c r="DL110" s="52">
        <f>DL$108*LoanA_Rate/12*Assumptions!DL$74</f>
        <v/>
      </c>
      <c r="DM110" s="52">
        <f>DM$108*LoanA_Rate/12*Assumptions!DM$74</f>
        <v/>
      </c>
      <c r="DN110" s="52">
        <f>DN$108*LoanA_Rate/12*Assumptions!DN$74</f>
        <v/>
      </c>
      <c r="DO110" s="52">
        <f>DO$108*LoanA_Rate/12*Assumptions!DO$74</f>
        <v/>
      </c>
      <c r="DP110" s="52">
        <f>DP$108*LoanA_Rate/12*Assumptions!DP$74</f>
        <v/>
      </c>
      <c r="DQ110" s="52">
        <f>DQ$108*LoanA_Rate/12*Assumptions!DQ$74</f>
        <v/>
      </c>
      <c r="DR110" s="52">
        <f>DR$108*LoanA_Rate/12*Assumptions!DR$74</f>
        <v/>
      </c>
      <c r="DS110" s="52">
        <f>DS$108*LoanA_Rate/12*Assumptions!DS$74</f>
        <v/>
      </c>
      <c r="DT110" s="52">
        <f>DT$108*LoanA_Rate/12*Assumptions!DT$74</f>
        <v/>
      </c>
    </row>
    <row r="111">
      <c r="A111" s="10" t="inlineStr">
        <is>
          <t>Loan A: principal ($)</t>
        </is>
      </c>
      <c r="E111" s="52">
        <f>IF(AND(Assumptions!E$74=1,Assumptions!E$72&gt;LoanA_IO,E$108&gt;0),MIN(E$108,PMT(LoanA_Rate/12,LoanA_Amort*12-LoanA_IO,-E$108)-E$110),0)</f>
        <v/>
      </c>
      <c r="F111" s="52">
        <f>IF(AND(Assumptions!F$74=1,Assumptions!F$72&gt;LoanA_IO,F$108&gt;0),MIN(F$108,PMT(LoanA_Rate/12,LoanA_Amort*12-LoanA_IO,-F$108)-F$110),0)</f>
        <v/>
      </c>
      <c r="G111" s="52">
        <f>IF(AND(Assumptions!G$74=1,Assumptions!G$72&gt;LoanA_IO,G$108&gt;0),MIN(G$108,PMT(LoanA_Rate/12,LoanA_Amort*12-LoanA_IO,-G$108)-G$110),0)</f>
        <v/>
      </c>
      <c r="H111" s="52">
        <f>IF(AND(Assumptions!H$74=1,Assumptions!H$72&gt;LoanA_IO,H$108&gt;0),MIN(H$108,PMT(LoanA_Rate/12,LoanA_Amort*12-LoanA_IO,-H$108)-H$110),0)</f>
        <v/>
      </c>
      <c r="I111" s="52">
        <f>IF(AND(Assumptions!I$74=1,Assumptions!I$72&gt;LoanA_IO,I$108&gt;0),MIN(I$108,PMT(LoanA_Rate/12,LoanA_Amort*12-LoanA_IO,-I$108)-I$110),0)</f>
        <v/>
      </c>
      <c r="J111" s="52">
        <f>IF(AND(Assumptions!J$74=1,Assumptions!J$72&gt;LoanA_IO,J$108&gt;0),MIN(J$108,PMT(LoanA_Rate/12,LoanA_Amort*12-LoanA_IO,-J$108)-J$110),0)</f>
        <v/>
      </c>
      <c r="K111" s="52">
        <f>IF(AND(Assumptions!K$74=1,Assumptions!K$72&gt;LoanA_IO,K$108&gt;0),MIN(K$108,PMT(LoanA_Rate/12,LoanA_Amort*12-LoanA_IO,-K$108)-K$110),0)</f>
        <v/>
      </c>
      <c r="L111" s="52">
        <f>IF(AND(Assumptions!L$74=1,Assumptions!L$72&gt;LoanA_IO,L$108&gt;0),MIN(L$108,PMT(LoanA_Rate/12,LoanA_Amort*12-LoanA_IO,-L$108)-L$110),0)</f>
        <v/>
      </c>
      <c r="M111" s="52">
        <f>IF(AND(Assumptions!M$74=1,Assumptions!M$72&gt;LoanA_IO,M$108&gt;0),MIN(M$108,PMT(LoanA_Rate/12,LoanA_Amort*12-LoanA_IO,-M$108)-M$110),0)</f>
        <v/>
      </c>
      <c r="N111" s="52">
        <f>IF(AND(Assumptions!N$74=1,Assumptions!N$72&gt;LoanA_IO,N$108&gt;0),MIN(N$108,PMT(LoanA_Rate/12,LoanA_Amort*12-LoanA_IO,-N$108)-N$110),0)</f>
        <v/>
      </c>
      <c r="O111" s="52">
        <f>IF(AND(Assumptions!O$74=1,Assumptions!O$72&gt;LoanA_IO,O$108&gt;0),MIN(O$108,PMT(LoanA_Rate/12,LoanA_Amort*12-LoanA_IO,-O$108)-O$110),0)</f>
        <v/>
      </c>
      <c r="P111" s="52">
        <f>IF(AND(Assumptions!P$74=1,Assumptions!P$72&gt;LoanA_IO,P$108&gt;0),MIN(P$108,PMT(LoanA_Rate/12,LoanA_Amort*12-LoanA_IO,-P$108)-P$110),0)</f>
        <v/>
      </c>
      <c r="Q111" s="52">
        <f>IF(AND(Assumptions!Q$74=1,Assumptions!Q$72&gt;LoanA_IO,Q$108&gt;0),MIN(Q$108,PMT(LoanA_Rate/12,LoanA_Amort*12-LoanA_IO,-Q$108)-Q$110),0)</f>
        <v/>
      </c>
      <c r="R111" s="52">
        <f>IF(AND(Assumptions!R$74=1,Assumptions!R$72&gt;LoanA_IO,R$108&gt;0),MIN(R$108,PMT(LoanA_Rate/12,LoanA_Amort*12-LoanA_IO,-R$108)-R$110),0)</f>
        <v/>
      </c>
      <c r="S111" s="52">
        <f>IF(AND(Assumptions!S$74=1,Assumptions!S$72&gt;LoanA_IO,S$108&gt;0),MIN(S$108,PMT(LoanA_Rate/12,LoanA_Amort*12-LoanA_IO,-S$108)-S$110),0)</f>
        <v/>
      </c>
      <c r="T111" s="52">
        <f>IF(AND(Assumptions!T$74=1,Assumptions!T$72&gt;LoanA_IO,T$108&gt;0),MIN(T$108,PMT(LoanA_Rate/12,LoanA_Amort*12-LoanA_IO,-T$108)-T$110),0)</f>
        <v/>
      </c>
      <c r="U111" s="52">
        <f>IF(AND(Assumptions!U$74=1,Assumptions!U$72&gt;LoanA_IO,U$108&gt;0),MIN(U$108,PMT(LoanA_Rate/12,LoanA_Amort*12-LoanA_IO,-U$108)-U$110),0)</f>
        <v/>
      </c>
      <c r="V111" s="52">
        <f>IF(AND(Assumptions!V$74=1,Assumptions!V$72&gt;LoanA_IO,V$108&gt;0),MIN(V$108,PMT(LoanA_Rate/12,LoanA_Amort*12-LoanA_IO,-V$108)-V$110),0)</f>
        <v/>
      </c>
      <c r="W111" s="52">
        <f>IF(AND(Assumptions!W$74=1,Assumptions!W$72&gt;LoanA_IO,W$108&gt;0),MIN(W$108,PMT(LoanA_Rate/12,LoanA_Amort*12-LoanA_IO,-W$108)-W$110),0)</f>
        <v/>
      </c>
      <c r="X111" s="52">
        <f>IF(AND(Assumptions!X$74=1,Assumptions!X$72&gt;LoanA_IO,X$108&gt;0),MIN(X$108,PMT(LoanA_Rate/12,LoanA_Amort*12-LoanA_IO,-X$108)-X$110),0)</f>
        <v/>
      </c>
      <c r="Y111" s="52">
        <f>IF(AND(Assumptions!Y$74=1,Assumptions!Y$72&gt;LoanA_IO,Y$108&gt;0),MIN(Y$108,PMT(LoanA_Rate/12,LoanA_Amort*12-LoanA_IO,-Y$108)-Y$110),0)</f>
        <v/>
      </c>
      <c r="Z111" s="52">
        <f>IF(AND(Assumptions!Z$74=1,Assumptions!Z$72&gt;LoanA_IO,Z$108&gt;0),MIN(Z$108,PMT(LoanA_Rate/12,LoanA_Amort*12-LoanA_IO,-Z$108)-Z$110),0)</f>
        <v/>
      </c>
      <c r="AA111" s="52">
        <f>IF(AND(Assumptions!AA$74=1,Assumptions!AA$72&gt;LoanA_IO,AA$108&gt;0),MIN(AA$108,PMT(LoanA_Rate/12,LoanA_Amort*12-LoanA_IO,-AA$108)-AA$110),0)</f>
        <v/>
      </c>
      <c r="AB111" s="52">
        <f>IF(AND(Assumptions!AB$74=1,Assumptions!AB$72&gt;LoanA_IO,AB$108&gt;0),MIN(AB$108,PMT(LoanA_Rate/12,LoanA_Amort*12-LoanA_IO,-AB$108)-AB$110),0)</f>
        <v/>
      </c>
      <c r="AC111" s="52">
        <f>IF(AND(Assumptions!AC$74=1,Assumptions!AC$72&gt;LoanA_IO,AC$108&gt;0),MIN(AC$108,PMT(LoanA_Rate/12,LoanA_Amort*12-LoanA_IO,-AC$108)-AC$110),0)</f>
        <v/>
      </c>
      <c r="AD111" s="52">
        <f>IF(AND(Assumptions!AD$74=1,Assumptions!AD$72&gt;LoanA_IO,AD$108&gt;0),MIN(AD$108,PMT(LoanA_Rate/12,LoanA_Amort*12-LoanA_IO,-AD$108)-AD$110),0)</f>
        <v/>
      </c>
      <c r="AE111" s="52">
        <f>IF(AND(Assumptions!AE$74=1,Assumptions!AE$72&gt;LoanA_IO,AE$108&gt;0),MIN(AE$108,PMT(LoanA_Rate/12,LoanA_Amort*12-LoanA_IO,-AE$108)-AE$110),0)</f>
        <v/>
      </c>
      <c r="AF111" s="52">
        <f>IF(AND(Assumptions!AF$74=1,Assumptions!AF$72&gt;LoanA_IO,AF$108&gt;0),MIN(AF$108,PMT(LoanA_Rate/12,LoanA_Amort*12-LoanA_IO,-AF$108)-AF$110),0)</f>
        <v/>
      </c>
      <c r="AG111" s="52">
        <f>IF(AND(Assumptions!AG$74=1,Assumptions!AG$72&gt;LoanA_IO,AG$108&gt;0),MIN(AG$108,PMT(LoanA_Rate/12,LoanA_Amort*12-LoanA_IO,-AG$108)-AG$110),0)</f>
        <v/>
      </c>
      <c r="AH111" s="52">
        <f>IF(AND(Assumptions!AH$74=1,Assumptions!AH$72&gt;LoanA_IO,AH$108&gt;0),MIN(AH$108,PMT(LoanA_Rate/12,LoanA_Amort*12-LoanA_IO,-AH$108)-AH$110),0)</f>
        <v/>
      </c>
      <c r="AI111" s="52">
        <f>IF(AND(Assumptions!AI$74=1,Assumptions!AI$72&gt;LoanA_IO,AI$108&gt;0),MIN(AI$108,PMT(LoanA_Rate/12,LoanA_Amort*12-LoanA_IO,-AI$108)-AI$110),0)</f>
        <v/>
      </c>
      <c r="AJ111" s="52">
        <f>IF(AND(Assumptions!AJ$74=1,Assumptions!AJ$72&gt;LoanA_IO,AJ$108&gt;0),MIN(AJ$108,PMT(LoanA_Rate/12,LoanA_Amort*12-LoanA_IO,-AJ$108)-AJ$110),0)</f>
        <v/>
      </c>
      <c r="AK111" s="52">
        <f>IF(AND(Assumptions!AK$74=1,Assumptions!AK$72&gt;LoanA_IO,AK$108&gt;0),MIN(AK$108,PMT(LoanA_Rate/12,LoanA_Amort*12-LoanA_IO,-AK$108)-AK$110),0)</f>
        <v/>
      </c>
      <c r="AL111" s="52">
        <f>IF(AND(Assumptions!AL$74=1,Assumptions!AL$72&gt;LoanA_IO,AL$108&gt;0),MIN(AL$108,PMT(LoanA_Rate/12,LoanA_Amort*12-LoanA_IO,-AL$108)-AL$110),0)</f>
        <v/>
      </c>
      <c r="AM111" s="52">
        <f>IF(AND(Assumptions!AM$74=1,Assumptions!AM$72&gt;LoanA_IO,AM$108&gt;0),MIN(AM$108,PMT(LoanA_Rate/12,LoanA_Amort*12-LoanA_IO,-AM$108)-AM$110),0)</f>
        <v/>
      </c>
      <c r="AN111" s="52">
        <f>IF(AND(Assumptions!AN$74=1,Assumptions!AN$72&gt;LoanA_IO,AN$108&gt;0),MIN(AN$108,PMT(LoanA_Rate/12,LoanA_Amort*12-LoanA_IO,-AN$108)-AN$110),0)</f>
        <v/>
      </c>
      <c r="AO111" s="52">
        <f>IF(AND(Assumptions!AO$74=1,Assumptions!AO$72&gt;LoanA_IO,AO$108&gt;0),MIN(AO$108,PMT(LoanA_Rate/12,LoanA_Amort*12-LoanA_IO,-AO$108)-AO$110),0)</f>
        <v/>
      </c>
      <c r="AP111" s="52">
        <f>IF(AND(Assumptions!AP$74=1,Assumptions!AP$72&gt;LoanA_IO,AP$108&gt;0),MIN(AP$108,PMT(LoanA_Rate/12,LoanA_Amort*12-LoanA_IO,-AP$108)-AP$110),0)</f>
        <v/>
      </c>
      <c r="AQ111" s="52">
        <f>IF(AND(Assumptions!AQ$74=1,Assumptions!AQ$72&gt;LoanA_IO,AQ$108&gt;0),MIN(AQ$108,PMT(LoanA_Rate/12,LoanA_Amort*12-LoanA_IO,-AQ$108)-AQ$110),0)</f>
        <v/>
      </c>
      <c r="AR111" s="52">
        <f>IF(AND(Assumptions!AR$74=1,Assumptions!AR$72&gt;LoanA_IO,AR$108&gt;0),MIN(AR$108,PMT(LoanA_Rate/12,LoanA_Amort*12-LoanA_IO,-AR$108)-AR$110),0)</f>
        <v/>
      </c>
      <c r="AS111" s="52">
        <f>IF(AND(Assumptions!AS$74=1,Assumptions!AS$72&gt;LoanA_IO,AS$108&gt;0),MIN(AS$108,PMT(LoanA_Rate/12,LoanA_Amort*12-LoanA_IO,-AS$108)-AS$110),0)</f>
        <v/>
      </c>
      <c r="AT111" s="52">
        <f>IF(AND(Assumptions!AT$74=1,Assumptions!AT$72&gt;LoanA_IO,AT$108&gt;0),MIN(AT$108,PMT(LoanA_Rate/12,LoanA_Amort*12-LoanA_IO,-AT$108)-AT$110),0)</f>
        <v/>
      </c>
      <c r="AU111" s="52">
        <f>IF(AND(Assumptions!AU$74=1,Assumptions!AU$72&gt;LoanA_IO,AU$108&gt;0),MIN(AU$108,PMT(LoanA_Rate/12,LoanA_Amort*12-LoanA_IO,-AU$108)-AU$110),0)</f>
        <v/>
      </c>
      <c r="AV111" s="52">
        <f>IF(AND(Assumptions!AV$74=1,Assumptions!AV$72&gt;LoanA_IO,AV$108&gt;0),MIN(AV$108,PMT(LoanA_Rate/12,LoanA_Amort*12-LoanA_IO,-AV$108)-AV$110),0)</f>
        <v/>
      </c>
      <c r="AW111" s="52">
        <f>IF(AND(Assumptions!AW$74=1,Assumptions!AW$72&gt;LoanA_IO,AW$108&gt;0),MIN(AW$108,PMT(LoanA_Rate/12,LoanA_Amort*12-LoanA_IO,-AW$108)-AW$110),0)</f>
        <v/>
      </c>
      <c r="AX111" s="52">
        <f>IF(AND(Assumptions!AX$74=1,Assumptions!AX$72&gt;LoanA_IO,AX$108&gt;0),MIN(AX$108,PMT(LoanA_Rate/12,LoanA_Amort*12-LoanA_IO,-AX$108)-AX$110),0)</f>
        <v/>
      </c>
      <c r="AY111" s="52">
        <f>IF(AND(Assumptions!AY$74=1,Assumptions!AY$72&gt;LoanA_IO,AY$108&gt;0),MIN(AY$108,PMT(LoanA_Rate/12,LoanA_Amort*12-LoanA_IO,-AY$108)-AY$110),0)</f>
        <v/>
      </c>
      <c r="AZ111" s="52">
        <f>IF(AND(Assumptions!AZ$74=1,Assumptions!AZ$72&gt;LoanA_IO,AZ$108&gt;0),MIN(AZ$108,PMT(LoanA_Rate/12,LoanA_Amort*12-LoanA_IO,-AZ$108)-AZ$110),0)</f>
        <v/>
      </c>
      <c r="BA111" s="52">
        <f>IF(AND(Assumptions!BA$74=1,Assumptions!BA$72&gt;LoanA_IO,BA$108&gt;0),MIN(BA$108,PMT(LoanA_Rate/12,LoanA_Amort*12-LoanA_IO,-BA$108)-BA$110),0)</f>
        <v/>
      </c>
      <c r="BB111" s="52">
        <f>IF(AND(Assumptions!BB$74=1,Assumptions!BB$72&gt;LoanA_IO,BB$108&gt;0),MIN(BB$108,PMT(LoanA_Rate/12,LoanA_Amort*12-LoanA_IO,-BB$108)-BB$110),0)</f>
        <v/>
      </c>
      <c r="BC111" s="52">
        <f>IF(AND(Assumptions!BC$74=1,Assumptions!BC$72&gt;LoanA_IO,BC$108&gt;0),MIN(BC$108,PMT(LoanA_Rate/12,LoanA_Amort*12-LoanA_IO,-BC$108)-BC$110),0)</f>
        <v/>
      </c>
      <c r="BD111" s="52">
        <f>IF(AND(Assumptions!BD$74=1,Assumptions!BD$72&gt;LoanA_IO,BD$108&gt;0),MIN(BD$108,PMT(LoanA_Rate/12,LoanA_Amort*12-LoanA_IO,-BD$108)-BD$110),0)</f>
        <v/>
      </c>
      <c r="BE111" s="52">
        <f>IF(AND(Assumptions!BE$74=1,Assumptions!BE$72&gt;LoanA_IO,BE$108&gt;0),MIN(BE$108,PMT(LoanA_Rate/12,LoanA_Amort*12-LoanA_IO,-BE$108)-BE$110),0)</f>
        <v/>
      </c>
      <c r="BF111" s="52">
        <f>IF(AND(Assumptions!BF$74=1,Assumptions!BF$72&gt;LoanA_IO,BF$108&gt;0),MIN(BF$108,PMT(LoanA_Rate/12,LoanA_Amort*12-LoanA_IO,-BF$108)-BF$110),0)</f>
        <v/>
      </c>
      <c r="BG111" s="52">
        <f>IF(AND(Assumptions!BG$74=1,Assumptions!BG$72&gt;LoanA_IO,BG$108&gt;0),MIN(BG$108,PMT(LoanA_Rate/12,LoanA_Amort*12-LoanA_IO,-BG$108)-BG$110),0)</f>
        <v/>
      </c>
      <c r="BH111" s="52">
        <f>IF(AND(Assumptions!BH$74=1,Assumptions!BH$72&gt;LoanA_IO,BH$108&gt;0),MIN(BH$108,PMT(LoanA_Rate/12,LoanA_Amort*12-LoanA_IO,-BH$108)-BH$110),0)</f>
        <v/>
      </c>
      <c r="BI111" s="52">
        <f>IF(AND(Assumptions!BI$74=1,Assumptions!BI$72&gt;LoanA_IO,BI$108&gt;0),MIN(BI$108,PMT(LoanA_Rate/12,LoanA_Amort*12-LoanA_IO,-BI$108)-BI$110),0)</f>
        <v/>
      </c>
      <c r="BJ111" s="52">
        <f>IF(AND(Assumptions!BJ$74=1,Assumptions!BJ$72&gt;LoanA_IO,BJ$108&gt;0),MIN(BJ$108,PMT(LoanA_Rate/12,LoanA_Amort*12-LoanA_IO,-BJ$108)-BJ$110),0)</f>
        <v/>
      </c>
      <c r="BK111" s="52">
        <f>IF(AND(Assumptions!BK$74=1,Assumptions!BK$72&gt;LoanA_IO,BK$108&gt;0),MIN(BK$108,PMT(LoanA_Rate/12,LoanA_Amort*12-LoanA_IO,-BK$108)-BK$110),0)</f>
        <v/>
      </c>
      <c r="BL111" s="52">
        <f>IF(AND(Assumptions!BL$74=1,Assumptions!BL$72&gt;LoanA_IO,BL$108&gt;0),MIN(BL$108,PMT(LoanA_Rate/12,LoanA_Amort*12-LoanA_IO,-BL$108)-BL$110),0)</f>
        <v/>
      </c>
      <c r="BM111" s="52">
        <f>IF(AND(Assumptions!BM$74=1,Assumptions!BM$72&gt;LoanA_IO,BM$108&gt;0),MIN(BM$108,PMT(LoanA_Rate/12,LoanA_Amort*12-LoanA_IO,-BM$108)-BM$110),0)</f>
        <v/>
      </c>
      <c r="BN111" s="52">
        <f>IF(AND(Assumptions!BN$74=1,Assumptions!BN$72&gt;LoanA_IO,BN$108&gt;0),MIN(BN$108,PMT(LoanA_Rate/12,LoanA_Amort*12-LoanA_IO,-BN$108)-BN$110),0)</f>
        <v/>
      </c>
      <c r="BO111" s="52">
        <f>IF(AND(Assumptions!BO$74=1,Assumptions!BO$72&gt;LoanA_IO,BO$108&gt;0),MIN(BO$108,PMT(LoanA_Rate/12,LoanA_Amort*12-LoanA_IO,-BO$108)-BO$110),0)</f>
        <v/>
      </c>
      <c r="BP111" s="52">
        <f>IF(AND(Assumptions!BP$74=1,Assumptions!BP$72&gt;LoanA_IO,BP$108&gt;0),MIN(BP$108,PMT(LoanA_Rate/12,LoanA_Amort*12-LoanA_IO,-BP$108)-BP$110),0)</f>
        <v/>
      </c>
      <c r="BQ111" s="52">
        <f>IF(AND(Assumptions!BQ$74=1,Assumptions!BQ$72&gt;LoanA_IO,BQ$108&gt;0),MIN(BQ$108,PMT(LoanA_Rate/12,LoanA_Amort*12-LoanA_IO,-BQ$108)-BQ$110),0)</f>
        <v/>
      </c>
      <c r="BR111" s="52">
        <f>IF(AND(Assumptions!BR$74=1,Assumptions!BR$72&gt;LoanA_IO,BR$108&gt;0),MIN(BR$108,PMT(LoanA_Rate/12,LoanA_Amort*12-LoanA_IO,-BR$108)-BR$110),0)</f>
        <v/>
      </c>
      <c r="BS111" s="52">
        <f>IF(AND(Assumptions!BS$74=1,Assumptions!BS$72&gt;LoanA_IO,BS$108&gt;0),MIN(BS$108,PMT(LoanA_Rate/12,LoanA_Amort*12-LoanA_IO,-BS$108)-BS$110),0)</f>
        <v/>
      </c>
      <c r="BT111" s="52">
        <f>IF(AND(Assumptions!BT$74=1,Assumptions!BT$72&gt;LoanA_IO,BT$108&gt;0),MIN(BT$108,PMT(LoanA_Rate/12,LoanA_Amort*12-LoanA_IO,-BT$108)-BT$110),0)</f>
        <v/>
      </c>
      <c r="BU111" s="52">
        <f>IF(AND(Assumptions!BU$74=1,Assumptions!BU$72&gt;LoanA_IO,BU$108&gt;0),MIN(BU$108,PMT(LoanA_Rate/12,LoanA_Amort*12-LoanA_IO,-BU$108)-BU$110),0)</f>
        <v/>
      </c>
      <c r="BV111" s="52">
        <f>IF(AND(Assumptions!BV$74=1,Assumptions!BV$72&gt;LoanA_IO,BV$108&gt;0),MIN(BV$108,PMT(LoanA_Rate/12,LoanA_Amort*12-LoanA_IO,-BV$108)-BV$110),0)</f>
        <v/>
      </c>
      <c r="BW111" s="52">
        <f>IF(AND(Assumptions!BW$74=1,Assumptions!BW$72&gt;LoanA_IO,BW$108&gt;0),MIN(BW$108,PMT(LoanA_Rate/12,LoanA_Amort*12-LoanA_IO,-BW$108)-BW$110),0)</f>
        <v/>
      </c>
      <c r="BX111" s="52">
        <f>IF(AND(Assumptions!BX$74=1,Assumptions!BX$72&gt;LoanA_IO,BX$108&gt;0),MIN(BX$108,PMT(LoanA_Rate/12,LoanA_Amort*12-LoanA_IO,-BX$108)-BX$110),0)</f>
        <v/>
      </c>
      <c r="BY111" s="52">
        <f>IF(AND(Assumptions!BY$74=1,Assumptions!BY$72&gt;LoanA_IO,BY$108&gt;0),MIN(BY$108,PMT(LoanA_Rate/12,LoanA_Amort*12-LoanA_IO,-BY$108)-BY$110),0)</f>
        <v/>
      </c>
      <c r="BZ111" s="52">
        <f>IF(AND(Assumptions!BZ$74=1,Assumptions!BZ$72&gt;LoanA_IO,BZ$108&gt;0),MIN(BZ$108,PMT(LoanA_Rate/12,LoanA_Amort*12-LoanA_IO,-BZ$108)-BZ$110),0)</f>
        <v/>
      </c>
      <c r="CA111" s="52">
        <f>IF(AND(Assumptions!CA$74=1,Assumptions!CA$72&gt;LoanA_IO,CA$108&gt;0),MIN(CA$108,PMT(LoanA_Rate/12,LoanA_Amort*12-LoanA_IO,-CA$108)-CA$110),0)</f>
        <v/>
      </c>
      <c r="CB111" s="52">
        <f>IF(AND(Assumptions!CB$74=1,Assumptions!CB$72&gt;LoanA_IO,CB$108&gt;0),MIN(CB$108,PMT(LoanA_Rate/12,LoanA_Amort*12-LoanA_IO,-CB$108)-CB$110),0)</f>
        <v/>
      </c>
      <c r="CC111" s="52">
        <f>IF(AND(Assumptions!CC$74=1,Assumptions!CC$72&gt;LoanA_IO,CC$108&gt;0),MIN(CC$108,PMT(LoanA_Rate/12,LoanA_Amort*12-LoanA_IO,-CC$108)-CC$110),0)</f>
        <v/>
      </c>
      <c r="CD111" s="52">
        <f>IF(AND(Assumptions!CD$74=1,Assumptions!CD$72&gt;LoanA_IO,CD$108&gt;0),MIN(CD$108,PMT(LoanA_Rate/12,LoanA_Amort*12-LoanA_IO,-CD$108)-CD$110),0)</f>
        <v/>
      </c>
      <c r="CE111" s="52">
        <f>IF(AND(Assumptions!CE$74=1,Assumptions!CE$72&gt;LoanA_IO,CE$108&gt;0),MIN(CE$108,PMT(LoanA_Rate/12,LoanA_Amort*12-LoanA_IO,-CE$108)-CE$110),0)</f>
        <v/>
      </c>
      <c r="CF111" s="52">
        <f>IF(AND(Assumptions!CF$74=1,Assumptions!CF$72&gt;LoanA_IO,CF$108&gt;0),MIN(CF$108,PMT(LoanA_Rate/12,LoanA_Amort*12-LoanA_IO,-CF$108)-CF$110),0)</f>
        <v/>
      </c>
      <c r="CG111" s="52">
        <f>IF(AND(Assumptions!CG$74=1,Assumptions!CG$72&gt;LoanA_IO,CG$108&gt;0),MIN(CG$108,PMT(LoanA_Rate/12,LoanA_Amort*12-LoanA_IO,-CG$108)-CG$110),0)</f>
        <v/>
      </c>
      <c r="CH111" s="52">
        <f>IF(AND(Assumptions!CH$74=1,Assumptions!CH$72&gt;LoanA_IO,CH$108&gt;0),MIN(CH$108,PMT(LoanA_Rate/12,LoanA_Amort*12-LoanA_IO,-CH$108)-CH$110),0)</f>
        <v/>
      </c>
      <c r="CI111" s="52">
        <f>IF(AND(Assumptions!CI$74=1,Assumptions!CI$72&gt;LoanA_IO,CI$108&gt;0),MIN(CI$108,PMT(LoanA_Rate/12,LoanA_Amort*12-LoanA_IO,-CI$108)-CI$110),0)</f>
        <v/>
      </c>
      <c r="CJ111" s="52">
        <f>IF(AND(Assumptions!CJ$74=1,Assumptions!CJ$72&gt;LoanA_IO,CJ$108&gt;0),MIN(CJ$108,PMT(LoanA_Rate/12,LoanA_Amort*12-LoanA_IO,-CJ$108)-CJ$110),0)</f>
        <v/>
      </c>
      <c r="CK111" s="52">
        <f>IF(AND(Assumptions!CK$74=1,Assumptions!CK$72&gt;LoanA_IO,CK$108&gt;0),MIN(CK$108,PMT(LoanA_Rate/12,LoanA_Amort*12-LoanA_IO,-CK$108)-CK$110),0)</f>
        <v/>
      </c>
      <c r="CL111" s="52">
        <f>IF(AND(Assumptions!CL$74=1,Assumptions!CL$72&gt;LoanA_IO,CL$108&gt;0),MIN(CL$108,PMT(LoanA_Rate/12,LoanA_Amort*12-LoanA_IO,-CL$108)-CL$110),0)</f>
        <v/>
      </c>
      <c r="CM111" s="52">
        <f>IF(AND(Assumptions!CM$74=1,Assumptions!CM$72&gt;LoanA_IO,CM$108&gt;0),MIN(CM$108,PMT(LoanA_Rate/12,LoanA_Amort*12-LoanA_IO,-CM$108)-CM$110),0)</f>
        <v/>
      </c>
      <c r="CN111" s="52">
        <f>IF(AND(Assumptions!CN$74=1,Assumptions!CN$72&gt;LoanA_IO,CN$108&gt;0),MIN(CN$108,PMT(LoanA_Rate/12,LoanA_Amort*12-LoanA_IO,-CN$108)-CN$110),0)</f>
        <v/>
      </c>
      <c r="CO111" s="52">
        <f>IF(AND(Assumptions!CO$74=1,Assumptions!CO$72&gt;LoanA_IO,CO$108&gt;0),MIN(CO$108,PMT(LoanA_Rate/12,LoanA_Amort*12-LoanA_IO,-CO$108)-CO$110),0)</f>
        <v/>
      </c>
      <c r="CP111" s="52">
        <f>IF(AND(Assumptions!CP$74=1,Assumptions!CP$72&gt;LoanA_IO,CP$108&gt;0),MIN(CP$108,PMT(LoanA_Rate/12,LoanA_Amort*12-LoanA_IO,-CP$108)-CP$110),0)</f>
        <v/>
      </c>
      <c r="CQ111" s="52">
        <f>IF(AND(Assumptions!CQ$74=1,Assumptions!CQ$72&gt;LoanA_IO,CQ$108&gt;0),MIN(CQ$108,PMT(LoanA_Rate/12,LoanA_Amort*12-LoanA_IO,-CQ$108)-CQ$110),0)</f>
        <v/>
      </c>
      <c r="CR111" s="52">
        <f>IF(AND(Assumptions!CR$74=1,Assumptions!CR$72&gt;LoanA_IO,CR$108&gt;0),MIN(CR$108,PMT(LoanA_Rate/12,LoanA_Amort*12-LoanA_IO,-CR$108)-CR$110),0)</f>
        <v/>
      </c>
      <c r="CS111" s="52">
        <f>IF(AND(Assumptions!CS$74=1,Assumptions!CS$72&gt;LoanA_IO,CS$108&gt;0),MIN(CS$108,PMT(LoanA_Rate/12,LoanA_Amort*12-LoanA_IO,-CS$108)-CS$110),0)</f>
        <v/>
      </c>
      <c r="CT111" s="52">
        <f>IF(AND(Assumptions!CT$74=1,Assumptions!CT$72&gt;LoanA_IO,CT$108&gt;0),MIN(CT$108,PMT(LoanA_Rate/12,LoanA_Amort*12-LoanA_IO,-CT$108)-CT$110),0)</f>
        <v/>
      </c>
      <c r="CU111" s="52">
        <f>IF(AND(Assumptions!CU$74=1,Assumptions!CU$72&gt;LoanA_IO,CU$108&gt;0),MIN(CU$108,PMT(LoanA_Rate/12,LoanA_Amort*12-LoanA_IO,-CU$108)-CU$110),0)</f>
        <v/>
      </c>
      <c r="CV111" s="52">
        <f>IF(AND(Assumptions!CV$74=1,Assumptions!CV$72&gt;LoanA_IO,CV$108&gt;0),MIN(CV$108,PMT(LoanA_Rate/12,LoanA_Amort*12-LoanA_IO,-CV$108)-CV$110),0)</f>
        <v/>
      </c>
      <c r="CW111" s="52">
        <f>IF(AND(Assumptions!CW$74=1,Assumptions!CW$72&gt;LoanA_IO,CW$108&gt;0),MIN(CW$108,PMT(LoanA_Rate/12,LoanA_Amort*12-LoanA_IO,-CW$108)-CW$110),0)</f>
        <v/>
      </c>
      <c r="CX111" s="52">
        <f>IF(AND(Assumptions!CX$74=1,Assumptions!CX$72&gt;LoanA_IO,CX$108&gt;0),MIN(CX$108,PMT(LoanA_Rate/12,LoanA_Amort*12-LoanA_IO,-CX$108)-CX$110),0)</f>
        <v/>
      </c>
      <c r="CY111" s="52">
        <f>IF(AND(Assumptions!CY$74=1,Assumptions!CY$72&gt;LoanA_IO,CY$108&gt;0),MIN(CY$108,PMT(LoanA_Rate/12,LoanA_Amort*12-LoanA_IO,-CY$108)-CY$110),0)</f>
        <v/>
      </c>
      <c r="CZ111" s="52">
        <f>IF(AND(Assumptions!CZ$74=1,Assumptions!CZ$72&gt;LoanA_IO,CZ$108&gt;0),MIN(CZ$108,PMT(LoanA_Rate/12,LoanA_Amort*12-LoanA_IO,-CZ$108)-CZ$110),0)</f>
        <v/>
      </c>
      <c r="DA111" s="52">
        <f>IF(AND(Assumptions!DA$74=1,Assumptions!DA$72&gt;LoanA_IO,DA$108&gt;0),MIN(DA$108,PMT(LoanA_Rate/12,LoanA_Amort*12-LoanA_IO,-DA$108)-DA$110),0)</f>
        <v/>
      </c>
      <c r="DB111" s="52">
        <f>IF(AND(Assumptions!DB$74=1,Assumptions!DB$72&gt;LoanA_IO,DB$108&gt;0),MIN(DB$108,PMT(LoanA_Rate/12,LoanA_Amort*12-LoanA_IO,-DB$108)-DB$110),0)</f>
        <v/>
      </c>
      <c r="DC111" s="52">
        <f>IF(AND(Assumptions!DC$74=1,Assumptions!DC$72&gt;LoanA_IO,DC$108&gt;0),MIN(DC$108,PMT(LoanA_Rate/12,LoanA_Amort*12-LoanA_IO,-DC$108)-DC$110),0)</f>
        <v/>
      </c>
      <c r="DD111" s="52">
        <f>IF(AND(Assumptions!DD$74=1,Assumptions!DD$72&gt;LoanA_IO,DD$108&gt;0),MIN(DD$108,PMT(LoanA_Rate/12,LoanA_Amort*12-LoanA_IO,-DD$108)-DD$110),0)</f>
        <v/>
      </c>
      <c r="DE111" s="52">
        <f>IF(AND(Assumptions!DE$74=1,Assumptions!DE$72&gt;LoanA_IO,DE$108&gt;0),MIN(DE$108,PMT(LoanA_Rate/12,LoanA_Amort*12-LoanA_IO,-DE$108)-DE$110),0)</f>
        <v/>
      </c>
      <c r="DF111" s="52">
        <f>IF(AND(Assumptions!DF$74=1,Assumptions!DF$72&gt;LoanA_IO,DF$108&gt;0),MIN(DF$108,PMT(LoanA_Rate/12,LoanA_Amort*12-LoanA_IO,-DF$108)-DF$110),0)</f>
        <v/>
      </c>
      <c r="DG111" s="52">
        <f>IF(AND(Assumptions!DG$74=1,Assumptions!DG$72&gt;LoanA_IO,DG$108&gt;0),MIN(DG$108,PMT(LoanA_Rate/12,LoanA_Amort*12-LoanA_IO,-DG$108)-DG$110),0)</f>
        <v/>
      </c>
      <c r="DH111" s="52">
        <f>IF(AND(Assumptions!DH$74=1,Assumptions!DH$72&gt;LoanA_IO,DH$108&gt;0),MIN(DH$108,PMT(LoanA_Rate/12,LoanA_Amort*12-LoanA_IO,-DH$108)-DH$110),0)</f>
        <v/>
      </c>
      <c r="DI111" s="52">
        <f>IF(AND(Assumptions!DI$74=1,Assumptions!DI$72&gt;LoanA_IO,DI$108&gt;0),MIN(DI$108,PMT(LoanA_Rate/12,LoanA_Amort*12-LoanA_IO,-DI$108)-DI$110),0)</f>
        <v/>
      </c>
      <c r="DJ111" s="52">
        <f>IF(AND(Assumptions!DJ$74=1,Assumptions!DJ$72&gt;LoanA_IO,DJ$108&gt;0),MIN(DJ$108,PMT(LoanA_Rate/12,LoanA_Amort*12-LoanA_IO,-DJ$108)-DJ$110),0)</f>
        <v/>
      </c>
      <c r="DK111" s="52">
        <f>IF(AND(Assumptions!DK$74=1,Assumptions!DK$72&gt;LoanA_IO,DK$108&gt;0),MIN(DK$108,PMT(LoanA_Rate/12,LoanA_Amort*12-LoanA_IO,-DK$108)-DK$110),0)</f>
        <v/>
      </c>
      <c r="DL111" s="52">
        <f>IF(AND(Assumptions!DL$74=1,Assumptions!DL$72&gt;LoanA_IO,DL$108&gt;0),MIN(DL$108,PMT(LoanA_Rate/12,LoanA_Amort*12-LoanA_IO,-DL$108)-DL$110),0)</f>
        <v/>
      </c>
      <c r="DM111" s="52">
        <f>IF(AND(Assumptions!DM$74=1,Assumptions!DM$72&gt;LoanA_IO,DM$108&gt;0),MIN(DM$108,PMT(LoanA_Rate/12,LoanA_Amort*12-LoanA_IO,-DM$108)-DM$110),0)</f>
        <v/>
      </c>
      <c r="DN111" s="52">
        <f>IF(AND(Assumptions!DN$74=1,Assumptions!DN$72&gt;LoanA_IO,DN$108&gt;0),MIN(DN$108,PMT(LoanA_Rate/12,LoanA_Amort*12-LoanA_IO,-DN$108)-DN$110),0)</f>
        <v/>
      </c>
      <c r="DO111" s="52">
        <f>IF(AND(Assumptions!DO$74=1,Assumptions!DO$72&gt;LoanA_IO,DO$108&gt;0),MIN(DO$108,PMT(LoanA_Rate/12,LoanA_Amort*12-LoanA_IO,-DO$108)-DO$110),0)</f>
        <v/>
      </c>
      <c r="DP111" s="52">
        <f>IF(AND(Assumptions!DP$74=1,Assumptions!DP$72&gt;LoanA_IO,DP$108&gt;0),MIN(DP$108,PMT(LoanA_Rate/12,LoanA_Amort*12-LoanA_IO,-DP$108)-DP$110),0)</f>
        <v/>
      </c>
      <c r="DQ111" s="52">
        <f>IF(AND(Assumptions!DQ$74=1,Assumptions!DQ$72&gt;LoanA_IO,DQ$108&gt;0),MIN(DQ$108,PMT(LoanA_Rate/12,LoanA_Amort*12-LoanA_IO,-DQ$108)-DQ$110),0)</f>
        <v/>
      </c>
      <c r="DR111" s="52">
        <f>IF(AND(Assumptions!DR$74=1,Assumptions!DR$72&gt;LoanA_IO,DR$108&gt;0),MIN(DR$108,PMT(LoanA_Rate/12,LoanA_Amort*12-LoanA_IO,-DR$108)-DR$110),0)</f>
        <v/>
      </c>
      <c r="DS111" s="52">
        <f>IF(AND(Assumptions!DS$74=1,Assumptions!DS$72&gt;LoanA_IO,DS$108&gt;0),MIN(DS$108,PMT(LoanA_Rate/12,LoanA_Amort*12-LoanA_IO,-DS$108)-DS$110),0)</f>
        <v/>
      </c>
      <c r="DT111" s="52">
        <f>IF(AND(Assumptions!DT$74=1,Assumptions!DT$72&gt;LoanA_IO,DT$108&gt;0),MIN(DT$108,PMT(LoanA_Rate/12,LoanA_Amort*12-LoanA_IO,-DT$108)-DT$110),0)</f>
        <v/>
      </c>
    </row>
    <row r="112">
      <c r="A112" s="10" t="inlineStr">
        <is>
          <t>Loan A: debt service ($)</t>
        </is>
      </c>
      <c r="E112" s="52">
        <f>E$110+E$111</f>
        <v/>
      </c>
      <c r="F112" s="52">
        <f>F$110+F$111</f>
        <v/>
      </c>
      <c r="G112" s="52">
        <f>G$110+G$111</f>
        <v/>
      </c>
      <c r="H112" s="52">
        <f>H$110+H$111</f>
        <v/>
      </c>
      <c r="I112" s="52">
        <f>I$110+I$111</f>
        <v/>
      </c>
      <c r="J112" s="52">
        <f>J$110+J$111</f>
        <v/>
      </c>
      <c r="K112" s="52">
        <f>K$110+K$111</f>
        <v/>
      </c>
      <c r="L112" s="52">
        <f>L$110+L$111</f>
        <v/>
      </c>
      <c r="M112" s="52">
        <f>M$110+M$111</f>
        <v/>
      </c>
      <c r="N112" s="52">
        <f>N$110+N$111</f>
        <v/>
      </c>
      <c r="O112" s="52">
        <f>O$110+O$111</f>
        <v/>
      </c>
      <c r="P112" s="52">
        <f>P$110+P$111</f>
        <v/>
      </c>
      <c r="Q112" s="52">
        <f>Q$110+Q$111</f>
        <v/>
      </c>
      <c r="R112" s="52">
        <f>R$110+R$111</f>
        <v/>
      </c>
      <c r="S112" s="52">
        <f>S$110+S$111</f>
        <v/>
      </c>
      <c r="T112" s="52">
        <f>T$110+T$111</f>
        <v/>
      </c>
      <c r="U112" s="52">
        <f>U$110+U$111</f>
        <v/>
      </c>
      <c r="V112" s="52">
        <f>V$110+V$111</f>
        <v/>
      </c>
      <c r="W112" s="52">
        <f>W$110+W$111</f>
        <v/>
      </c>
      <c r="X112" s="52">
        <f>X$110+X$111</f>
        <v/>
      </c>
      <c r="Y112" s="52">
        <f>Y$110+Y$111</f>
        <v/>
      </c>
      <c r="Z112" s="52">
        <f>Z$110+Z$111</f>
        <v/>
      </c>
      <c r="AA112" s="52">
        <f>AA$110+AA$111</f>
        <v/>
      </c>
      <c r="AB112" s="52">
        <f>AB$110+AB$111</f>
        <v/>
      </c>
      <c r="AC112" s="52">
        <f>AC$110+AC$111</f>
        <v/>
      </c>
      <c r="AD112" s="52">
        <f>AD$110+AD$111</f>
        <v/>
      </c>
      <c r="AE112" s="52">
        <f>AE$110+AE$111</f>
        <v/>
      </c>
      <c r="AF112" s="52">
        <f>AF$110+AF$111</f>
        <v/>
      </c>
      <c r="AG112" s="52">
        <f>AG$110+AG$111</f>
        <v/>
      </c>
      <c r="AH112" s="52">
        <f>AH$110+AH$111</f>
        <v/>
      </c>
      <c r="AI112" s="52">
        <f>AI$110+AI$111</f>
        <v/>
      </c>
      <c r="AJ112" s="52">
        <f>AJ$110+AJ$111</f>
        <v/>
      </c>
      <c r="AK112" s="52">
        <f>AK$110+AK$111</f>
        <v/>
      </c>
      <c r="AL112" s="52">
        <f>AL$110+AL$111</f>
        <v/>
      </c>
      <c r="AM112" s="52">
        <f>AM$110+AM$111</f>
        <v/>
      </c>
      <c r="AN112" s="52">
        <f>AN$110+AN$111</f>
        <v/>
      </c>
      <c r="AO112" s="52">
        <f>AO$110+AO$111</f>
        <v/>
      </c>
      <c r="AP112" s="52">
        <f>AP$110+AP$111</f>
        <v/>
      </c>
      <c r="AQ112" s="52">
        <f>AQ$110+AQ$111</f>
        <v/>
      </c>
      <c r="AR112" s="52">
        <f>AR$110+AR$111</f>
        <v/>
      </c>
      <c r="AS112" s="52">
        <f>AS$110+AS$111</f>
        <v/>
      </c>
      <c r="AT112" s="52">
        <f>AT$110+AT$111</f>
        <v/>
      </c>
      <c r="AU112" s="52">
        <f>AU$110+AU$111</f>
        <v/>
      </c>
      <c r="AV112" s="52">
        <f>AV$110+AV$111</f>
        <v/>
      </c>
      <c r="AW112" s="52">
        <f>AW$110+AW$111</f>
        <v/>
      </c>
      <c r="AX112" s="52">
        <f>AX$110+AX$111</f>
        <v/>
      </c>
      <c r="AY112" s="52">
        <f>AY$110+AY$111</f>
        <v/>
      </c>
      <c r="AZ112" s="52">
        <f>AZ$110+AZ$111</f>
        <v/>
      </c>
      <c r="BA112" s="52">
        <f>BA$110+BA$111</f>
        <v/>
      </c>
      <c r="BB112" s="52">
        <f>BB$110+BB$111</f>
        <v/>
      </c>
      <c r="BC112" s="52">
        <f>BC$110+BC$111</f>
        <v/>
      </c>
      <c r="BD112" s="52">
        <f>BD$110+BD$111</f>
        <v/>
      </c>
      <c r="BE112" s="52">
        <f>BE$110+BE$111</f>
        <v/>
      </c>
      <c r="BF112" s="52">
        <f>BF$110+BF$111</f>
        <v/>
      </c>
      <c r="BG112" s="52">
        <f>BG$110+BG$111</f>
        <v/>
      </c>
      <c r="BH112" s="52">
        <f>BH$110+BH$111</f>
        <v/>
      </c>
      <c r="BI112" s="52">
        <f>BI$110+BI$111</f>
        <v/>
      </c>
      <c r="BJ112" s="52">
        <f>BJ$110+BJ$111</f>
        <v/>
      </c>
      <c r="BK112" s="52">
        <f>BK$110+BK$111</f>
        <v/>
      </c>
      <c r="BL112" s="52">
        <f>BL$110+BL$111</f>
        <v/>
      </c>
      <c r="BM112" s="52">
        <f>BM$110+BM$111</f>
        <v/>
      </c>
      <c r="BN112" s="52">
        <f>BN$110+BN$111</f>
        <v/>
      </c>
      <c r="BO112" s="52">
        <f>BO$110+BO$111</f>
        <v/>
      </c>
      <c r="BP112" s="52">
        <f>BP$110+BP$111</f>
        <v/>
      </c>
      <c r="BQ112" s="52">
        <f>BQ$110+BQ$111</f>
        <v/>
      </c>
      <c r="BR112" s="52">
        <f>BR$110+BR$111</f>
        <v/>
      </c>
      <c r="BS112" s="52">
        <f>BS$110+BS$111</f>
        <v/>
      </c>
      <c r="BT112" s="52">
        <f>BT$110+BT$111</f>
        <v/>
      </c>
      <c r="BU112" s="52">
        <f>BU$110+BU$111</f>
        <v/>
      </c>
      <c r="BV112" s="52">
        <f>BV$110+BV$111</f>
        <v/>
      </c>
      <c r="BW112" s="52">
        <f>BW$110+BW$111</f>
        <v/>
      </c>
      <c r="BX112" s="52">
        <f>BX$110+BX$111</f>
        <v/>
      </c>
      <c r="BY112" s="52">
        <f>BY$110+BY$111</f>
        <v/>
      </c>
      <c r="BZ112" s="52">
        <f>BZ$110+BZ$111</f>
        <v/>
      </c>
      <c r="CA112" s="52">
        <f>CA$110+CA$111</f>
        <v/>
      </c>
      <c r="CB112" s="52">
        <f>CB$110+CB$111</f>
        <v/>
      </c>
      <c r="CC112" s="52">
        <f>CC$110+CC$111</f>
        <v/>
      </c>
      <c r="CD112" s="52">
        <f>CD$110+CD$111</f>
        <v/>
      </c>
      <c r="CE112" s="52">
        <f>CE$110+CE$111</f>
        <v/>
      </c>
      <c r="CF112" s="52">
        <f>CF$110+CF$111</f>
        <v/>
      </c>
      <c r="CG112" s="52">
        <f>CG$110+CG$111</f>
        <v/>
      </c>
      <c r="CH112" s="52">
        <f>CH$110+CH$111</f>
        <v/>
      </c>
      <c r="CI112" s="52">
        <f>CI$110+CI$111</f>
        <v/>
      </c>
      <c r="CJ112" s="52">
        <f>CJ$110+CJ$111</f>
        <v/>
      </c>
      <c r="CK112" s="52">
        <f>CK$110+CK$111</f>
        <v/>
      </c>
      <c r="CL112" s="52">
        <f>CL$110+CL$111</f>
        <v/>
      </c>
      <c r="CM112" s="52">
        <f>CM$110+CM$111</f>
        <v/>
      </c>
      <c r="CN112" s="52">
        <f>CN$110+CN$111</f>
        <v/>
      </c>
      <c r="CO112" s="52">
        <f>CO$110+CO$111</f>
        <v/>
      </c>
      <c r="CP112" s="52">
        <f>CP$110+CP$111</f>
        <v/>
      </c>
      <c r="CQ112" s="52">
        <f>CQ$110+CQ$111</f>
        <v/>
      </c>
      <c r="CR112" s="52">
        <f>CR$110+CR$111</f>
        <v/>
      </c>
      <c r="CS112" s="52">
        <f>CS$110+CS$111</f>
        <v/>
      </c>
      <c r="CT112" s="52">
        <f>CT$110+CT$111</f>
        <v/>
      </c>
      <c r="CU112" s="52">
        <f>CU$110+CU$111</f>
        <v/>
      </c>
      <c r="CV112" s="52">
        <f>CV$110+CV$111</f>
        <v/>
      </c>
      <c r="CW112" s="52">
        <f>CW$110+CW$111</f>
        <v/>
      </c>
      <c r="CX112" s="52">
        <f>CX$110+CX$111</f>
        <v/>
      </c>
      <c r="CY112" s="52">
        <f>CY$110+CY$111</f>
        <v/>
      </c>
      <c r="CZ112" s="52">
        <f>CZ$110+CZ$111</f>
        <v/>
      </c>
      <c r="DA112" s="52">
        <f>DA$110+DA$111</f>
        <v/>
      </c>
      <c r="DB112" s="52">
        <f>DB$110+DB$111</f>
        <v/>
      </c>
      <c r="DC112" s="52">
        <f>DC$110+DC$111</f>
        <v/>
      </c>
      <c r="DD112" s="52">
        <f>DD$110+DD$111</f>
        <v/>
      </c>
      <c r="DE112" s="52">
        <f>DE$110+DE$111</f>
        <v/>
      </c>
      <c r="DF112" s="52">
        <f>DF$110+DF$111</f>
        <v/>
      </c>
      <c r="DG112" s="52">
        <f>DG$110+DG$111</f>
        <v/>
      </c>
      <c r="DH112" s="52">
        <f>DH$110+DH$111</f>
        <v/>
      </c>
      <c r="DI112" s="52">
        <f>DI$110+DI$111</f>
        <v/>
      </c>
      <c r="DJ112" s="52">
        <f>DJ$110+DJ$111</f>
        <v/>
      </c>
      <c r="DK112" s="52">
        <f>DK$110+DK$111</f>
        <v/>
      </c>
      <c r="DL112" s="52">
        <f>DL$110+DL$111</f>
        <v/>
      </c>
      <c r="DM112" s="52">
        <f>DM$110+DM$111</f>
        <v/>
      </c>
      <c r="DN112" s="52">
        <f>DN$110+DN$111</f>
        <v/>
      </c>
      <c r="DO112" s="52">
        <f>DO$110+DO$111</f>
        <v/>
      </c>
      <c r="DP112" s="52">
        <f>DP$110+DP$111</f>
        <v/>
      </c>
      <c r="DQ112" s="52">
        <f>DQ$110+DQ$111</f>
        <v/>
      </c>
      <c r="DR112" s="52">
        <f>DR$110+DR$111</f>
        <v/>
      </c>
      <c r="DS112" s="52">
        <f>DS$110+DS$111</f>
        <v/>
      </c>
      <c r="DT112" s="52">
        <f>DT$110+DT$111</f>
        <v/>
      </c>
    </row>
    <row r="113">
      <c r="A113" s="10" t="inlineStr">
        <is>
          <t>Loan A: refi payoff ($)</t>
        </is>
      </c>
      <c r="E113" s="52">
        <f>IF(AND(RefiOn="On",Assumptions!E$72=RefiMonth),-E$108,0)</f>
        <v/>
      </c>
      <c r="F113" s="52">
        <f>IF(AND(RefiOn="On",Assumptions!F$72=RefiMonth),-F$108,0)</f>
        <v/>
      </c>
      <c r="G113" s="52">
        <f>IF(AND(RefiOn="On",Assumptions!G$72=RefiMonth),-G$108,0)</f>
        <v/>
      </c>
      <c r="H113" s="52">
        <f>IF(AND(RefiOn="On",Assumptions!H$72=RefiMonth),-H$108,0)</f>
        <v/>
      </c>
      <c r="I113" s="52">
        <f>IF(AND(RefiOn="On",Assumptions!I$72=RefiMonth),-I$108,0)</f>
        <v/>
      </c>
      <c r="J113" s="52">
        <f>IF(AND(RefiOn="On",Assumptions!J$72=RefiMonth),-J$108,0)</f>
        <v/>
      </c>
      <c r="K113" s="52">
        <f>IF(AND(RefiOn="On",Assumptions!K$72=RefiMonth),-K$108,0)</f>
        <v/>
      </c>
      <c r="L113" s="52">
        <f>IF(AND(RefiOn="On",Assumptions!L$72=RefiMonth),-L$108,0)</f>
        <v/>
      </c>
      <c r="M113" s="52">
        <f>IF(AND(RefiOn="On",Assumptions!M$72=RefiMonth),-M$108,0)</f>
        <v/>
      </c>
      <c r="N113" s="52">
        <f>IF(AND(RefiOn="On",Assumptions!N$72=RefiMonth),-N$108,0)</f>
        <v/>
      </c>
      <c r="O113" s="52">
        <f>IF(AND(RefiOn="On",Assumptions!O$72=RefiMonth),-O$108,0)</f>
        <v/>
      </c>
      <c r="P113" s="52">
        <f>IF(AND(RefiOn="On",Assumptions!P$72=RefiMonth),-P$108,0)</f>
        <v/>
      </c>
      <c r="Q113" s="52">
        <f>IF(AND(RefiOn="On",Assumptions!Q$72=RefiMonth),-Q$108,0)</f>
        <v/>
      </c>
      <c r="R113" s="52">
        <f>IF(AND(RefiOn="On",Assumptions!R$72=RefiMonth),-R$108,0)</f>
        <v/>
      </c>
      <c r="S113" s="52">
        <f>IF(AND(RefiOn="On",Assumptions!S$72=RefiMonth),-S$108,0)</f>
        <v/>
      </c>
      <c r="T113" s="52">
        <f>IF(AND(RefiOn="On",Assumptions!T$72=RefiMonth),-T$108,0)</f>
        <v/>
      </c>
      <c r="U113" s="52">
        <f>IF(AND(RefiOn="On",Assumptions!U$72=RefiMonth),-U$108,0)</f>
        <v/>
      </c>
      <c r="V113" s="52">
        <f>IF(AND(RefiOn="On",Assumptions!V$72=RefiMonth),-V$108,0)</f>
        <v/>
      </c>
      <c r="W113" s="52">
        <f>IF(AND(RefiOn="On",Assumptions!W$72=RefiMonth),-W$108,0)</f>
        <v/>
      </c>
      <c r="X113" s="52">
        <f>IF(AND(RefiOn="On",Assumptions!X$72=RefiMonth),-X$108,0)</f>
        <v/>
      </c>
      <c r="Y113" s="52">
        <f>IF(AND(RefiOn="On",Assumptions!Y$72=RefiMonth),-Y$108,0)</f>
        <v/>
      </c>
      <c r="Z113" s="52">
        <f>IF(AND(RefiOn="On",Assumptions!Z$72=RefiMonth),-Z$108,0)</f>
        <v/>
      </c>
      <c r="AA113" s="52">
        <f>IF(AND(RefiOn="On",Assumptions!AA$72=RefiMonth),-AA$108,0)</f>
        <v/>
      </c>
      <c r="AB113" s="52">
        <f>IF(AND(RefiOn="On",Assumptions!AB$72=RefiMonth),-AB$108,0)</f>
        <v/>
      </c>
      <c r="AC113" s="52">
        <f>IF(AND(RefiOn="On",Assumptions!AC$72=RefiMonth),-AC$108,0)</f>
        <v/>
      </c>
      <c r="AD113" s="52">
        <f>IF(AND(RefiOn="On",Assumptions!AD$72=RefiMonth),-AD$108,0)</f>
        <v/>
      </c>
      <c r="AE113" s="52">
        <f>IF(AND(RefiOn="On",Assumptions!AE$72=RefiMonth),-AE$108,0)</f>
        <v/>
      </c>
      <c r="AF113" s="52">
        <f>IF(AND(RefiOn="On",Assumptions!AF$72=RefiMonth),-AF$108,0)</f>
        <v/>
      </c>
      <c r="AG113" s="52">
        <f>IF(AND(RefiOn="On",Assumptions!AG$72=RefiMonth),-AG$108,0)</f>
        <v/>
      </c>
      <c r="AH113" s="52">
        <f>IF(AND(RefiOn="On",Assumptions!AH$72=RefiMonth),-AH$108,0)</f>
        <v/>
      </c>
      <c r="AI113" s="52">
        <f>IF(AND(RefiOn="On",Assumptions!AI$72=RefiMonth),-AI$108,0)</f>
        <v/>
      </c>
      <c r="AJ113" s="52">
        <f>IF(AND(RefiOn="On",Assumptions!AJ$72=RefiMonth),-AJ$108,0)</f>
        <v/>
      </c>
      <c r="AK113" s="52">
        <f>IF(AND(RefiOn="On",Assumptions!AK$72=RefiMonth),-AK$108,0)</f>
        <v/>
      </c>
      <c r="AL113" s="52">
        <f>IF(AND(RefiOn="On",Assumptions!AL$72=RefiMonth),-AL$108,0)</f>
        <v/>
      </c>
      <c r="AM113" s="52">
        <f>IF(AND(RefiOn="On",Assumptions!AM$72=RefiMonth),-AM$108,0)</f>
        <v/>
      </c>
      <c r="AN113" s="52">
        <f>IF(AND(RefiOn="On",Assumptions!AN$72=RefiMonth),-AN$108,0)</f>
        <v/>
      </c>
      <c r="AO113" s="52">
        <f>IF(AND(RefiOn="On",Assumptions!AO$72=RefiMonth),-AO$108,0)</f>
        <v/>
      </c>
      <c r="AP113" s="52">
        <f>IF(AND(RefiOn="On",Assumptions!AP$72=RefiMonth),-AP$108,0)</f>
        <v/>
      </c>
      <c r="AQ113" s="52">
        <f>IF(AND(RefiOn="On",Assumptions!AQ$72=RefiMonth),-AQ$108,0)</f>
        <v/>
      </c>
      <c r="AR113" s="52">
        <f>IF(AND(RefiOn="On",Assumptions!AR$72=RefiMonth),-AR$108,0)</f>
        <v/>
      </c>
      <c r="AS113" s="52">
        <f>IF(AND(RefiOn="On",Assumptions!AS$72=RefiMonth),-AS$108,0)</f>
        <v/>
      </c>
      <c r="AT113" s="52">
        <f>IF(AND(RefiOn="On",Assumptions!AT$72=RefiMonth),-AT$108,0)</f>
        <v/>
      </c>
      <c r="AU113" s="52">
        <f>IF(AND(RefiOn="On",Assumptions!AU$72=RefiMonth),-AU$108,0)</f>
        <v/>
      </c>
      <c r="AV113" s="52">
        <f>IF(AND(RefiOn="On",Assumptions!AV$72=RefiMonth),-AV$108,0)</f>
        <v/>
      </c>
      <c r="AW113" s="52">
        <f>IF(AND(RefiOn="On",Assumptions!AW$72=RefiMonth),-AW$108,0)</f>
        <v/>
      </c>
      <c r="AX113" s="52">
        <f>IF(AND(RefiOn="On",Assumptions!AX$72=RefiMonth),-AX$108,0)</f>
        <v/>
      </c>
      <c r="AY113" s="52">
        <f>IF(AND(RefiOn="On",Assumptions!AY$72=RefiMonth),-AY$108,0)</f>
        <v/>
      </c>
      <c r="AZ113" s="52">
        <f>IF(AND(RefiOn="On",Assumptions!AZ$72=RefiMonth),-AZ$108,0)</f>
        <v/>
      </c>
      <c r="BA113" s="52">
        <f>IF(AND(RefiOn="On",Assumptions!BA$72=RefiMonth),-BA$108,0)</f>
        <v/>
      </c>
      <c r="BB113" s="52">
        <f>IF(AND(RefiOn="On",Assumptions!BB$72=RefiMonth),-BB$108,0)</f>
        <v/>
      </c>
      <c r="BC113" s="52">
        <f>IF(AND(RefiOn="On",Assumptions!BC$72=RefiMonth),-BC$108,0)</f>
        <v/>
      </c>
      <c r="BD113" s="52">
        <f>IF(AND(RefiOn="On",Assumptions!BD$72=RefiMonth),-BD$108,0)</f>
        <v/>
      </c>
      <c r="BE113" s="52">
        <f>IF(AND(RefiOn="On",Assumptions!BE$72=RefiMonth),-BE$108,0)</f>
        <v/>
      </c>
      <c r="BF113" s="52">
        <f>IF(AND(RefiOn="On",Assumptions!BF$72=RefiMonth),-BF$108,0)</f>
        <v/>
      </c>
      <c r="BG113" s="52">
        <f>IF(AND(RefiOn="On",Assumptions!BG$72=RefiMonth),-BG$108,0)</f>
        <v/>
      </c>
      <c r="BH113" s="52">
        <f>IF(AND(RefiOn="On",Assumptions!BH$72=RefiMonth),-BH$108,0)</f>
        <v/>
      </c>
      <c r="BI113" s="52">
        <f>IF(AND(RefiOn="On",Assumptions!BI$72=RefiMonth),-BI$108,0)</f>
        <v/>
      </c>
      <c r="BJ113" s="52">
        <f>IF(AND(RefiOn="On",Assumptions!BJ$72=RefiMonth),-BJ$108,0)</f>
        <v/>
      </c>
      <c r="BK113" s="52">
        <f>IF(AND(RefiOn="On",Assumptions!BK$72=RefiMonth),-BK$108,0)</f>
        <v/>
      </c>
      <c r="BL113" s="52">
        <f>IF(AND(RefiOn="On",Assumptions!BL$72=RefiMonth),-BL$108,0)</f>
        <v/>
      </c>
      <c r="BM113" s="52">
        <f>IF(AND(RefiOn="On",Assumptions!BM$72=RefiMonth),-BM$108,0)</f>
        <v/>
      </c>
      <c r="BN113" s="52">
        <f>IF(AND(RefiOn="On",Assumptions!BN$72=RefiMonth),-BN$108,0)</f>
        <v/>
      </c>
      <c r="BO113" s="52">
        <f>IF(AND(RefiOn="On",Assumptions!BO$72=RefiMonth),-BO$108,0)</f>
        <v/>
      </c>
      <c r="BP113" s="52">
        <f>IF(AND(RefiOn="On",Assumptions!BP$72=RefiMonth),-BP$108,0)</f>
        <v/>
      </c>
      <c r="BQ113" s="52">
        <f>IF(AND(RefiOn="On",Assumptions!BQ$72=RefiMonth),-BQ$108,0)</f>
        <v/>
      </c>
      <c r="BR113" s="52">
        <f>IF(AND(RefiOn="On",Assumptions!BR$72=RefiMonth),-BR$108,0)</f>
        <v/>
      </c>
      <c r="BS113" s="52">
        <f>IF(AND(RefiOn="On",Assumptions!BS$72=RefiMonth),-BS$108,0)</f>
        <v/>
      </c>
      <c r="BT113" s="52">
        <f>IF(AND(RefiOn="On",Assumptions!BT$72=RefiMonth),-BT$108,0)</f>
        <v/>
      </c>
      <c r="BU113" s="52">
        <f>IF(AND(RefiOn="On",Assumptions!BU$72=RefiMonth),-BU$108,0)</f>
        <v/>
      </c>
      <c r="BV113" s="52">
        <f>IF(AND(RefiOn="On",Assumptions!BV$72=RefiMonth),-BV$108,0)</f>
        <v/>
      </c>
      <c r="BW113" s="52">
        <f>IF(AND(RefiOn="On",Assumptions!BW$72=RefiMonth),-BW$108,0)</f>
        <v/>
      </c>
      <c r="BX113" s="52">
        <f>IF(AND(RefiOn="On",Assumptions!BX$72=RefiMonth),-BX$108,0)</f>
        <v/>
      </c>
      <c r="BY113" s="52">
        <f>IF(AND(RefiOn="On",Assumptions!BY$72=RefiMonth),-BY$108,0)</f>
        <v/>
      </c>
      <c r="BZ113" s="52">
        <f>IF(AND(RefiOn="On",Assumptions!BZ$72=RefiMonth),-BZ$108,0)</f>
        <v/>
      </c>
      <c r="CA113" s="52">
        <f>IF(AND(RefiOn="On",Assumptions!CA$72=RefiMonth),-CA$108,0)</f>
        <v/>
      </c>
      <c r="CB113" s="52">
        <f>IF(AND(RefiOn="On",Assumptions!CB$72=RefiMonth),-CB$108,0)</f>
        <v/>
      </c>
      <c r="CC113" s="52">
        <f>IF(AND(RefiOn="On",Assumptions!CC$72=RefiMonth),-CC$108,0)</f>
        <v/>
      </c>
      <c r="CD113" s="52">
        <f>IF(AND(RefiOn="On",Assumptions!CD$72=RefiMonth),-CD$108,0)</f>
        <v/>
      </c>
      <c r="CE113" s="52">
        <f>IF(AND(RefiOn="On",Assumptions!CE$72=RefiMonth),-CE$108,0)</f>
        <v/>
      </c>
      <c r="CF113" s="52">
        <f>IF(AND(RefiOn="On",Assumptions!CF$72=RefiMonth),-CF$108,0)</f>
        <v/>
      </c>
      <c r="CG113" s="52">
        <f>IF(AND(RefiOn="On",Assumptions!CG$72=RefiMonth),-CG$108,0)</f>
        <v/>
      </c>
      <c r="CH113" s="52">
        <f>IF(AND(RefiOn="On",Assumptions!CH$72=RefiMonth),-CH$108,0)</f>
        <v/>
      </c>
      <c r="CI113" s="52">
        <f>IF(AND(RefiOn="On",Assumptions!CI$72=RefiMonth),-CI$108,0)</f>
        <v/>
      </c>
      <c r="CJ113" s="52">
        <f>IF(AND(RefiOn="On",Assumptions!CJ$72=RefiMonth),-CJ$108,0)</f>
        <v/>
      </c>
      <c r="CK113" s="52">
        <f>IF(AND(RefiOn="On",Assumptions!CK$72=RefiMonth),-CK$108,0)</f>
        <v/>
      </c>
      <c r="CL113" s="52">
        <f>IF(AND(RefiOn="On",Assumptions!CL$72=RefiMonth),-CL$108,0)</f>
        <v/>
      </c>
      <c r="CM113" s="52">
        <f>IF(AND(RefiOn="On",Assumptions!CM$72=RefiMonth),-CM$108,0)</f>
        <v/>
      </c>
      <c r="CN113" s="52">
        <f>IF(AND(RefiOn="On",Assumptions!CN$72=RefiMonth),-CN$108,0)</f>
        <v/>
      </c>
      <c r="CO113" s="52">
        <f>IF(AND(RefiOn="On",Assumptions!CO$72=RefiMonth),-CO$108,0)</f>
        <v/>
      </c>
      <c r="CP113" s="52">
        <f>IF(AND(RefiOn="On",Assumptions!CP$72=RefiMonth),-CP$108,0)</f>
        <v/>
      </c>
      <c r="CQ113" s="52">
        <f>IF(AND(RefiOn="On",Assumptions!CQ$72=RefiMonth),-CQ$108,0)</f>
        <v/>
      </c>
      <c r="CR113" s="52">
        <f>IF(AND(RefiOn="On",Assumptions!CR$72=RefiMonth),-CR$108,0)</f>
        <v/>
      </c>
      <c r="CS113" s="52">
        <f>IF(AND(RefiOn="On",Assumptions!CS$72=RefiMonth),-CS$108,0)</f>
        <v/>
      </c>
      <c r="CT113" s="52">
        <f>IF(AND(RefiOn="On",Assumptions!CT$72=RefiMonth),-CT$108,0)</f>
        <v/>
      </c>
      <c r="CU113" s="52">
        <f>IF(AND(RefiOn="On",Assumptions!CU$72=RefiMonth),-CU$108,0)</f>
        <v/>
      </c>
      <c r="CV113" s="52">
        <f>IF(AND(RefiOn="On",Assumptions!CV$72=RefiMonth),-CV$108,0)</f>
        <v/>
      </c>
      <c r="CW113" s="52">
        <f>IF(AND(RefiOn="On",Assumptions!CW$72=RefiMonth),-CW$108,0)</f>
        <v/>
      </c>
      <c r="CX113" s="52">
        <f>IF(AND(RefiOn="On",Assumptions!CX$72=RefiMonth),-CX$108,0)</f>
        <v/>
      </c>
      <c r="CY113" s="52">
        <f>IF(AND(RefiOn="On",Assumptions!CY$72=RefiMonth),-CY$108,0)</f>
        <v/>
      </c>
      <c r="CZ113" s="52">
        <f>IF(AND(RefiOn="On",Assumptions!CZ$72=RefiMonth),-CZ$108,0)</f>
        <v/>
      </c>
      <c r="DA113" s="52">
        <f>IF(AND(RefiOn="On",Assumptions!DA$72=RefiMonth),-DA$108,0)</f>
        <v/>
      </c>
      <c r="DB113" s="52">
        <f>IF(AND(RefiOn="On",Assumptions!DB$72=RefiMonth),-DB$108,0)</f>
        <v/>
      </c>
      <c r="DC113" s="52">
        <f>IF(AND(RefiOn="On",Assumptions!DC$72=RefiMonth),-DC$108,0)</f>
        <v/>
      </c>
      <c r="DD113" s="52">
        <f>IF(AND(RefiOn="On",Assumptions!DD$72=RefiMonth),-DD$108,0)</f>
        <v/>
      </c>
      <c r="DE113" s="52">
        <f>IF(AND(RefiOn="On",Assumptions!DE$72=RefiMonth),-DE$108,0)</f>
        <v/>
      </c>
      <c r="DF113" s="52">
        <f>IF(AND(RefiOn="On",Assumptions!DF$72=RefiMonth),-DF$108,0)</f>
        <v/>
      </c>
      <c r="DG113" s="52">
        <f>IF(AND(RefiOn="On",Assumptions!DG$72=RefiMonth),-DG$108,0)</f>
        <v/>
      </c>
      <c r="DH113" s="52">
        <f>IF(AND(RefiOn="On",Assumptions!DH$72=RefiMonth),-DH$108,0)</f>
        <v/>
      </c>
      <c r="DI113" s="52">
        <f>IF(AND(RefiOn="On",Assumptions!DI$72=RefiMonth),-DI$108,0)</f>
        <v/>
      </c>
      <c r="DJ113" s="52">
        <f>IF(AND(RefiOn="On",Assumptions!DJ$72=RefiMonth),-DJ$108,0)</f>
        <v/>
      </c>
      <c r="DK113" s="52">
        <f>IF(AND(RefiOn="On",Assumptions!DK$72=RefiMonth),-DK$108,0)</f>
        <v/>
      </c>
      <c r="DL113" s="52">
        <f>IF(AND(RefiOn="On",Assumptions!DL$72=RefiMonth),-DL$108,0)</f>
        <v/>
      </c>
      <c r="DM113" s="52">
        <f>IF(AND(RefiOn="On",Assumptions!DM$72=RefiMonth),-DM$108,0)</f>
        <v/>
      </c>
      <c r="DN113" s="52">
        <f>IF(AND(RefiOn="On",Assumptions!DN$72=RefiMonth),-DN$108,0)</f>
        <v/>
      </c>
      <c r="DO113" s="52">
        <f>IF(AND(RefiOn="On",Assumptions!DO$72=RefiMonth),-DO$108,0)</f>
        <v/>
      </c>
      <c r="DP113" s="52">
        <f>IF(AND(RefiOn="On",Assumptions!DP$72=RefiMonth),-DP$108,0)</f>
        <v/>
      </c>
      <c r="DQ113" s="52">
        <f>IF(AND(RefiOn="On",Assumptions!DQ$72=RefiMonth),-DQ$108,0)</f>
        <v/>
      </c>
      <c r="DR113" s="52">
        <f>IF(AND(RefiOn="On",Assumptions!DR$72=RefiMonth),-DR$108,0)</f>
        <v/>
      </c>
      <c r="DS113" s="52">
        <f>IF(AND(RefiOn="On",Assumptions!DS$72=RefiMonth),-DS$108,0)</f>
        <v/>
      </c>
      <c r="DT113" s="52">
        <f>IF(AND(RefiOn="On",Assumptions!DT$72=RefiMonth),-DT$108,0)</f>
        <v/>
      </c>
    </row>
    <row r="114">
      <c r="A114" s="10" t="inlineStr">
        <is>
          <t>Loan A: closing balance ($)</t>
        </is>
      </c>
      <c r="E114" s="52">
        <f>E$108+E$109-E$111+E$113</f>
        <v/>
      </c>
      <c r="F114" s="52">
        <f>F$108+F$109-F$111+F$113</f>
        <v/>
      </c>
      <c r="G114" s="52">
        <f>G$108+G$109-G$111+G$113</f>
        <v/>
      </c>
      <c r="H114" s="52">
        <f>H$108+H$109-H$111+H$113</f>
        <v/>
      </c>
      <c r="I114" s="52">
        <f>I$108+I$109-I$111+I$113</f>
        <v/>
      </c>
      <c r="J114" s="52">
        <f>J$108+J$109-J$111+J$113</f>
        <v/>
      </c>
      <c r="K114" s="52">
        <f>K$108+K$109-K$111+K$113</f>
        <v/>
      </c>
      <c r="L114" s="52">
        <f>L$108+L$109-L$111+L$113</f>
        <v/>
      </c>
      <c r="M114" s="52">
        <f>M$108+M$109-M$111+M$113</f>
        <v/>
      </c>
      <c r="N114" s="52">
        <f>N$108+N$109-N$111+N$113</f>
        <v/>
      </c>
      <c r="O114" s="52">
        <f>O$108+O$109-O$111+O$113</f>
        <v/>
      </c>
      <c r="P114" s="52">
        <f>P$108+P$109-P$111+P$113</f>
        <v/>
      </c>
      <c r="Q114" s="52">
        <f>Q$108+Q$109-Q$111+Q$113</f>
        <v/>
      </c>
      <c r="R114" s="52">
        <f>R$108+R$109-R$111+R$113</f>
        <v/>
      </c>
      <c r="S114" s="52">
        <f>S$108+S$109-S$111+S$113</f>
        <v/>
      </c>
      <c r="T114" s="52">
        <f>T$108+T$109-T$111+T$113</f>
        <v/>
      </c>
      <c r="U114" s="52">
        <f>U$108+U$109-U$111+U$113</f>
        <v/>
      </c>
      <c r="V114" s="52">
        <f>V$108+V$109-V$111+V$113</f>
        <v/>
      </c>
      <c r="W114" s="52">
        <f>W$108+W$109-W$111+W$113</f>
        <v/>
      </c>
      <c r="X114" s="52">
        <f>X$108+X$109-X$111+X$113</f>
        <v/>
      </c>
      <c r="Y114" s="52">
        <f>Y$108+Y$109-Y$111+Y$113</f>
        <v/>
      </c>
      <c r="Z114" s="52">
        <f>Z$108+Z$109-Z$111+Z$113</f>
        <v/>
      </c>
      <c r="AA114" s="52">
        <f>AA$108+AA$109-AA$111+AA$113</f>
        <v/>
      </c>
      <c r="AB114" s="52">
        <f>AB$108+AB$109-AB$111+AB$113</f>
        <v/>
      </c>
      <c r="AC114" s="52">
        <f>AC$108+AC$109-AC$111+AC$113</f>
        <v/>
      </c>
      <c r="AD114" s="52">
        <f>AD$108+AD$109-AD$111+AD$113</f>
        <v/>
      </c>
      <c r="AE114" s="52">
        <f>AE$108+AE$109-AE$111+AE$113</f>
        <v/>
      </c>
      <c r="AF114" s="52">
        <f>AF$108+AF$109-AF$111+AF$113</f>
        <v/>
      </c>
      <c r="AG114" s="52">
        <f>AG$108+AG$109-AG$111+AG$113</f>
        <v/>
      </c>
      <c r="AH114" s="52">
        <f>AH$108+AH$109-AH$111+AH$113</f>
        <v/>
      </c>
      <c r="AI114" s="52">
        <f>AI$108+AI$109-AI$111+AI$113</f>
        <v/>
      </c>
      <c r="AJ114" s="52">
        <f>AJ$108+AJ$109-AJ$111+AJ$113</f>
        <v/>
      </c>
      <c r="AK114" s="52">
        <f>AK$108+AK$109-AK$111+AK$113</f>
        <v/>
      </c>
      <c r="AL114" s="52">
        <f>AL$108+AL$109-AL$111+AL$113</f>
        <v/>
      </c>
      <c r="AM114" s="52">
        <f>AM$108+AM$109-AM$111+AM$113</f>
        <v/>
      </c>
      <c r="AN114" s="52">
        <f>AN$108+AN$109-AN$111+AN$113</f>
        <v/>
      </c>
      <c r="AO114" s="52">
        <f>AO$108+AO$109-AO$111+AO$113</f>
        <v/>
      </c>
      <c r="AP114" s="52">
        <f>AP$108+AP$109-AP$111+AP$113</f>
        <v/>
      </c>
      <c r="AQ114" s="52">
        <f>AQ$108+AQ$109-AQ$111+AQ$113</f>
        <v/>
      </c>
      <c r="AR114" s="52">
        <f>AR$108+AR$109-AR$111+AR$113</f>
        <v/>
      </c>
      <c r="AS114" s="52">
        <f>AS$108+AS$109-AS$111+AS$113</f>
        <v/>
      </c>
      <c r="AT114" s="52">
        <f>AT$108+AT$109-AT$111+AT$113</f>
        <v/>
      </c>
      <c r="AU114" s="52">
        <f>AU$108+AU$109-AU$111+AU$113</f>
        <v/>
      </c>
      <c r="AV114" s="52">
        <f>AV$108+AV$109-AV$111+AV$113</f>
        <v/>
      </c>
      <c r="AW114" s="52">
        <f>AW$108+AW$109-AW$111+AW$113</f>
        <v/>
      </c>
      <c r="AX114" s="52">
        <f>AX$108+AX$109-AX$111+AX$113</f>
        <v/>
      </c>
      <c r="AY114" s="52">
        <f>AY$108+AY$109-AY$111+AY$113</f>
        <v/>
      </c>
      <c r="AZ114" s="52">
        <f>AZ$108+AZ$109-AZ$111+AZ$113</f>
        <v/>
      </c>
      <c r="BA114" s="52">
        <f>BA$108+BA$109-BA$111+BA$113</f>
        <v/>
      </c>
      <c r="BB114" s="52">
        <f>BB$108+BB$109-BB$111+BB$113</f>
        <v/>
      </c>
      <c r="BC114" s="52">
        <f>BC$108+BC$109-BC$111+BC$113</f>
        <v/>
      </c>
      <c r="BD114" s="52">
        <f>BD$108+BD$109-BD$111+BD$113</f>
        <v/>
      </c>
      <c r="BE114" s="52">
        <f>BE$108+BE$109-BE$111+BE$113</f>
        <v/>
      </c>
      <c r="BF114" s="52">
        <f>BF$108+BF$109-BF$111+BF$113</f>
        <v/>
      </c>
      <c r="BG114" s="52">
        <f>BG$108+BG$109-BG$111+BG$113</f>
        <v/>
      </c>
      <c r="BH114" s="52">
        <f>BH$108+BH$109-BH$111+BH$113</f>
        <v/>
      </c>
      <c r="BI114" s="52">
        <f>BI$108+BI$109-BI$111+BI$113</f>
        <v/>
      </c>
      <c r="BJ114" s="52">
        <f>BJ$108+BJ$109-BJ$111+BJ$113</f>
        <v/>
      </c>
      <c r="BK114" s="52">
        <f>BK$108+BK$109-BK$111+BK$113</f>
        <v/>
      </c>
      <c r="BL114" s="52">
        <f>BL$108+BL$109-BL$111+BL$113</f>
        <v/>
      </c>
      <c r="BM114" s="52">
        <f>BM$108+BM$109-BM$111+BM$113</f>
        <v/>
      </c>
      <c r="BN114" s="52">
        <f>BN$108+BN$109-BN$111+BN$113</f>
        <v/>
      </c>
      <c r="BO114" s="52">
        <f>BO$108+BO$109-BO$111+BO$113</f>
        <v/>
      </c>
      <c r="BP114" s="52">
        <f>BP$108+BP$109-BP$111+BP$113</f>
        <v/>
      </c>
      <c r="BQ114" s="52">
        <f>BQ$108+BQ$109-BQ$111+BQ$113</f>
        <v/>
      </c>
      <c r="BR114" s="52">
        <f>BR$108+BR$109-BR$111+BR$113</f>
        <v/>
      </c>
      <c r="BS114" s="52">
        <f>BS$108+BS$109-BS$111+BS$113</f>
        <v/>
      </c>
      <c r="BT114" s="52">
        <f>BT$108+BT$109-BT$111+BT$113</f>
        <v/>
      </c>
      <c r="BU114" s="52">
        <f>BU$108+BU$109-BU$111+BU$113</f>
        <v/>
      </c>
      <c r="BV114" s="52">
        <f>BV$108+BV$109-BV$111+BV$113</f>
        <v/>
      </c>
      <c r="BW114" s="52">
        <f>BW$108+BW$109-BW$111+BW$113</f>
        <v/>
      </c>
      <c r="BX114" s="52">
        <f>BX$108+BX$109-BX$111+BX$113</f>
        <v/>
      </c>
      <c r="BY114" s="52">
        <f>BY$108+BY$109-BY$111+BY$113</f>
        <v/>
      </c>
      <c r="BZ114" s="52">
        <f>BZ$108+BZ$109-BZ$111+BZ$113</f>
        <v/>
      </c>
      <c r="CA114" s="52">
        <f>CA$108+CA$109-CA$111+CA$113</f>
        <v/>
      </c>
      <c r="CB114" s="52">
        <f>CB$108+CB$109-CB$111+CB$113</f>
        <v/>
      </c>
      <c r="CC114" s="52">
        <f>CC$108+CC$109-CC$111+CC$113</f>
        <v/>
      </c>
      <c r="CD114" s="52">
        <f>CD$108+CD$109-CD$111+CD$113</f>
        <v/>
      </c>
      <c r="CE114" s="52">
        <f>CE$108+CE$109-CE$111+CE$113</f>
        <v/>
      </c>
      <c r="CF114" s="52">
        <f>CF$108+CF$109-CF$111+CF$113</f>
        <v/>
      </c>
      <c r="CG114" s="52">
        <f>CG$108+CG$109-CG$111+CG$113</f>
        <v/>
      </c>
      <c r="CH114" s="52">
        <f>CH$108+CH$109-CH$111+CH$113</f>
        <v/>
      </c>
      <c r="CI114" s="52">
        <f>CI$108+CI$109-CI$111+CI$113</f>
        <v/>
      </c>
      <c r="CJ114" s="52">
        <f>CJ$108+CJ$109-CJ$111+CJ$113</f>
        <v/>
      </c>
      <c r="CK114" s="52">
        <f>CK$108+CK$109-CK$111+CK$113</f>
        <v/>
      </c>
      <c r="CL114" s="52">
        <f>CL$108+CL$109-CL$111+CL$113</f>
        <v/>
      </c>
      <c r="CM114" s="52">
        <f>CM$108+CM$109-CM$111+CM$113</f>
        <v/>
      </c>
      <c r="CN114" s="52">
        <f>CN$108+CN$109-CN$111+CN$113</f>
        <v/>
      </c>
      <c r="CO114" s="52">
        <f>CO$108+CO$109-CO$111+CO$113</f>
        <v/>
      </c>
      <c r="CP114" s="52">
        <f>CP$108+CP$109-CP$111+CP$113</f>
        <v/>
      </c>
      <c r="CQ114" s="52">
        <f>CQ$108+CQ$109-CQ$111+CQ$113</f>
        <v/>
      </c>
      <c r="CR114" s="52">
        <f>CR$108+CR$109-CR$111+CR$113</f>
        <v/>
      </c>
      <c r="CS114" s="52">
        <f>CS$108+CS$109-CS$111+CS$113</f>
        <v/>
      </c>
      <c r="CT114" s="52">
        <f>CT$108+CT$109-CT$111+CT$113</f>
        <v/>
      </c>
      <c r="CU114" s="52">
        <f>CU$108+CU$109-CU$111+CU$113</f>
        <v/>
      </c>
      <c r="CV114" s="52">
        <f>CV$108+CV$109-CV$111+CV$113</f>
        <v/>
      </c>
      <c r="CW114" s="52">
        <f>CW$108+CW$109-CW$111+CW$113</f>
        <v/>
      </c>
      <c r="CX114" s="52">
        <f>CX$108+CX$109-CX$111+CX$113</f>
        <v/>
      </c>
      <c r="CY114" s="52">
        <f>CY$108+CY$109-CY$111+CY$113</f>
        <v/>
      </c>
      <c r="CZ114" s="52">
        <f>CZ$108+CZ$109-CZ$111+CZ$113</f>
        <v/>
      </c>
      <c r="DA114" s="52">
        <f>DA$108+DA$109-DA$111+DA$113</f>
        <v/>
      </c>
      <c r="DB114" s="52">
        <f>DB$108+DB$109-DB$111+DB$113</f>
        <v/>
      </c>
      <c r="DC114" s="52">
        <f>DC$108+DC$109-DC$111+DC$113</f>
        <v/>
      </c>
      <c r="DD114" s="52">
        <f>DD$108+DD$109-DD$111+DD$113</f>
        <v/>
      </c>
      <c r="DE114" s="52">
        <f>DE$108+DE$109-DE$111+DE$113</f>
        <v/>
      </c>
      <c r="DF114" s="52">
        <f>DF$108+DF$109-DF$111+DF$113</f>
        <v/>
      </c>
      <c r="DG114" s="52">
        <f>DG$108+DG$109-DG$111+DG$113</f>
        <v/>
      </c>
      <c r="DH114" s="52">
        <f>DH$108+DH$109-DH$111+DH$113</f>
        <v/>
      </c>
      <c r="DI114" s="52">
        <f>DI$108+DI$109-DI$111+DI$113</f>
        <v/>
      </c>
      <c r="DJ114" s="52">
        <f>DJ$108+DJ$109-DJ$111+DJ$113</f>
        <v/>
      </c>
      <c r="DK114" s="52">
        <f>DK$108+DK$109-DK$111+DK$113</f>
        <v/>
      </c>
      <c r="DL114" s="52">
        <f>DL$108+DL$109-DL$111+DL$113</f>
        <v/>
      </c>
      <c r="DM114" s="52">
        <f>DM$108+DM$109-DM$111+DM$113</f>
        <v/>
      </c>
      <c r="DN114" s="52">
        <f>DN$108+DN$109-DN$111+DN$113</f>
        <v/>
      </c>
      <c r="DO114" s="52">
        <f>DO$108+DO$109-DO$111+DO$113</f>
        <v/>
      </c>
      <c r="DP114" s="52">
        <f>DP$108+DP$109-DP$111+DP$113</f>
        <v/>
      </c>
      <c r="DQ114" s="52">
        <f>DQ$108+DQ$109-DQ$111+DQ$113</f>
        <v/>
      </c>
      <c r="DR114" s="52">
        <f>DR$108+DR$109-DR$111+DR$113</f>
        <v/>
      </c>
      <c r="DS114" s="52">
        <f>DS$108+DS$109-DS$111+DS$113</f>
        <v/>
      </c>
      <c r="DT114" s="52">
        <f>DT$108+DT$109-DT$111+DT$113</f>
        <v/>
      </c>
    </row>
    <row r="116">
      <c r="A116" s="10" t="inlineStr">
        <is>
          <t>Loan B: opening balance ($)</t>
        </is>
      </c>
      <c r="E116" s="52">
        <f>0</f>
        <v/>
      </c>
      <c r="F116" s="52">
        <f>E$122</f>
        <v/>
      </c>
      <c r="G116" s="52">
        <f>F$122</f>
        <v/>
      </c>
      <c r="H116" s="52">
        <f>G$122</f>
        <v/>
      </c>
      <c r="I116" s="52">
        <f>H$122</f>
        <v/>
      </c>
      <c r="J116" s="52">
        <f>I$122</f>
        <v/>
      </c>
      <c r="K116" s="52">
        <f>J$122</f>
        <v/>
      </c>
      <c r="L116" s="52">
        <f>K$122</f>
        <v/>
      </c>
      <c r="M116" s="52">
        <f>L$122</f>
        <v/>
      </c>
      <c r="N116" s="52">
        <f>M$122</f>
        <v/>
      </c>
      <c r="O116" s="52">
        <f>N$122</f>
        <v/>
      </c>
      <c r="P116" s="52">
        <f>O$122</f>
        <v/>
      </c>
      <c r="Q116" s="52">
        <f>P$122</f>
        <v/>
      </c>
      <c r="R116" s="52">
        <f>Q$122</f>
        <v/>
      </c>
      <c r="S116" s="52">
        <f>R$122</f>
        <v/>
      </c>
      <c r="T116" s="52">
        <f>S$122</f>
        <v/>
      </c>
      <c r="U116" s="52">
        <f>T$122</f>
        <v/>
      </c>
      <c r="V116" s="52">
        <f>U$122</f>
        <v/>
      </c>
      <c r="W116" s="52">
        <f>V$122</f>
        <v/>
      </c>
      <c r="X116" s="52">
        <f>W$122</f>
        <v/>
      </c>
      <c r="Y116" s="52">
        <f>X$122</f>
        <v/>
      </c>
      <c r="Z116" s="52">
        <f>Y$122</f>
        <v/>
      </c>
      <c r="AA116" s="52">
        <f>Z$122</f>
        <v/>
      </c>
      <c r="AB116" s="52">
        <f>AA$122</f>
        <v/>
      </c>
      <c r="AC116" s="52">
        <f>AB$122</f>
        <v/>
      </c>
      <c r="AD116" s="52">
        <f>AC$122</f>
        <v/>
      </c>
      <c r="AE116" s="52">
        <f>AD$122</f>
        <v/>
      </c>
      <c r="AF116" s="52">
        <f>AE$122</f>
        <v/>
      </c>
      <c r="AG116" s="52">
        <f>AF$122</f>
        <v/>
      </c>
      <c r="AH116" s="52">
        <f>AG$122</f>
        <v/>
      </c>
      <c r="AI116" s="52">
        <f>AH$122</f>
        <v/>
      </c>
      <c r="AJ116" s="52">
        <f>AI$122</f>
        <v/>
      </c>
      <c r="AK116" s="52">
        <f>AJ$122</f>
        <v/>
      </c>
      <c r="AL116" s="52">
        <f>AK$122</f>
        <v/>
      </c>
      <c r="AM116" s="52">
        <f>AL$122</f>
        <v/>
      </c>
      <c r="AN116" s="52">
        <f>AM$122</f>
        <v/>
      </c>
      <c r="AO116" s="52">
        <f>AN$122</f>
        <v/>
      </c>
      <c r="AP116" s="52">
        <f>AO$122</f>
        <v/>
      </c>
      <c r="AQ116" s="52">
        <f>AP$122</f>
        <v/>
      </c>
      <c r="AR116" s="52">
        <f>AQ$122</f>
        <v/>
      </c>
      <c r="AS116" s="52">
        <f>AR$122</f>
        <v/>
      </c>
      <c r="AT116" s="52">
        <f>AS$122</f>
        <v/>
      </c>
      <c r="AU116" s="52">
        <f>AT$122</f>
        <v/>
      </c>
      <c r="AV116" s="52">
        <f>AU$122</f>
        <v/>
      </c>
      <c r="AW116" s="52">
        <f>AV$122</f>
        <v/>
      </c>
      <c r="AX116" s="52">
        <f>AW$122</f>
        <v/>
      </c>
      <c r="AY116" s="52">
        <f>AX$122</f>
        <v/>
      </c>
      <c r="AZ116" s="52">
        <f>AY$122</f>
        <v/>
      </c>
      <c r="BA116" s="52">
        <f>AZ$122</f>
        <v/>
      </c>
      <c r="BB116" s="52">
        <f>BA$122</f>
        <v/>
      </c>
      <c r="BC116" s="52">
        <f>BB$122</f>
        <v/>
      </c>
      <c r="BD116" s="52">
        <f>BC$122</f>
        <v/>
      </c>
      <c r="BE116" s="52">
        <f>BD$122</f>
        <v/>
      </c>
      <c r="BF116" s="52">
        <f>BE$122</f>
        <v/>
      </c>
      <c r="BG116" s="52">
        <f>BF$122</f>
        <v/>
      </c>
      <c r="BH116" s="52">
        <f>BG$122</f>
        <v/>
      </c>
      <c r="BI116" s="52">
        <f>BH$122</f>
        <v/>
      </c>
      <c r="BJ116" s="52">
        <f>BI$122</f>
        <v/>
      </c>
      <c r="BK116" s="52">
        <f>BJ$122</f>
        <v/>
      </c>
      <c r="BL116" s="52">
        <f>BK$122</f>
        <v/>
      </c>
      <c r="BM116" s="52">
        <f>BL$122</f>
        <v/>
      </c>
      <c r="BN116" s="52">
        <f>BM$122</f>
        <v/>
      </c>
      <c r="BO116" s="52">
        <f>BN$122</f>
        <v/>
      </c>
      <c r="BP116" s="52">
        <f>BO$122</f>
        <v/>
      </c>
      <c r="BQ116" s="52">
        <f>BP$122</f>
        <v/>
      </c>
      <c r="BR116" s="52">
        <f>BQ$122</f>
        <v/>
      </c>
      <c r="BS116" s="52">
        <f>BR$122</f>
        <v/>
      </c>
      <c r="BT116" s="52">
        <f>BS$122</f>
        <v/>
      </c>
      <c r="BU116" s="52">
        <f>BT$122</f>
        <v/>
      </c>
      <c r="BV116" s="52">
        <f>BU$122</f>
        <v/>
      </c>
      <c r="BW116" s="52">
        <f>BV$122</f>
        <v/>
      </c>
      <c r="BX116" s="52">
        <f>BW$122</f>
        <v/>
      </c>
      <c r="BY116" s="52">
        <f>BX$122</f>
        <v/>
      </c>
      <c r="BZ116" s="52">
        <f>BY$122</f>
        <v/>
      </c>
      <c r="CA116" s="52">
        <f>BZ$122</f>
        <v/>
      </c>
      <c r="CB116" s="52">
        <f>CA$122</f>
        <v/>
      </c>
      <c r="CC116" s="52">
        <f>CB$122</f>
        <v/>
      </c>
      <c r="CD116" s="52">
        <f>CC$122</f>
        <v/>
      </c>
      <c r="CE116" s="52">
        <f>CD$122</f>
        <v/>
      </c>
      <c r="CF116" s="52">
        <f>CE$122</f>
        <v/>
      </c>
      <c r="CG116" s="52">
        <f>CF$122</f>
        <v/>
      </c>
      <c r="CH116" s="52">
        <f>CG$122</f>
        <v/>
      </c>
      <c r="CI116" s="52">
        <f>CH$122</f>
        <v/>
      </c>
      <c r="CJ116" s="52">
        <f>CI$122</f>
        <v/>
      </c>
      <c r="CK116" s="52">
        <f>CJ$122</f>
        <v/>
      </c>
      <c r="CL116" s="52">
        <f>CK$122</f>
        <v/>
      </c>
      <c r="CM116" s="52">
        <f>CL$122</f>
        <v/>
      </c>
      <c r="CN116" s="52">
        <f>CM$122</f>
        <v/>
      </c>
      <c r="CO116" s="52">
        <f>CN$122</f>
        <v/>
      </c>
      <c r="CP116" s="52">
        <f>CO$122</f>
        <v/>
      </c>
      <c r="CQ116" s="52">
        <f>CP$122</f>
        <v/>
      </c>
      <c r="CR116" s="52">
        <f>CQ$122</f>
        <v/>
      </c>
      <c r="CS116" s="52">
        <f>CR$122</f>
        <v/>
      </c>
      <c r="CT116" s="52">
        <f>CS$122</f>
        <v/>
      </c>
      <c r="CU116" s="52">
        <f>CT$122</f>
        <v/>
      </c>
      <c r="CV116" s="52">
        <f>CU$122</f>
        <v/>
      </c>
      <c r="CW116" s="52">
        <f>CV$122</f>
        <v/>
      </c>
      <c r="CX116" s="52">
        <f>CW$122</f>
        <v/>
      </c>
      <c r="CY116" s="52">
        <f>CX$122</f>
        <v/>
      </c>
      <c r="CZ116" s="52">
        <f>CY$122</f>
        <v/>
      </c>
      <c r="DA116" s="52">
        <f>CZ$122</f>
        <v/>
      </c>
      <c r="DB116" s="52">
        <f>DA$122</f>
        <v/>
      </c>
      <c r="DC116" s="52">
        <f>DB$122</f>
        <v/>
      </c>
      <c r="DD116" s="52">
        <f>DC$122</f>
        <v/>
      </c>
      <c r="DE116" s="52">
        <f>DD$122</f>
        <v/>
      </c>
      <c r="DF116" s="52">
        <f>DE$122</f>
        <v/>
      </c>
      <c r="DG116" s="52">
        <f>DF$122</f>
        <v/>
      </c>
      <c r="DH116" s="52">
        <f>DG$122</f>
        <v/>
      </c>
      <c r="DI116" s="52">
        <f>DH$122</f>
        <v/>
      </c>
      <c r="DJ116" s="52">
        <f>DI$122</f>
        <v/>
      </c>
      <c r="DK116" s="52">
        <f>DJ$122</f>
        <v/>
      </c>
      <c r="DL116" s="52">
        <f>DK$122</f>
        <v/>
      </c>
      <c r="DM116" s="52">
        <f>DL$122</f>
        <v/>
      </c>
      <c r="DN116" s="52">
        <f>DM$122</f>
        <v/>
      </c>
      <c r="DO116" s="52">
        <f>DN$122</f>
        <v/>
      </c>
      <c r="DP116" s="52">
        <f>DO$122</f>
        <v/>
      </c>
      <c r="DQ116" s="52">
        <f>DP$122</f>
        <v/>
      </c>
      <c r="DR116" s="52">
        <f>DQ$122</f>
        <v/>
      </c>
      <c r="DS116" s="52">
        <f>DR$122</f>
        <v/>
      </c>
      <c r="DT116" s="52">
        <f>DS$122</f>
        <v/>
      </c>
    </row>
    <row r="117">
      <c r="A117" s="10" t="inlineStr">
        <is>
          <t>Loan B: draw ($)</t>
        </is>
      </c>
      <c r="E117" s="52">
        <f>LoanB_Amount</f>
        <v/>
      </c>
      <c r="F117" s="52">
        <f>0</f>
        <v/>
      </c>
      <c r="G117" s="52">
        <f>0</f>
        <v/>
      </c>
      <c r="H117" s="52">
        <f>0</f>
        <v/>
      </c>
      <c r="I117" s="52">
        <f>0</f>
        <v/>
      </c>
      <c r="J117" s="52">
        <f>0</f>
        <v/>
      </c>
      <c r="K117" s="52">
        <f>0</f>
        <v/>
      </c>
      <c r="L117" s="52">
        <f>0</f>
        <v/>
      </c>
      <c r="M117" s="52">
        <f>0</f>
        <v/>
      </c>
      <c r="N117" s="52">
        <f>0</f>
        <v/>
      </c>
      <c r="O117" s="52">
        <f>0</f>
        <v/>
      </c>
      <c r="P117" s="52">
        <f>0</f>
        <v/>
      </c>
      <c r="Q117" s="52">
        <f>0</f>
        <v/>
      </c>
      <c r="R117" s="52">
        <f>0</f>
        <v/>
      </c>
      <c r="S117" s="52">
        <f>0</f>
        <v/>
      </c>
      <c r="T117" s="52">
        <f>0</f>
        <v/>
      </c>
      <c r="U117" s="52">
        <f>0</f>
        <v/>
      </c>
      <c r="V117" s="52">
        <f>0</f>
        <v/>
      </c>
      <c r="W117" s="52">
        <f>0</f>
        <v/>
      </c>
      <c r="X117" s="52">
        <f>0</f>
        <v/>
      </c>
      <c r="Y117" s="52">
        <f>0</f>
        <v/>
      </c>
      <c r="Z117" s="52">
        <f>0</f>
        <v/>
      </c>
      <c r="AA117" s="52">
        <f>0</f>
        <v/>
      </c>
      <c r="AB117" s="52">
        <f>0</f>
        <v/>
      </c>
      <c r="AC117" s="52">
        <f>0</f>
        <v/>
      </c>
      <c r="AD117" s="52">
        <f>0</f>
        <v/>
      </c>
      <c r="AE117" s="52">
        <f>0</f>
        <v/>
      </c>
      <c r="AF117" s="52">
        <f>0</f>
        <v/>
      </c>
      <c r="AG117" s="52">
        <f>0</f>
        <v/>
      </c>
      <c r="AH117" s="52">
        <f>0</f>
        <v/>
      </c>
      <c r="AI117" s="52">
        <f>0</f>
        <v/>
      </c>
      <c r="AJ117" s="52">
        <f>0</f>
        <v/>
      </c>
      <c r="AK117" s="52">
        <f>0</f>
        <v/>
      </c>
      <c r="AL117" s="52">
        <f>0</f>
        <v/>
      </c>
      <c r="AM117" s="52">
        <f>0</f>
        <v/>
      </c>
      <c r="AN117" s="52">
        <f>0</f>
        <v/>
      </c>
      <c r="AO117" s="52">
        <f>0</f>
        <v/>
      </c>
      <c r="AP117" s="52">
        <f>0</f>
        <v/>
      </c>
      <c r="AQ117" s="52">
        <f>0</f>
        <v/>
      </c>
      <c r="AR117" s="52">
        <f>0</f>
        <v/>
      </c>
      <c r="AS117" s="52">
        <f>0</f>
        <v/>
      </c>
      <c r="AT117" s="52">
        <f>0</f>
        <v/>
      </c>
      <c r="AU117" s="52">
        <f>0</f>
        <v/>
      </c>
      <c r="AV117" s="52">
        <f>0</f>
        <v/>
      </c>
      <c r="AW117" s="52">
        <f>0</f>
        <v/>
      </c>
      <c r="AX117" s="52">
        <f>0</f>
        <v/>
      </c>
      <c r="AY117" s="52">
        <f>0</f>
        <v/>
      </c>
      <c r="AZ117" s="52">
        <f>0</f>
        <v/>
      </c>
      <c r="BA117" s="52">
        <f>0</f>
        <v/>
      </c>
      <c r="BB117" s="52">
        <f>0</f>
        <v/>
      </c>
      <c r="BC117" s="52">
        <f>0</f>
        <v/>
      </c>
      <c r="BD117" s="52">
        <f>0</f>
        <v/>
      </c>
      <c r="BE117" s="52">
        <f>0</f>
        <v/>
      </c>
      <c r="BF117" s="52">
        <f>0</f>
        <v/>
      </c>
      <c r="BG117" s="52">
        <f>0</f>
        <v/>
      </c>
      <c r="BH117" s="52">
        <f>0</f>
        <v/>
      </c>
      <c r="BI117" s="52">
        <f>0</f>
        <v/>
      </c>
      <c r="BJ117" s="52">
        <f>0</f>
        <v/>
      </c>
      <c r="BK117" s="52">
        <f>0</f>
        <v/>
      </c>
      <c r="BL117" s="52">
        <f>0</f>
        <v/>
      </c>
      <c r="BM117" s="52">
        <f>0</f>
        <v/>
      </c>
      <c r="BN117" s="52">
        <f>0</f>
        <v/>
      </c>
      <c r="BO117" s="52">
        <f>0</f>
        <v/>
      </c>
      <c r="BP117" s="52">
        <f>0</f>
        <v/>
      </c>
      <c r="BQ117" s="52">
        <f>0</f>
        <v/>
      </c>
      <c r="BR117" s="52">
        <f>0</f>
        <v/>
      </c>
      <c r="BS117" s="52">
        <f>0</f>
        <v/>
      </c>
      <c r="BT117" s="52">
        <f>0</f>
        <v/>
      </c>
      <c r="BU117" s="52">
        <f>0</f>
        <v/>
      </c>
      <c r="BV117" s="52">
        <f>0</f>
        <v/>
      </c>
      <c r="BW117" s="52">
        <f>0</f>
        <v/>
      </c>
      <c r="BX117" s="52">
        <f>0</f>
        <v/>
      </c>
      <c r="BY117" s="52">
        <f>0</f>
        <v/>
      </c>
      <c r="BZ117" s="52">
        <f>0</f>
        <v/>
      </c>
      <c r="CA117" s="52">
        <f>0</f>
        <v/>
      </c>
      <c r="CB117" s="52">
        <f>0</f>
        <v/>
      </c>
      <c r="CC117" s="52">
        <f>0</f>
        <v/>
      </c>
      <c r="CD117" s="52">
        <f>0</f>
        <v/>
      </c>
      <c r="CE117" s="52">
        <f>0</f>
        <v/>
      </c>
      <c r="CF117" s="52">
        <f>0</f>
        <v/>
      </c>
      <c r="CG117" s="52">
        <f>0</f>
        <v/>
      </c>
      <c r="CH117" s="52">
        <f>0</f>
        <v/>
      </c>
      <c r="CI117" s="52">
        <f>0</f>
        <v/>
      </c>
      <c r="CJ117" s="52">
        <f>0</f>
        <v/>
      </c>
      <c r="CK117" s="52">
        <f>0</f>
        <v/>
      </c>
      <c r="CL117" s="52">
        <f>0</f>
        <v/>
      </c>
      <c r="CM117" s="52">
        <f>0</f>
        <v/>
      </c>
      <c r="CN117" s="52">
        <f>0</f>
        <v/>
      </c>
      <c r="CO117" s="52">
        <f>0</f>
        <v/>
      </c>
      <c r="CP117" s="52">
        <f>0</f>
        <v/>
      </c>
      <c r="CQ117" s="52">
        <f>0</f>
        <v/>
      </c>
      <c r="CR117" s="52">
        <f>0</f>
        <v/>
      </c>
      <c r="CS117" s="52">
        <f>0</f>
        <v/>
      </c>
      <c r="CT117" s="52">
        <f>0</f>
        <v/>
      </c>
      <c r="CU117" s="52">
        <f>0</f>
        <v/>
      </c>
      <c r="CV117" s="52">
        <f>0</f>
        <v/>
      </c>
      <c r="CW117" s="52">
        <f>0</f>
        <v/>
      </c>
      <c r="CX117" s="52">
        <f>0</f>
        <v/>
      </c>
      <c r="CY117" s="52">
        <f>0</f>
        <v/>
      </c>
      <c r="CZ117" s="52">
        <f>0</f>
        <v/>
      </c>
      <c r="DA117" s="52">
        <f>0</f>
        <v/>
      </c>
      <c r="DB117" s="52">
        <f>0</f>
        <v/>
      </c>
      <c r="DC117" s="52">
        <f>0</f>
        <v/>
      </c>
      <c r="DD117" s="52">
        <f>0</f>
        <v/>
      </c>
      <c r="DE117" s="52">
        <f>0</f>
        <v/>
      </c>
      <c r="DF117" s="52">
        <f>0</f>
        <v/>
      </c>
      <c r="DG117" s="52">
        <f>0</f>
        <v/>
      </c>
      <c r="DH117" s="52">
        <f>0</f>
        <v/>
      </c>
      <c r="DI117" s="52">
        <f>0</f>
        <v/>
      </c>
      <c r="DJ117" s="52">
        <f>0</f>
        <v/>
      </c>
      <c r="DK117" s="52">
        <f>0</f>
        <v/>
      </c>
      <c r="DL117" s="52">
        <f>0</f>
        <v/>
      </c>
      <c r="DM117" s="52">
        <f>0</f>
        <v/>
      </c>
      <c r="DN117" s="52">
        <f>0</f>
        <v/>
      </c>
      <c r="DO117" s="52">
        <f>0</f>
        <v/>
      </c>
      <c r="DP117" s="52">
        <f>0</f>
        <v/>
      </c>
      <c r="DQ117" s="52">
        <f>0</f>
        <v/>
      </c>
      <c r="DR117" s="52">
        <f>0</f>
        <v/>
      </c>
      <c r="DS117" s="52">
        <f>0</f>
        <v/>
      </c>
      <c r="DT117" s="52">
        <f>0</f>
        <v/>
      </c>
    </row>
    <row r="118">
      <c r="A118" s="10" t="inlineStr">
        <is>
          <t>Loan B: interest ($)</t>
        </is>
      </c>
      <c r="E118" s="52">
        <f>E$116*LoanB_Rate/12*Assumptions!E$74</f>
        <v/>
      </c>
      <c r="F118" s="52">
        <f>F$116*LoanB_Rate/12*Assumptions!F$74</f>
        <v/>
      </c>
      <c r="G118" s="52">
        <f>G$116*LoanB_Rate/12*Assumptions!G$74</f>
        <v/>
      </c>
      <c r="H118" s="52">
        <f>H$116*LoanB_Rate/12*Assumptions!H$74</f>
        <v/>
      </c>
      <c r="I118" s="52">
        <f>I$116*LoanB_Rate/12*Assumptions!I$74</f>
        <v/>
      </c>
      <c r="J118" s="52">
        <f>J$116*LoanB_Rate/12*Assumptions!J$74</f>
        <v/>
      </c>
      <c r="K118" s="52">
        <f>K$116*LoanB_Rate/12*Assumptions!K$74</f>
        <v/>
      </c>
      <c r="L118" s="52">
        <f>L$116*LoanB_Rate/12*Assumptions!L$74</f>
        <v/>
      </c>
      <c r="M118" s="52">
        <f>M$116*LoanB_Rate/12*Assumptions!M$74</f>
        <v/>
      </c>
      <c r="N118" s="52">
        <f>N$116*LoanB_Rate/12*Assumptions!N$74</f>
        <v/>
      </c>
      <c r="O118" s="52">
        <f>O$116*LoanB_Rate/12*Assumptions!O$74</f>
        <v/>
      </c>
      <c r="P118" s="52">
        <f>P$116*LoanB_Rate/12*Assumptions!P$74</f>
        <v/>
      </c>
      <c r="Q118" s="52">
        <f>Q$116*LoanB_Rate/12*Assumptions!Q$74</f>
        <v/>
      </c>
      <c r="R118" s="52">
        <f>R$116*LoanB_Rate/12*Assumptions!R$74</f>
        <v/>
      </c>
      <c r="S118" s="52">
        <f>S$116*LoanB_Rate/12*Assumptions!S$74</f>
        <v/>
      </c>
      <c r="T118" s="52">
        <f>T$116*LoanB_Rate/12*Assumptions!T$74</f>
        <v/>
      </c>
      <c r="U118" s="52">
        <f>U$116*LoanB_Rate/12*Assumptions!U$74</f>
        <v/>
      </c>
      <c r="V118" s="52">
        <f>V$116*LoanB_Rate/12*Assumptions!V$74</f>
        <v/>
      </c>
      <c r="W118" s="52">
        <f>W$116*LoanB_Rate/12*Assumptions!W$74</f>
        <v/>
      </c>
      <c r="X118" s="52">
        <f>X$116*LoanB_Rate/12*Assumptions!X$74</f>
        <v/>
      </c>
      <c r="Y118" s="52">
        <f>Y$116*LoanB_Rate/12*Assumptions!Y$74</f>
        <v/>
      </c>
      <c r="Z118" s="52">
        <f>Z$116*LoanB_Rate/12*Assumptions!Z$74</f>
        <v/>
      </c>
      <c r="AA118" s="52">
        <f>AA$116*LoanB_Rate/12*Assumptions!AA$74</f>
        <v/>
      </c>
      <c r="AB118" s="52">
        <f>AB$116*LoanB_Rate/12*Assumptions!AB$74</f>
        <v/>
      </c>
      <c r="AC118" s="52">
        <f>AC$116*LoanB_Rate/12*Assumptions!AC$74</f>
        <v/>
      </c>
      <c r="AD118" s="52">
        <f>AD$116*LoanB_Rate/12*Assumptions!AD$74</f>
        <v/>
      </c>
      <c r="AE118" s="52">
        <f>AE$116*LoanB_Rate/12*Assumptions!AE$74</f>
        <v/>
      </c>
      <c r="AF118" s="52">
        <f>AF$116*LoanB_Rate/12*Assumptions!AF$74</f>
        <v/>
      </c>
      <c r="AG118" s="52">
        <f>AG$116*LoanB_Rate/12*Assumptions!AG$74</f>
        <v/>
      </c>
      <c r="AH118" s="52">
        <f>AH$116*LoanB_Rate/12*Assumptions!AH$74</f>
        <v/>
      </c>
      <c r="AI118" s="52">
        <f>AI$116*LoanB_Rate/12*Assumptions!AI$74</f>
        <v/>
      </c>
      <c r="AJ118" s="52">
        <f>AJ$116*LoanB_Rate/12*Assumptions!AJ$74</f>
        <v/>
      </c>
      <c r="AK118" s="52">
        <f>AK$116*LoanB_Rate/12*Assumptions!AK$74</f>
        <v/>
      </c>
      <c r="AL118" s="52">
        <f>AL$116*LoanB_Rate/12*Assumptions!AL$74</f>
        <v/>
      </c>
      <c r="AM118" s="52">
        <f>AM$116*LoanB_Rate/12*Assumptions!AM$74</f>
        <v/>
      </c>
      <c r="AN118" s="52">
        <f>AN$116*LoanB_Rate/12*Assumptions!AN$74</f>
        <v/>
      </c>
      <c r="AO118" s="52">
        <f>AO$116*LoanB_Rate/12*Assumptions!AO$74</f>
        <v/>
      </c>
      <c r="AP118" s="52">
        <f>AP$116*LoanB_Rate/12*Assumptions!AP$74</f>
        <v/>
      </c>
      <c r="AQ118" s="52">
        <f>AQ$116*LoanB_Rate/12*Assumptions!AQ$74</f>
        <v/>
      </c>
      <c r="AR118" s="52">
        <f>AR$116*LoanB_Rate/12*Assumptions!AR$74</f>
        <v/>
      </c>
      <c r="AS118" s="52">
        <f>AS$116*LoanB_Rate/12*Assumptions!AS$74</f>
        <v/>
      </c>
      <c r="AT118" s="52">
        <f>AT$116*LoanB_Rate/12*Assumptions!AT$74</f>
        <v/>
      </c>
      <c r="AU118" s="52">
        <f>AU$116*LoanB_Rate/12*Assumptions!AU$74</f>
        <v/>
      </c>
      <c r="AV118" s="52">
        <f>AV$116*LoanB_Rate/12*Assumptions!AV$74</f>
        <v/>
      </c>
      <c r="AW118" s="52">
        <f>AW$116*LoanB_Rate/12*Assumptions!AW$74</f>
        <v/>
      </c>
      <c r="AX118" s="52">
        <f>AX$116*LoanB_Rate/12*Assumptions!AX$74</f>
        <v/>
      </c>
      <c r="AY118" s="52">
        <f>AY$116*LoanB_Rate/12*Assumptions!AY$74</f>
        <v/>
      </c>
      <c r="AZ118" s="52">
        <f>AZ$116*LoanB_Rate/12*Assumptions!AZ$74</f>
        <v/>
      </c>
      <c r="BA118" s="52">
        <f>BA$116*LoanB_Rate/12*Assumptions!BA$74</f>
        <v/>
      </c>
      <c r="BB118" s="52">
        <f>BB$116*LoanB_Rate/12*Assumptions!BB$74</f>
        <v/>
      </c>
      <c r="BC118" s="52">
        <f>BC$116*LoanB_Rate/12*Assumptions!BC$74</f>
        <v/>
      </c>
      <c r="BD118" s="52">
        <f>BD$116*LoanB_Rate/12*Assumptions!BD$74</f>
        <v/>
      </c>
      <c r="BE118" s="52">
        <f>BE$116*LoanB_Rate/12*Assumptions!BE$74</f>
        <v/>
      </c>
      <c r="BF118" s="52">
        <f>BF$116*LoanB_Rate/12*Assumptions!BF$74</f>
        <v/>
      </c>
      <c r="BG118" s="52">
        <f>BG$116*LoanB_Rate/12*Assumptions!BG$74</f>
        <v/>
      </c>
      <c r="BH118" s="52">
        <f>BH$116*LoanB_Rate/12*Assumptions!BH$74</f>
        <v/>
      </c>
      <c r="BI118" s="52">
        <f>BI$116*LoanB_Rate/12*Assumptions!BI$74</f>
        <v/>
      </c>
      <c r="BJ118" s="52">
        <f>BJ$116*LoanB_Rate/12*Assumptions!BJ$74</f>
        <v/>
      </c>
      <c r="BK118" s="52">
        <f>BK$116*LoanB_Rate/12*Assumptions!BK$74</f>
        <v/>
      </c>
      <c r="BL118" s="52">
        <f>BL$116*LoanB_Rate/12*Assumptions!BL$74</f>
        <v/>
      </c>
      <c r="BM118" s="52">
        <f>BM$116*LoanB_Rate/12*Assumptions!BM$74</f>
        <v/>
      </c>
      <c r="BN118" s="52">
        <f>BN$116*LoanB_Rate/12*Assumptions!BN$74</f>
        <v/>
      </c>
      <c r="BO118" s="52">
        <f>BO$116*LoanB_Rate/12*Assumptions!BO$74</f>
        <v/>
      </c>
      <c r="BP118" s="52">
        <f>BP$116*LoanB_Rate/12*Assumptions!BP$74</f>
        <v/>
      </c>
      <c r="BQ118" s="52">
        <f>BQ$116*LoanB_Rate/12*Assumptions!BQ$74</f>
        <v/>
      </c>
      <c r="BR118" s="52">
        <f>BR$116*LoanB_Rate/12*Assumptions!BR$74</f>
        <v/>
      </c>
      <c r="BS118" s="52">
        <f>BS$116*LoanB_Rate/12*Assumptions!BS$74</f>
        <v/>
      </c>
      <c r="BT118" s="52">
        <f>BT$116*LoanB_Rate/12*Assumptions!BT$74</f>
        <v/>
      </c>
      <c r="BU118" s="52">
        <f>BU$116*LoanB_Rate/12*Assumptions!BU$74</f>
        <v/>
      </c>
      <c r="BV118" s="52">
        <f>BV$116*LoanB_Rate/12*Assumptions!BV$74</f>
        <v/>
      </c>
      <c r="BW118" s="52">
        <f>BW$116*LoanB_Rate/12*Assumptions!BW$74</f>
        <v/>
      </c>
      <c r="BX118" s="52">
        <f>BX$116*LoanB_Rate/12*Assumptions!BX$74</f>
        <v/>
      </c>
      <c r="BY118" s="52">
        <f>BY$116*LoanB_Rate/12*Assumptions!BY$74</f>
        <v/>
      </c>
      <c r="BZ118" s="52">
        <f>BZ$116*LoanB_Rate/12*Assumptions!BZ$74</f>
        <v/>
      </c>
      <c r="CA118" s="52">
        <f>CA$116*LoanB_Rate/12*Assumptions!CA$74</f>
        <v/>
      </c>
      <c r="CB118" s="52">
        <f>CB$116*LoanB_Rate/12*Assumptions!CB$74</f>
        <v/>
      </c>
      <c r="CC118" s="52">
        <f>CC$116*LoanB_Rate/12*Assumptions!CC$74</f>
        <v/>
      </c>
      <c r="CD118" s="52">
        <f>CD$116*LoanB_Rate/12*Assumptions!CD$74</f>
        <v/>
      </c>
      <c r="CE118" s="52">
        <f>CE$116*LoanB_Rate/12*Assumptions!CE$74</f>
        <v/>
      </c>
      <c r="CF118" s="52">
        <f>CF$116*LoanB_Rate/12*Assumptions!CF$74</f>
        <v/>
      </c>
      <c r="CG118" s="52">
        <f>CG$116*LoanB_Rate/12*Assumptions!CG$74</f>
        <v/>
      </c>
      <c r="CH118" s="52">
        <f>CH$116*LoanB_Rate/12*Assumptions!CH$74</f>
        <v/>
      </c>
      <c r="CI118" s="52">
        <f>CI$116*LoanB_Rate/12*Assumptions!CI$74</f>
        <v/>
      </c>
      <c r="CJ118" s="52">
        <f>CJ$116*LoanB_Rate/12*Assumptions!CJ$74</f>
        <v/>
      </c>
      <c r="CK118" s="52">
        <f>CK$116*LoanB_Rate/12*Assumptions!CK$74</f>
        <v/>
      </c>
      <c r="CL118" s="52">
        <f>CL$116*LoanB_Rate/12*Assumptions!CL$74</f>
        <v/>
      </c>
      <c r="CM118" s="52">
        <f>CM$116*LoanB_Rate/12*Assumptions!CM$74</f>
        <v/>
      </c>
      <c r="CN118" s="52">
        <f>CN$116*LoanB_Rate/12*Assumptions!CN$74</f>
        <v/>
      </c>
      <c r="CO118" s="52">
        <f>CO$116*LoanB_Rate/12*Assumptions!CO$74</f>
        <v/>
      </c>
      <c r="CP118" s="52">
        <f>CP$116*LoanB_Rate/12*Assumptions!CP$74</f>
        <v/>
      </c>
      <c r="CQ118" s="52">
        <f>CQ$116*LoanB_Rate/12*Assumptions!CQ$74</f>
        <v/>
      </c>
      <c r="CR118" s="52">
        <f>CR$116*LoanB_Rate/12*Assumptions!CR$74</f>
        <v/>
      </c>
      <c r="CS118" s="52">
        <f>CS$116*LoanB_Rate/12*Assumptions!CS$74</f>
        <v/>
      </c>
      <c r="CT118" s="52">
        <f>CT$116*LoanB_Rate/12*Assumptions!CT$74</f>
        <v/>
      </c>
      <c r="CU118" s="52">
        <f>CU$116*LoanB_Rate/12*Assumptions!CU$74</f>
        <v/>
      </c>
      <c r="CV118" s="52">
        <f>CV$116*LoanB_Rate/12*Assumptions!CV$74</f>
        <v/>
      </c>
      <c r="CW118" s="52">
        <f>CW$116*LoanB_Rate/12*Assumptions!CW$74</f>
        <v/>
      </c>
      <c r="CX118" s="52">
        <f>CX$116*LoanB_Rate/12*Assumptions!CX$74</f>
        <v/>
      </c>
      <c r="CY118" s="52">
        <f>CY$116*LoanB_Rate/12*Assumptions!CY$74</f>
        <v/>
      </c>
      <c r="CZ118" s="52">
        <f>CZ$116*LoanB_Rate/12*Assumptions!CZ$74</f>
        <v/>
      </c>
      <c r="DA118" s="52">
        <f>DA$116*LoanB_Rate/12*Assumptions!DA$74</f>
        <v/>
      </c>
      <c r="DB118" s="52">
        <f>DB$116*LoanB_Rate/12*Assumptions!DB$74</f>
        <v/>
      </c>
      <c r="DC118" s="52">
        <f>DC$116*LoanB_Rate/12*Assumptions!DC$74</f>
        <v/>
      </c>
      <c r="DD118" s="52">
        <f>DD$116*LoanB_Rate/12*Assumptions!DD$74</f>
        <v/>
      </c>
      <c r="DE118" s="52">
        <f>DE$116*LoanB_Rate/12*Assumptions!DE$74</f>
        <v/>
      </c>
      <c r="DF118" s="52">
        <f>DF$116*LoanB_Rate/12*Assumptions!DF$74</f>
        <v/>
      </c>
      <c r="DG118" s="52">
        <f>DG$116*LoanB_Rate/12*Assumptions!DG$74</f>
        <v/>
      </c>
      <c r="DH118" s="52">
        <f>DH$116*LoanB_Rate/12*Assumptions!DH$74</f>
        <v/>
      </c>
      <c r="DI118" s="52">
        <f>DI$116*LoanB_Rate/12*Assumptions!DI$74</f>
        <v/>
      </c>
      <c r="DJ118" s="52">
        <f>DJ$116*LoanB_Rate/12*Assumptions!DJ$74</f>
        <v/>
      </c>
      <c r="DK118" s="52">
        <f>DK$116*LoanB_Rate/12*Assumptions!DK$74</f>
        <v/>
      </c>
      <c r="DL118" s="52">
        <f>DL$116*LoanB_Rate/12*Assumptions!DL$74</f>
        <v/>
      </c>
      <c r="DM118" s="52">
        <f>DM$116*LoanB_Rate/12*Assumptions!DM$74</f>
        <v/>
      </c>
      <c r="DN118" s="52">
        <f>DN$116*LoanB_Rate/12*Assumptions!DN$74</f>
        <v/>
      </c>
      <c r="DO118" s="52">
        <f>DO$116*LoanB_Rate/12*Assumptions!DO$74</f>
        <v/>
      </c>
      <c r="DP118" s="52">
        <f>DP$116*LoanB_Rate/12*Assumptions!DP$74</f>
        <v/>
      </c>
      <c r="DQ118" s="52">
        <f>DQ$116*LoanB_Rate/12*Assumptions!DQ$74</f>
        <v/>
      </c>
      <c r="DR118" s="52">
        <f>DR$116*LoanB_Rate/12*Assumptions!DR$74</f>
        <v/>
      </c>
      <c r="DS118" s="52">
        <f>DS$116*LoanB_Rate/12*Assumptions!DS$74</f>
        <v/>
      </c>
      <c r="DT118" s="52">
        <f>DT$116*LoanB_Rate/12*Assumptions!DT$74</f>
        <v/>
      </c>
    </row>
    <row r="119">
      <c r="A119" s="10" t="inlineStr">
        <is>
          <t>Loan B: principal ($)</t>
        </is>
      </c>
      <c r="E119" s="52">
        <f>IF(AND(Assumptions!E$74=1,Assumptions!E$72&gt;LoanB_IO,E$116&gt;0),MIN(E$116,PMT(LoanB_Rate/12,LoanB_Amort*12-LoanB_IO,-E$116)-E$118),0)</f>
        <v/>
      </c>
      <c r="F119" s="52">
        <f>IF(AND(Assumptions!F$74=1,Assumptions!F$72&gt;LoanB_IO,F$116&gt;0),MIN(F$116,PMT(LoanB_Rate/12,LoanB_Amort*12-LoanB_IO,-F$116)-F$118),0)</f>
        <v/>
      </c>
      <c r="G119" s="52">
        <f>IF(AND(Assumptions!G$74=1,Assumptions!G$72&gt;LoanB_IO,G$116&gt;0),MIN(G$116,PMT(LoanB_Rate/12,LoanB_Amort*12-LoanB_IO,-G$116)-G$118),0)</f>
        <v/>
      </c>
      <c r="H119" s="52">
        <f>IF(AND(Assumptions!H$74=1,Assumptions!H$72&gt;LoanB_IO,H$116&gt;0),MIN(H$116,PMT(LoanB_Rate/12,LoanB_Amort*12-LoanB_IO,-H$116)-H$118),0)</f>
        <v/>
      </c>
      <c r="I119" s="52">
        <f>IF(AND(Assumptions!I$74=1,Assumptions!I$72&gt;LoanB_IO,I$116&gt;0),MIN(I$116,PMT(LoanB_Rate/12,LoanB_Amort*12-LoanB_IO,-I$116)-I$118),0)</f>
        <v/>
      </c>
      <c r="J119" s="52">
        <f>IF(AND(Assumptions!J$74=1,Assumptions!J$72&gt;LoanB_IO,J$116&gt;0),MIN(J$116,PMT(LoanB_Rate/12,LoanB_Amort*12-LoanB_IO,-J$116)-J$118),0)</f>
        <v/>
      </c>
      <c r="K119" s="52">
        <f>IF(AND(Assumptions!K$74=1,Assumptions!K$72&gt;LoanB_IO,K$116&gt;0),MIN(K$116,PMT(LoanB_Rate/12,LoanB_Amort*12-LoanB_IO,-K$116)-K$118),0)</f>
        <v/>
      </c>
      <c r="L119" s="52">
        <f>IF(AND(Assumptions!L$74=1,Assumptions!L$72&gt;LoanB_IO,L$116&gt;0),MIN(L$116,PMT(LoanB_Rate/12,LoanB_Amort*12-LoanB_IO,-L$116)-L$118),0)</f>
        <v/>
      </c>
      <c r="M119" s="52">
        <f>IF(AND(Assumptions!M$74=1,Assumptions!M$72&gt;LoanB_IO,M$116&gt;0),MIN(M$116,PMT(LoanB_Rate/12,LoanB_Amort*12-LoanB_IO,-M$116)-M$118),0)</f>
        <v/>
      </c>
      <c r="N119" s="52">
        <f>IF(AND(Assumptions!N$74=1,Assumptions!N$72&gt;LoanB_IO,N$116&gt;0),MIN(N$116,PMT(LoanB_Rate/12,LoanB_Amort*12-LoanB_IO,-N$116)-N$118),0)</f>
        <v/>
      </c>
      <c r="O119" s="52">
        <f>IF(AND(Assumptions!O$74=1,Assumptions!O$72&gt;LoanB_IO,O$116&gt;0),MIN(O$116,PMT(LoanB_Rate/12,LoanB_Amort*12-LoanB_IO,-O$116)-O$118),0)</f>
        <v/>
      </c>
      <c r="P119" s="52">
        <f>IF(AND(Assumptions!P$74=1,Assumptions!P$72&gt;LoanB_IO,P$116&gt;0),MIN(P$116,PMT(LoanB_Rate/12,LoanB_Amort*12-LoanB_IO,-P$116)-P$118),0)</f>
        <v/>
      </c>
      <c r="Q119" s="52">
        <f>IF(AND(Assumptions!Q$74=1,Assumptions!Q$72&gt;LoanB_IO,Q$116&gt;0),MIN(Q$116,PMT(LoanB_Rate/12,LoanB_Amort*12-LoanB_IO,-Q$116)-Q$118),0)</f>
        <v/>
      </c>
      <c r="R119" s="52">
        <f>IF(AND(Assumptions!R$74=1,Assumptions!R$72&gt;LoanB_IO,R$116&gt;0),MIN(R$116,PMT(LoanB_Rate/12,LoanB_Amort*12-LoanB_IO,-R$116)-R$118),0)</f>
        <v/>
      </c>
      <c r="S119" s="52">
        <f>IF(AND(Assumptions!S$74=1,Assumptions!S$72&gt;LoanB_IO,S$116&gt;0),MIN(S$116,PMT(LoanB_Rate/12,LoanB_Amort*12-LoanB_IO,-S$116)-S$118),0)</f>
        <v/>
      </c>
      <c r="T119" s="52">
        <f>IF(AND(Assumptions!T$74=1,Assumptions!T$72&gt;LoanB_IO,T$116&gt;0),MIN(T$116,PMT(LoanB_Rate/12,LoanB_Amort*12-LoanB_IO,-T$116)-T$118),0)</f>
        <v/>
      </c>
      <c r="U119" s="52">
        <f>IF(AND(Assumptions!U$74=1,Assumptions!U$72&gt;LoanB_IO,U$116&gt;0),MIN(U$116,PMT(LoanB_Rate/12,LoanB_Amort*12-LoanB_IO,-U$116)-U$118),0)</f>
        <v/>
      </c>
      <c r="V119" s="52">
        <f>IF(AND(Assumptions!V$74=1,Assumptions!V$72&gt;LoanB_IO,V$116&gt;0),MIN(V$116,PMT(LoanB_Rate/12,LoanB_Amort*12-LoanB_IO,-V$116)-V$118),0)</f>
        <v/>
      </c>
      <c r="W119" s="52">
        <f>IF(AND(Assumptions!W$74=1,Assumptions!W$72&gt;LoanB_IO,W$116&gt;0),MIN(W$116,PMT(LoanB_Rate/12,LoanB_Amort*12-LoanB_IO,-W$116)-W$118),0)</f>
        <v/>
      </c>
      <c r="X119" s="52">
        <f>IF(AND(Assumptions!X$74=1,Assumptions!X$72&gt;LoanB_IO,X$116&gt;0),MIN(X$116,PMT(LoanB_Rate/12,LoanB_Amort*12-LoanB_IO,-X$116)-X$118),0)</f>
        <v/>
      </c>
      <c r="Y119" s="52">
        <f>IF(AND(Assumptions!Y$74=1,Assumptions!Y$72&gt;LoanB_IO,Y$116&gt;0),MIN(Y$116,PMT(LoanB_Rate/12,LoanB_Amort*12-LoanB_IO,-Y$116)-Y$118),0)</f>
        <v/>
      </c>
      <c r="Z119" s="52">
        <f>IF(AND(Assumptions!Z$74=1,Assumptions!Z$72&gt;LoanB_IO,Z$116&gt;0),MIN(Z$116,PMT(LoanB_Rate/12,LoanB_Amort*12-LoanB_IO,-Z$116)-Z$118),0)</f>
        <v/>
      </c>
      <c r="AA119" s="52">
        <f>IF(AND(Assumptions!AA$74=1,Assumptions!AA$72&gt;LoanB_IO,AA$116&gt;0),MIN(AA$116,PMT(LoanB_Rate/12,LoanB_Amort*12-LoanB_IO,-AA$116)-AA$118),0)</f>
        <v/>
      </c>
      <c r="AB119" s="52">
        <f>IF(AND(Assumptions!AB$74=1,Assumptions!AB$72&gt;LoanB_IO,AB$116&gt;0),MIN(AB$116,PMT(LoanB_Rate/12,LoanB_Amort*12-LoanB_IO,-AB$116)-AB$118),0)</f>
        <v/>
      </c>
      <c r="AC119" s="52">
        <f>IF(AND(Assumptions!AC$74=1,Assumptions!AC$72&gt;LoanB_IO,AC$116&gt;0),MIN(AC$116,PMT(LoanB_Rate/12,LoanB_Amort*12-LoanB_IO,-AC$116)-AC$118),0)</f>
        <v/>
      </c>
      <c r="AD119" s="52">
        <f>IF(AND(Assumptions!AD$74=1,Assumptions!AD$72&gt;LoanB_IO,AD$116&gt;0),MIN(AD$116,PMT(LoanB_Rate/12,LoanB_Amort*12-LoanB_IO,-AD$116)-AD$118),0)</f>
        <v/>
      </c>
      <c r="AE119" s="52">
        <f>IF(AND(Assumptions!AE$74=1,Assumptions!AE$72&gt;LoanB_IO,AE$116&gt;0),MIN(AE$116,PMT(LoanB_Rate/12,LoanB_Amort*12-LoanB_IO,-AE$116)-AE$118),0)</f>
        <v/>
      </c>
      <c r="AF119" s="52">
        <f>IF(AND(Assumptions!AF$74=1,Assumptions!AF$72&gt;LoanB_IO,AF$116&gt;0),MIN(AF$116,PMT(LoanB_Rate/12,LoanB_Amort*12-LoanB_IO,-AF$116)-AF$118),0)</f>
        <v/>
      </c>
      <c r="AG119" s="52">
        <f>IF(AND(Assumptions!AG$74=1,Assumptions!AG$72&gt;LoanB_IO,AG$116&gt;0),MIN(AG$116,PMT(LoanB_Rate/12,LoanB_Amort*12-LoanB_IO,-AG$116)-AG$118),0)</f>
        <v/>
      </c>
      <c r="AH119" s="52">
        <f>IF(AND(Assumptions!AH$74=1,Assumptions!AH$72&gt;LoanB_IO,AH$116&gt;0),MIN(AH$116,PMT(LoanB_Rate/12,LoanB_Amort*12-LoanB_IO,-AH$116)-AH$118),0)</f>
        <v/>
      </c>
      <c r="AI119" s="52">
        <f>IF(AND(Assumptions!AI$74=1,Assumptions!AI$72&gt;LoanB_IO,AI$116&gt;0),MIN(AI$116,PMT(LoanB_Rate/12,LoanB_Amort*12-LoanB_IO,-AI$116)-AI$118),0)</f>
        <v/>
      </c>
      <c r="AJ119" s="52">
        <f>IF(AND(Assumptions!AJ$74=1,Assumptions!AJ$72&gt;LoanB_IO,AJ$116&gt;0),MIN(AJ$116,PMT(LoanB_Rate/12,LoanB_Amort*12-LoanB_IO,-AJ$116)-AJ$118),0)</f>
        <v/>
      </c>
      <c r="AK119" s="52">
        <f>IF(AND(Assumptions!AK$74=1,Assumptions!AK$72&gt;LoanB_IO,AK$116&gt;0),MIN(AK$116,PMT(LoanB_Rate/12,LoanB_Amort*12-LoanB_IO,-AK$116)-AK$118),0)</f>
        <v/>
      </c>
      <c r="AL119" s="52">
        <f>IF(AND(Assumptions!AL$74=1,Assumptions!AL$72&gt;LoanB_IO,AL$116&gt;0),MIN(AL$116,PMT(LoanB_Rate/12,LoanB_Amort*12-LoanB_IO,-AL$116)-AL$118),0)</f>
        <v/>
      </c>
      <c r="AM119" s="52">
        <f>IF(AND(Assumptions!AM$74=1,Assumptions!AM$72&gt;LoanB_IO,AM$116&gt;0),MIN(AM$116,PMT(LoanB_Rate/12,LoanB_Amort*12-LoanB_IO,-AM$116)-AM$118),0)</f>
        <v/>
      </c>
      <c r="AN119" s="52">
        <f>IF(AND(Assumptions!AN$74=1,Assumptions!AN$72&gt;LoanB_IO,AN$116&gt;0),MIN(AN$116,PMT(LoanB_Rate/12,LoanB_Amort*12-LoanB_IO,-AN$116)-AN$118),0)</f>
        <v/>
      </c>
      <c r="AO119" s="52">
        <f>IF(AND(Assumptions!AO$74=1,Assumptions!AO$72&gt;LoanB_IO,AO$116&gt;0),MIN(AO$116,PMT(LoanB_Rate/12,LoanB_Amort*12-LoanB_IO,-AO$116)-AO$118),0)</f>
        <v/>
      </c>
      <c r="AP119" s="52">
        <f>IF(AND(Assumptions!AP$74=1,Assumptions!AP$72&gt;LoanB_IO,AP$116&gt;0),MIN(AP$116,PMT(LoanB_Rate/12,LoanB_Amort*12-LoanB_IO,-AP$116)-AP$118),0)</f>
        <v/>
      </c>
      <c r="AQ119" s="52">
        <f>IF(AND(Assumptions!AQ$74=1,Assumptions!AQ$72&gt;LoanB_IO,AQ$116&gt;0),MIN(AQ$116,PMT(LoanB_Rate/12,LoanB_Amort*12-LoanB_IO,-AQ$116)-AQ$118),0)</f>
        <v/>
      </c>
      <c r="AR119" s="52">
        <f>IF(AND(Assumptions!AR$74=1,Assumptions!AR$72&gt;LoanB_IO,AR$116&gt;0),MIN(AR$116,PMT(LoanB_Rate/12,LoanB_Amort*12-LoanB_IO,-AR$116)-AR$118),0)</f>
        <v/>
      </c>
      <c r="AS119" s="52">
        <f>IF(AND(Assumptions!AS$74=1,Assumptions!AS$72&gt;LoanB_IO,AS$116&gt;0),MIN(AS$116,PMT(LoanB_Rate/12,LoanB_Amort*12-LoanB_IO,-AS$116)-AS$118),0)</f>
        <v/>
      </c>
      <c r="AT119" s="52">
        <f>IF(AND(Assumptions!AT$74=1,Assumptions!AT$72&gt;LoanB_IO,AT$116&gt;0),MIN(AT$116,PMT(LoanB_Rate/12,LoanB_Amort*12-LoanB_IO,-AT$116)-AT$118),0)</f>
        <v/>
      </c>
      <c r="AU119" s="52">
        <f>IF(AND(Assumptions!AU$74=1,Assumptions!AU$72&gt;LoanB_IO,AU$116&gt;0),MIN(AU$116,PMT(LoanB_Rate/12,LoanB_Amort*12-LoanB_IO,-AU$116)-AU$118),0)</f>
        <v/>
      </c>
      <c r="AV119" s="52">
        <f>IF(AND(Assumptions!AV$74=1,Assumptions!AV$72&gt;LoanB_IO,AV$116&gt;0),MIN(AV$116,PMT(LoanB_Rate/12,LoanB_Amort*12-LoanB_IO,-AV$116)-AV$118),0)</f>
        <v/>
      </c>
      <c r="AW119" s="52">
        <f>IF(AND(Assumptions!AW$74=1,Assumptions!AW$72&gt;LoanB_IO,AW$116&gt;0),MIN(AW$116,PMT(LoanB_Rate/12,LoanB_Amort*12-LoanB_IO,-AW$116)-AW$118),0)</f>
        <v/>
      </c>
      <c r="AX119" s="52">
        <f>IF(AND(Assumptions!AX$74=1,Assumptions!AX$72&gt;LoanB_IO,AX$116&gt;0),MIN(AX$116,PMT(LoanB_Rate/12,LoanB_Amort*12-LoanB_IO,-AX$116)-AX$118),0)</f>
        <v/>
      </c>
      <c r="AY119" s="52">
        <f>IF(AND(Assumptions!AY$74=1,Assumptions!AY$72&gt;LoanB_IO,AY$116&gt;0),MIN(AY$116,PMT(LoanB_Rate/12,LoanB_Amort*12-LoanB_IO,-AY$116)-AY$118),0)</f>
        <v/>
      </c>
      <c r="AZ119" s="52">
        <f>IF(AND(Assumptions!AZ$74=1,Assumptions!AZ$72&gt;LoanB_IO,AZ$116&gt;0),MIN(AZ$116,PMT(LoanB_Rate/12,LoanB_Amort*12-LoanB_IO,-AZ$116)-AZ$118),0)</f>
        <v/>
      </c>
      <c r="BA119" s="52">
        <f>IF(AND(Assumptions!BA$74=1,Assumptions!BA$72&gt;LoanB_IO,BA$116&gt;0),MIN(BA$116,PMT(LoanB_Rate/12,LoanB_Amort*12-LoanB_IO,-BA$116)-BA$118),0)</f>
        <v/>
      </c>
      <c r="BB119" s="52">
        <f>IF(AND(Assumptions!BB$74=1,Assumptions!BB$72&gt;LoanB_IO,BB$116&gt;0),MIN(BB$116,PMT(LoanB_Rate/12,LoanB_Amort*12-LoanB_IO,-BB$116)-BB$118),0)</f>
        <v/>
      </c>
      <c r="BC119" s="52">
        <f>IF(AND(Assumptions!BC$74=1,Assumptions!BC$72&gt;LoanB_IO,BC$116&gt;0),MIN(BC$116,PMT(LoanB_Rate/12,LoanB_Amort*12-LoanB_IO,-BC$116)-BC$118),0)</f>
        <v/>
      </c>
      <c r="BD119" s="52">
        <f>IF(AND(Assumptions!BD$74=1,Assumptions!BD$72&gt;LoanB_IO,BD$116&gt;0),MIN(BD$116,PMT(LoanB_Rate/12,LoanB_Amort*12-LoanB_IO,-BD$116)-BD$118),0)</f>
        <v/>
      </c>
      <c r="BE119" s="52">
        <f>IF(AND(Assumptions!BE$74=1,Assumptions!BE$72&gt;LoanB_IO,BE$116&gt;0),MIN(BE$116,PMT(LoanB_Rate/12,LoanB_Amort*12-LoanB_IO,-BE$116)-BE$118),0)</f>
        <v/>
      </c>
      <c r="BF119" s="52">
        <f>IF(AND(Assumptions!BF$74=1,Assumptions!BF$72&gt;LoanB_IO,BF$116&gt;0),MIN(BF$116,PMT(LoanB_Rate/12,LoanB_Amort*12-LoanB_IO,-BF$116)-BF$118),0)</f>
        <v/>
      </c>
      <c r="BG119" s="52">
        <f>IF(AND(Assumptions!BG$74=1,Assumptions!BG$72&gt;LoanB_IO,BG$116&gt;0),MIN(BG$116,PMT(LoanB_Rate/12,LoanB_Amort*12-LoanB_IO,-BG$116)-BG$118),0)</f>
        <v/>
      </c>
      <c r="BH119" s="52">
        <f>IF(AND(Assumptions!BH$74=1,Assumptions!BH$72&gt;LoanB_IO,BH$116&gt;0),MIN(BH$116,PMT(LoanB_Rate/12,LoanB_Amort*12-LoanB_IO,-BH$116)-BH$118),0)</f>
        <v/>
      </c>
      <c r="BI119" s="52">
        <f>IF(AND(Assumptions!BI$74=1,Assumptions!BI$72&gt;LoanB_IO,BI$116&gt;0),MIN(BI$116,PMT(LoanB_Rate/12,LoanB_Amort*12-LoanB_IO,-BI$116)-BI$118),0)</f>
        <v/>
      </c>
      <c r="BJ119" s="52">
        <f>IF(AND(Assumptions!BJ$74=1,Assumptions!BJ$72&gt;LoanB_IO,BJ$116&gt;0),MIN(BJ$116,PMT(LoanB_Rate/12,LoanB_Amort*12-LoanB_IO,-BJ$116)-BJ$118),0)</f>
        <v/>
      </c>
      <c r="BK119" s="52">
        <f>IF(AND(Assumptions!BK$74=1,Assumptions!BK$72&gt;LoanB_IO,BK$116&gt;0),MIN(BK$116,PMT(LoanB_Rate/12,LoanB_Amort*12-LoanB_IO,-BK$116)-BK$118),0)</f>
        <v/>
      </c>
      <c r="BL119" s="52">
        <f>IF(AND(Assumptions!BL$74=1,Assumptions!BL$72&gt;LoanB_IO,BL$116&gt;0),MIN(BL$116,PMT(LoanB_Rate/12,LoanB_Amort*12-LoanB_IO,-BL$116)-BL$118),0)</f>
        <v/>
      </c>
      <c r="BM119" s="52">
        <f>IF(AND(Assumptions!BM$74=1,Assumptions!BM$72&gt;LoanB_IO,BM$116&gt;0),MIN(BM$116,PMT(LoanB_Rate/12,LoanB_Amort*12-LoanB_IO,-BM$116)-BM$118),0)</f>
        <v/>
      </c>
      <c r="BN119" s="52">
        <f>IF(AND(Assumptions!BN$74=1,Assumptions!BN$72&gt;LoanB_IO,BN$116&gt;0),MIN(BN$116,PMT(LoanB_Rate/12,LoanB_Amort*12-LoanB_IO,-BN$116)-BN$118),0)</f>
        <v/>
      </c>
      <c r="BO119" s="52">
        <f>IF(AND(Assumptions!BO$74=1,Assumptions!BO$72&gt;LoanB_IO,BO$116&gt;0),MIN(BO$116,PMT(LoanB_Rate/12,LoanB_Amort*12-LoanB_IO,-BO$116)-BO$118),0)</f>
        <v/>
      </c>
      <c r="BP119" s="52">
        <f>IF(AND(Assumptions!BP$74=1,Assumptions!BP$72&gt;LoanB_IO,BP$116&gt;0),MIN(BP$116,PMT(LoanB_Rate/12,LoanB_Amort*12-LoanB_IO,-BP$116)-BP$118),0)</f>
        <v/>
      </c>
      <c r="BQ119" s="52">
        <f>IF(AND(Assumptions!BQ$74=1,Assumptions!BQ$72&gt;LoanB_IO,BQ$116&gt;0),MIN(BQ$116,PMT(LoanB_Rate/12,LoanB_Amort*12-LoanB_IO,-BQ$116)-BQ$118),0)</f>
        <v/>
      </c>
      <c r="BR119" s="52">
        <f>IF(AND(Assumptions!BR$74=1,Assumptions!BR$72&gt;LoanB_IO,BR$116&gt;0),MIN(BR$116,PMT(LoanB_Rate/12,LoanB_Amort*12-LoanB_IO,-BR$116)-BR$118),0)</f>
        <v/>
      </c>
      <c r="BS119" s="52">
        <f>IF(AND(Assumptions!BS$74=1,Assumptions!BS$72&gt;LoanB_IO,BS$116&gt;0),MIN(BS$116,PMT(LoanB_Rate/12,LoanB_Amort*12-LoanB_IO,-BS$116)-BS$118),0)</f>
        <v/>
      </c>
      <c r="BT119" s="52">
        <f>IF(AND(Assumptions!BT$74=1,Assumptions!BT$72&gt;LoanB_IO,BT$116&gt;0),MIN(BT$116,PMT(LoanB_Rate/12,LoanB_Amort*12-LoanB_IO,-BT$116)-BT$118),0)</f>
        <v/>
      </c>
      <c r="BU119" s="52">
        <f>IF(AND(Assumptions!BU$74=1,Assumptions!BU$72&gt;LoanB_IO,BU$116&gt;0),MIN(BU$116,PMT(LoanB_Rate/12,LoanB_Amort*12-LoanB_IO,-BU$116)-BU$118),0)</f>
        <v/>
      </c>
      <c r="BV119" s="52">
        <f>IF(AND(Assumptions!BV$74=1,Assumptions!BV$72&gt;LoanB_IO,BV$116&gt;0),MIN(BV$116,PMT(LoanB_Rate/12,LoanB_Amort*12-LoanB_IO,-BV$116)-BV$118),0)</f>
        <v/>
      </c>
      <c r="BW119" s="52">
        <f>IF(AND(Assumptions!BW$74=1,Assumptions!BW$72&gt;LoanB_IO,BW$116&gt;0),MIN(BW$116,PMT(LoanB_Rate/12,LoanB_Amort*12-LoanB_IO,-BW$116)-BW$118),0)</f>
        <v/>
      </c>
      <c r="BX119" s="52">
        <f>IF(AND(Assumptions!BX$74=1,Assumptions!BX$72&gt;LoanB_IO,BX$116&gt;0),MIN(BX$116,PMT(LoanB_Rate/12,LoanB_Amort*12-LoanB_IO,-BX$116)-BX$118),0)</f>
        <v/>
      </c>
      <c r="BY119" s="52">
        <f>IF(AND(Assumptions!BY$74=1,Assumptions!BY$72&gt;LoanB_IO,BY$116&gt;0),MIN(BY$116,PMT(LoanB_Rate/12,LoanB_Amort*12-LoanB_IO,-BY$116)-BY$118),0)</f>
        <v/>
      </c>
      <c r="BZ119" s="52">
        <f>IF(AND(Assumptions!BZ$74=1,Assumptions!BZ$72&gt;LoanB_IO,BZ$116&gt;0),MIN(BZ$116,PMT(LoanB_Rate/12,LoanB_Amort*12-LoanB_IO,-BZ$116)-BZ$118),0)</f>
        <v/>
      </c>
      <c r="CA119" s="52">
        <f>IF(AND(Assumptions!CA$74=1,Assumptions!CA$72&gt;LoanB_IO,CA$116&gt;0),MIN(CA$116,PMT(LoanB_Rate/12,LoanB_Amort*12-LoanB_IO,-CA$116)-CA$118),0)</f>
        <v/>
      </c>
      <c r="CB119" s="52">
        <f>IF(AND(Assumptions!CB$74=1,Assumptions!CB$72&gt;LoanB_IO,CB$116&gt;0),MIN(CB$116,PMT(LoanB_Rate/12,LoanB_Amort*12-LoanB_IO,-CB$116)-CB$118),0)</f>
        <v/>
      </c>
      <c r="CC119" s="52">
        <f>IF(AND(Assumptions!CC$74=1,Assumptions!CC$72&gt;LoanB_IO,CC$116&gt;0),MIN(CC$116,PMT(LoanB_Rate/12,LoanB_Amort*12-LoanB_IO,-CC$116)-CC$118),0)</f>
        <v/>
      </c>
      <c r="CD119" s="52">
        <f>IF(AND(Assumptions!CD$74=1,Assumptions!CD$72&gt;LoanB_IO,CD$116&gt;0),MIN(CD$116,PMT(LoanB_Rate/12,LoanB_Amort*12-LoanB_IO,-CD$116)-CD$118),0)</f>
        <v/>
      </c>
      <c r="CE119" s="52">
        <f>IF(AND(Assumptions!CE$74=1,Assumptions!CE$72&gt;LoanB_IO,CE$116&gt;0),MIN(CE$116,PMT(LoanB_Rate/12,LoanB_Amort*12-LoanB_IO,-CE$116)-CE$118),0)</f>
        <v/>
      </c>
      <c r="CF119" s="52">
        <f>IF(AND(Assumptions!CF$74=1,Assumptions!CF$72&gt;LoanB_IO,CF$116&gt;0),MIN(CF$116,PMT(LoanB_Rate/12,LoanB_Amort*12-LoanB_IO,-CF$116)-CF$118),0)</f>
        <v/>
      </c>
      <c r="CG119" s="52">
        <f>IF(AND(Assumptions!CG$74=1,Assumptions!CG$72&gt;LoanB_IO,CG$116&gt;0),MIN(CG$116,PMT(LoanB_Rate/12,LoanB_Amort*12-LoanB_IO,-CG$116)-CG$118),0)</f>
        <v/>
      </c>
      <c r="CH119" s="52">
        <f>IF(AND(Assumptions!CH$74=1,Assumptions!CH$72&gt;LoanB_IO,CH$116&gt;0),MIN(CH$116,PMT(LoanB_Rate/12,LoanB_Amort*12-LoanB_IO,-CH$116)-CH$118),0)</f>
        <v/>
      </c>
      <c r="CI119" s="52">
        <f>IF(AND(Assumptions!CI$74=1,Assumptions!CI$72&gt;LoanB_IO,CI$116&gt;0),MIN(CI$116,PMT(LoanB_Rate/12,LoanB_Amort*12-LoanB_IO,-CI$116)-CI$118),0)</f>
        <v/>
      </c>
      <c r="CJ119" s="52">
        <f>IF(AND(Assumptions!CJ$74=1,Assumptions!CJ$72&gt;LoanB_IO,CJ$116&gt;0),MIN(CJ$116,PMT(LoanB_Rate/12,LoanB_Amort*12-LoanB_IO,-CJ$116)-CJ$118),0)</f>
        <v/>
      </c>
      <c r="CK119" s="52">
        <f>IF(AND(Assumptions!CK$74=1,Assumptions!CK$72&gt;LoanB_IO,CK$116&gt;0),MIN(CK$116,PMT(LoanB_Rate/12,LoanB_Amort*12-LoanB_IO,-CK$116)-CK$118),0)</f>
        <v/>
      </c>
      <c r="CL119" s="52">
        <f>IF(AND(Assumptions!CL$74=1,Assumptions!CL$72&gt;LoanB_IO,CL$116&gt;0),MIN(CL$116,PMT(LoanB_Rate/12,LoanB_Amort*12-LoanB_IO,-CL$116)-CL$118),0)</f>
        <v/>
      </c>
      <c r="CM119" s="52">
        <f>IF(AND(Assumptions!CM$74=1,Assumptions!CM$72&gt;LoanB_IO,CM$116&gt;0),MIN(CM$116,PMT(LoanB_Rate/12,LoanB_Amort*12-LoanB_IO,-CM$116)-CM$118),0)</f>
        <v/>
      </c>
      <c r="CN119" s="52">
        <f>IF(AND(Assumptions!CN$74=1,Assumptions!CN$72&gt;LoanB_IO,CN$116&gt;0),MIN(CN$116,PMT(LoanB_Rate/12,LoanB_Amort*12-LoanB_IO,-CN$116)-CN$118),0)</f>
        <v/>
      </c>
      <c r="CO119" s="52">
        <f>IF(AND(Assumptions!CO$74=1,Assumptions!CO$72&gt;LoanB_IO,CO$116&gt;0),MIN(CO$116,PMT(LoanB_Rate/12,LoanB_Amort*12-LoanB_IO,-CO$116)-CO$118),0)</f>
        <v/>
      </c>
      <c r="CP119" s="52">
        <f>IF(AND(Assumptions!CP$74=1,Assumptions!CP$72&gt;LoanB_IO,CP$116&gt;0),MIN(CP$116,PMT(LoanB_Rate/12,LoanB_Amort*12-LoanB_IO,-CP$116)-CP$118),0)</f>
        <v/>
      </c>
      <c r="CQ119" s="52">
        <f>IF(AND(Assumptions!CQ$74=1,Assumptions!CQ$72&gt;LoanB_IO,CQ$116&gt;0),MIN(CQ$116,PMT(LoanB_Rate/12,LoanB_Amort*12-LoanB_IO,-CQ$116)-CQ$118),0)</f>
        <v/>
      </c>
      <c r="CR119" s="52">
        <f>IF(AND(Assumptions!CR$74=1,Assumptions!CR$72&gt;LoanB_IO,CR$116&gt;0),MIN(CR$116,PMT(LoanB_Rate/12,LoanB_Amort*12-LoanB_IO,-CR$116)-CR$118),0)</f>
        <v/>
      </c>
      <c r="CS119" s="52">
        <f>IF(AND(Assumptions!CS$74=1,Assumptions!CS$72&gt;LoanB_IO,CS$116&gt;0),MIN(CS$116,PMT(LoanB_Rate/12,LoanB_Amort*12-LoanB_IO,-CS$116)-CS$118),0)</f>
        <v/>
      </c>
      <c r="CT119" s="52">
        <f>IF(AND(Assumptions!CT$74=1,Assumptions!CT$72&gt;LoanB_IO,CT$116&gt;0),MIN(CT$116,PMT(LoanB_Rate/12,LoanB_Amort*12-LoanB_IO,-CT$116)-CT$118),0)</f>
        <v/>
      </c>
      <c r="CU119" s="52">
        <f>IF(AND(Assumptions!CU$74=1,Assumptions!CU$72&gt;LoanB_IO,CU$116&gt;0),MIN(CU$116,PMT(LoanB_Rate/12,LoanB_Amort*12-LoanB_IO,-CU$116)-CU$118),0)</f>
        <v/>
      </c>
      <c r="CV119" s="52">
        <f>IF(AND(Assumptions!CV$74=1,Assumptions!CV$72&gt;LoanB_IO,CV$116&gt;0),MIN(CV$116,PMT(LoanB_Rate/12,LoanB_Amort*12-LoanB_IO,-CV$116)-CV$118),0)</f>
        <v/>
      </c>
      <c r="CW119" s="52">
        <f>IF(AND(Assumptions!CW$74=1,Assumptions!CW$72&gt;LoanB_IO,CW$116&gt;0),MIN(CW$116,PMT(LoanB_Rate/12,LoanB_Amort*12-LoanB_IO,-CW$116)-CW$118),0)</f>
        <v/>
      </c>
      <c r="CX119" s="52">
        <f>IF(AND(Assumptions!CX$74=1,Assumptions!CX$72&gt;LoanB_IO,CX$116&gt;0),MIN(CX$116,PMT(LoanB_Rate/12,LoanB_Amort*12-LoanB_IO,-CX$116)-CX$118),0)</f>
        <v/>
      </c>
      <c r="CY119" s="52">
        <f>IF(AND(Assumptions!CY$74=1,Assumptions!CY$72&gt;LoanB_IO,CY$116&gt;0),MIN(CY$116,PMT(LoanB_Rate/12,LoanB_Amort*12-LoanB_IO,-CY$116)-CY$118),0)</f>
        <v/>
      </c>
      <c r="CZ119" s="52">
        <f>IF(AND(Assumptions!CZ$74=1,Assumptions!CZ$72&gt;LoanB_IO,CZ$116&gt;0),MIN(CZ$116,PMT(LoanB_Rate/12,LoanB_Amort*12-LoanB_IO,-CZ$116)-CZ$118),0)</f>
        <v/>
      </c>
      <c r="DA119" s="52">
        <f>IF(AND(Assumptions!DA$74=1,Assumptions!DA$72&gt;LoanB_IO,DA$116&gt;0),MIN(DA$116,PMT(LoanB_Rate/12,LoanB_Amort*12-LoanB_IO,-DA$116)-DA$118),0)</f>
        <v/>
      </c>
      <c r="DB119" s="52">
        <f>IF(AND(Assumptions!DB$74=1,Assumptions!DB$72&gt;LoanB_IO,DB$116&gt;0),MIN(DB$116,PMT(LoanB_Rate/12,LoanB_Amort*12-LoanB_IO,-DB$116)-DB$118),0)</f>
        <v/>
      </c>
      <c r="DC119" s="52">
        <f>IF(AND(Assumptions!DC$74=1,Assumptions!DC$72&gt;LoanB_IO,DC$116&gt;0),MIN(DC$116,PMT(LoanB_Rate/12,LoanB_Amort*12-LoanB_IO,-DC$116)-DC$118),0)</f>
        <v/>
      </c>
      <c r="DD119" s="52">
        <f>IF(AND(Assumptions!DD$74=1,Assumptions!DD$72&gt;LoanB_IO,DD$116&gt;0),MIN(DD$116,PMT(LoanB_Rate/12,LoanB_Amort*12-LoanB_IO,-DD$116)-DD$118),0)</f>
        <v/>
      </c>
      <c r="DE119" s="52">
        <f>IF(AND(Assumptions!DE$74=1,Assumptions!DE$72&gt;LoanB_IO,DE$116&gt;0),MIN(DE$116,PMT(LoanB_Rate/12,LoanB_Amort*12-LoanB_IO,-DE$116)-DE$118),0)</f>
        <v/>
      </c>
      <c r="DF119" s="52">
        <f>IF(AND(Assumptions!DF$74=1,Assumptions!DF$72&gt;LoanB_IO,DF$116&gt;0),MIN(DF$116,PMT(LoanB_Rate/12,LoanB_Amort*12-LoanB_IO,-DF$116)-DF$118),0)</f>
        <v/>
      </c>
      <c r="DG119" s="52">
        <f>IF(AND(Assumptions!DG$74=1,Assumptions!DG$72&gt;LoanB_IO,DG$116&gt;0),MIN(DG$116,PMT(LoanB_Rate/12,LoanB_Amort*12-LoanB_IO,-DG$116)-DG$118),0)</f>
        <v/>
      </c>
      <c r="DH119" s="52">
        <f>IF(AND(Assumptions!DH$74=1,Assumptions!DH$72&gt;LoanB_IO,DH$116&gt;0),MIN(DH$116,PMT(LoanB_Rate/12,LoanB_Amort*12-LoanB_IO,-DH$116)-DH$118),0)</f>
        <v/>
      </c>
      <c r="DI119" s="52">
        <f>IF(AND(Assumptions!DI$74=1,Assumptions!DI$72&gt;LoanB_IO,DI$116&gt;0),MIN(DI$116,PMT(LoanB_Rate/12,LoanB_Amort*12-LoanB_IO,-DI$116)-DI$118),0)</f>
        <v/>
      </c>
      <c r="DJ119" s="52">
        <f>IF(AND(Assumptions!DJ$74=1,Assumptions!DJ$72&gt;LoanB_IO,DJ$116&gt;0),MIN(DJ$116,PMT(LoanB_Rate/12,LoanB_Amort*12-LoanB_IO,-DJ$116)-DJ$118),0)</f>
        <v/>
      </c>
      <c r="DK119" s="52">
        <f>IF(AND(Assumptions!DK$74=1,Assumptions!DK$72&gt;LoanB_IO,DK$116&gt;0),MIN(DK$116,PMT(LoanB_Rate/12,LoanB_Amort*12-LoanB_IO,-DK$116)-DK$118),0)</f>
        <v/>
      </c>
      <c r="DL119" s="52">
        <f>IF(AND(Assumptions!DL$74=1,Assumptions!DL$72&gt;LoanB_IO,DL$116&gt;0),MIN(DL$116,PMT(LoanB_Rate/12,LoanB_Amort*12-LoanB_IO,-DL$116)-DL$118),0)</f>
        <v/>
      </c>
      <c r="DM119" s="52">
        <f>IF(AND(Assumptions!DM$74=1,Assumptions!DM$72&gt;LoanB_IO,DM$116&gt;0),MIN(DM$116,PMT(LoanB_Rate/12,LoanB_Amort*12-LoanB_IO,-DM$116)-DM$118),0)</f>
        <v/>
      </c>
      <c r="DN119" s="52">
        <f>IF(AND(Assumptions!DN$74=1,Assumptions!DN$72&gt;LoanB_IO,DN$116&gt;0),MIN(DN$116,PMT(LoanB_Rate/12,LoanB_Amort*12-LoanB_IO,-DN$116)-DN$118),0)</f>
        <v/>
      </c>
      <c r="DO119" s="52">
        <f>IF(AND(Assumptions!DO$74=1,Assumptions!DO$72&gt;LoanB_IO,DO$116&gt;0),MIN(DO$116,PMT(LoanB_Rate/12,LoanB_Amort*12-LoanB_IO,-DO$116)-DO$118),0)</f>
        <v/>
      </c>
      <c r="DP119" s="52">
        <f>IF(AND(Assumptions!DP$74=1,Assumptions!DP$72&gt;LoanB_IO,DP$116&gt;0),MIN(DP$116,PMT(LoanB_Rate/12,LoanB_Amort*12-LoanB_IO,-DP$116)-DP$118),0)</f>
        <v/>
      </c>
      <c r="DQ119" s="52">
        <f>IF(AND(Assumptions!DQ$74=1,Assumptions!DQ$72&gt;LoanB_IO,DQ$116&gt;0),MIN(DQ$116,PMT(LoanB_Rate/12,LoanB_Amort*12-LoanB_IO,-DQ$116)-DQ$118),0)</f>
        <v/>
      </c>
      <c r="DR119" s="52">
        <f>IF(AND(Assumptions!DR$74=1,Assumptions!DR$72&gt;LoanB_IO,DR$116&gt;0),MIN(DR$116,PMT(LoanB_Rate/12,LoanB_Amort*12-LoanB_IO,-DR$116)-DR$118),0)</f>
        <v/>
      </c>
      <c r="DS119" s="52">
        <f>IF(AND(Assumptions!DS$74=1,Assumptions!DS$72&gt;LoanB_IO,DS$116&gt;0),MIN(DS$116,PMT(LoanB_Rate/12,LoanB_Amort*12-LoanB_IO,-DS$116)-DS$118),0)</f>
        <v/>
      </c>
      <c r="DT119" s="52">
        <f>IF(AND(Assumptions!DT$74=1,Assumptions!DT$72&gt;LoanB_IO,DT$116&gt;0),MIN(DT$116,PMT(LoanB_Rate/12,LoanB_Amort*12-LoanB_IO,-DT$116)-DT$118),0)</f>
        <v/>
      </c>
    </row>
    <row r="120">
      <c r="A120" s="10" t="inlineStr">
        <is>
          <t>Loan B: debt service ($)</t>
        </is>
      </c>
      <c r="E120" s="52">
        <f>E$118+E$119</f>
        <v/>
      </c>
      <c r="F120" s="52">
        <f>F$118+F$119</f>
        <v/>
      </c>
      <c r="G120" s="52">
        <f>G$118+G$119</f>
        <v/>
      </c>
      <c r="H120" s="52">
        <f>H$118+H$119</f>
        <v/>
      </c>
      <c r="I120" s="52">
        <f>I$118+I$119</f>
        <v/>
      </c>
      <c r="J120" s="52">
        <f>J$118+J$119</f>
        <v/>
      </c>
      <c r="K120" s="52">
        <f>K$118+K$119</f>
        <v/>
      </c>
      <c r="L120" s="52">
        <f>L$118+L$119</f>
        <v/>
      </c>
      <c r="M120" s="52">
        <f>M$118+M$119</f>
        <v/>
      </c>
      <c r="N120" s="52">
        <f>N$118+N$119</f>
        <v/>
      </c>
      <c r="O120" s="52">
        <f>O$118+O$119</f>
        <v/>
      </c>
      <c r="P120" s="52">
        <f>P$118+P$119</f>
        <v/>
      </c>
      <c r="Q120" s="52">
        <f>Q$118+Q$119</f>
        <v/>
      </c>
      <c r="R120" s="52">
        <f>R$118+R$119</f>
        <v/>
      </c>
      <c r="S120" s="52">
        <f>S$118+S$119</f>
        <v/>
      </c>
      <c r="T120" s="52">
        <f>T$118+T$119</f>
        <v/>
      </c>
      <c r="U120" s="52">
        <f>U$118+U$119</f>
        <v/>
      </c>
      <c r="V120" s="52">
        <f>V$118+V$119</f>
        <v/>
      </c>
      <c r="W120" s="52">
        <f>W$118+W$119</f>
        <v/>
      </c>
      <c r="X120" s="52">
        <f>X$118+X$119</f>
        <v/>
      </c>
      <c r="Y120" s="52">
        <f>Y$118+Y$119</f>
        <v/>
      </c>
      <c r="Z120" s="52">
        <f>Z$118+Z$119</f>
        <v/>
      </c>
      <c r="AA120" s="52">
        <f>AA$118+AA$119</f>
        <v/>
      </c>
      <c r="AB120" s="52">
        <f>AB$118+AB$119</f>
        <v/>
      </c>
      <c r="AC120" s="52">
        <f>AC$118+AC$119</f>
        <v/>
      </c>
      <c r="AD120" s="52">
        <f>AD$118+AD$119</f>
        <v/>
      </c>
      <c r="AE120" s="52">
        <f>AE$118+AE$119</f>
        <v/>
      </c>
      <c r="AF120" s="52">
        <f>AF$118+AF$119</f>
        <v/>
      </c>
      <c r="AG120" s="52">
        <f>AG$118+AG$119</f>
        <v/>
      </c>
      <c r="AH120" s="52">
        <f>AH$118+AH$119</f>
        <v/>
      </c>
      <c r="AI120" s="52">
        <f>AI$118+AI$119</f>
        <v/>
      </c>
      <c r="AJ120" s="52">
        <f>AJ$118+AJ$119</f>
        <v/>
      </c>
      <c r="AK120" s="52">
        <f>AK$118+AK$119</f>
        <v/>
      </c>
      <c r="AL120" s="52">
        <f>AL$118+AL$119</f>
        <v/>
      </c>
      <c r="AM120" s="52">
        <f>AM$118+AM$119</f>
        <v/>
      </c>
      <c r="AN120" s="52">
        <f>AN$118+AN$119</f>
        <v/>
      </c>
      <c r="AO120" s="52">
        <f>AO$118+AO$119</f>
        <v/>
      </c>
      <c r="AP120" s="52">
        <f>AP$118+AP$119</f>
        <v/>
      </c>
      <c r="AQ120" s="52">
        <f>AQ$118+AQ$119</f>
        <v/>
      </c>
      <c r="AR120" s="52">
        <f>AR$118+AR$119</f>
        <v/>
      </c>
      <c r="AS120" s="52">
        <f>AS$118+AS$119</f>
        <v/>
      </c>
      <c r="AT120" s="52">
        <f>AT$118+AT$119</f>
        <v/>
      </c>
      <c r="AU120" s="52">
        <f>AU$118+AU$119</f>
        <v/>
      </c>
      <c r="AV120" s="52">
        <f>AV$118+AV$119</f>
        <v/>
      </c>
      <c r="AW120" s="52">
        <f>AW$118+AW$119</f>
        <v/>
      </c>
      <c r="AX120" s="52">
        <f>AX$118+AX$119</f>
        <v/>
      </c>
      <c r="AY120" s="52">
        <f>AY$118+AY$119</f>
        <v/>
      </c>
      <c r="AZ120" s="52">
        <f>AZ$118+AZ$119</f>
        <v/>
      </c>
      <c r="BA120" s="52">
        <f>BA$118+BA$119</f>
        <v/>
      </c>
      <c r="BB120" s="52">
        <f>BB$118+BB$119</f>
        <v/>
      </c>
      <c r="BC120" s="52">
        <f>BC$118+BC$119</f>
        <v/>
      </c>
      <c r="BD120" s="52">
        <f>BD$118+BD$119</f>
        <v/>
      </c>
      <c r="BE120" s="52">
        <f>BE$118+BE$119</f>
        <v/>
      </c>
      <c r="BF120" s="52">
        <f>BF$118+BF$119</f>
        <v/>
      </c>
      <c r="BG120" s="52">
        <f>BG$118+BG$119</f>
        <v/>
      </c>
      <c r="BH120" s="52">
        <f>BH$118+BH$119</f>
        <v/>
      </c>
      <c r="BI120" s="52">
        <f>BI$118+BI$119</f>
        <v/>
      </c>
      <c r="BJ120" s="52">
        <f>BJ$118+BJ$119</f>
        <v/>
      </c>
      <c r="BK120" s="52">
        <f>BK$118+BK$119</f>
        <v/>
      </c>
      <c r="BL120" s="52">
        <f>BL$118+BL$119</f>
        <v/>
      </c>
      <c r="BM120" s="52">
        <f>BM$118+BM$119</f>
        <v/>
      </c>
      <c r="BN120" s="52">
        <f>BN$118+BN$119</f>
        <v/>
      </c>
      <c r="BO120" s="52">
        <f>BO$118+BO$119</f>
        <v/>
      </c>
      <c r="BP120" s="52">
        <f>BP$118+BP$119</f>
        <v/>
      </c>
      <c r="BQ120" s="52">
        <f>BQ$118+BQ$119</f>
        <v/>
      </c>
      <c r="BR120" s="52">
        <f>BR$118+BR$119</f>
        <v/>
      </c>
      <c r="BS120" s="52">
        <f>BS$118+BS$119</f>
        <v/>
      </c>
      <c r="BT120" s="52">
        <f>BT$118+BT$119</f>
        <v/>
      </c>
      <c r="BU120" s="52">
        <f>BU$118+BU$119</f>
        <v/>
      </c>
      <c r="BV120" s="52">
        <f>BV$118+BV$119</f>
        <v/>
      </c>
      <c r="BW120" s="52">
        <f>BW$118+BW$119</f>
        <v/>
      </c>
      <c r="BX120" s="52">
        <f>BX$118+BX$119</f>
        <v/>
      </c>
      <c r="BY120" s="52">
        <f>BY$118+BY$119</f>
        <v/>
      </c>
      <c r="BZ120" s="52">
        <f>BZ$118+BZ$119</f>
        <v/>
      </c>
      <c r="CA120" s="52">
        <f>CA$118+CA$119</f>
        <v/>
      </c>
      <c r="CB120" s="52">
        <f>CB$118+CB$119</f>
        <v/>
      </c>
      <c r="CC120" s="52">
        <f>CC$118+CC$119</f>
        <v/>
      </c>
      <c r="CD120" s="52">
        <f>CD$118+CD$119</f>
        <v/>
      </c>
      <c r="CE120" s="52">
        <f>CE$118+CE$119</f>
        <v/>
      </c>
      <c r="CF120" s="52">
        <f>CF$118+CF$119</f>
        <v/>
      </c>
      <c r="CG120" s="52">
        <f>CG$118+CG$119</f>
        <v/>
      </c>
      <c r="CH120" s="52">
        <f>CH$118+CH$119</f>
        <v/>
      </c>
      <c r="CI120" s="52">
        <f>CI$118+CI$119</f>
        <v/>
      </c>
      <c r="CJ120" s="52">
        <f>CJ$118+CJ$119</f>
        <v/>
      </c>
      <c r="CK120" s="52">
        <f>CK$118+CK$119</f>
        <v/>
      </c>
      <c r="CL120" s="52">
        <f>CL$118+CL$119</f>
        <v/>
      </c>
      <c r="CM120" s="52">
        <f>CM$118+CM$119</f>
        <v/>
      </c>
      <c r="CN120" s="52">
        <f>CN$118+CN$119</f>
        <v/>
      </c>
      <c r="CO120" s="52">
        <f>CO$118+CO$119</f>
        <v/>
      </c>
      <c r="CP120" s="52">
        <f>CP$118+CP$119</f>
        <v/>
      </c>
      <c r="CQ120" s="52">
        <f>CQ$118+CQ$119</f>
        <v/>
      </c>
      <c r="CR120" s="52">
        <f>CR$118+CR$119</f>
        <v/>
      </c>
      <c r="CS120" s="52">
        <f>CS$118+CS$119</f>
        <v/>
      </c>
      <c r="CT120" s="52">
        <f>CT$118+CT$119</f>
        <v/>
      </c>
      <c r="CU120" s="52">
        <f>CU$118+CU$119</f>
        <v/>
      </c>
      <c r="CV120" s="52">
        <f>CV$118+CV$119</f>
        <v/>
      </c>
      <c r="CW120" s="52">
        <f>CW$118+CW$119</f>
        <v/>
      </c>
      <c r="CX120" s="52">
        <f>CX$118+CX$119</f>
        <v/>
      </c>
      <c r="CY120" s="52">
        <f>CY$118+CY$119</f>
        <v/>
      </c>
      <c r="CZ120" s="52">
        <f>CZ$118+CZ$119</f>
        <v/>
      </c>
      <c r="DA120" s="52">
        <f>DA$118+DA$119</f>
        <v/>
      </c>
      <c r="DB120" s="52">
        <f>DB$118+DB$119</f>
        <v/>
      </c>
      <c r="DC120" s="52">
        <f>DC$118+DC$119</f>
        <v/>
      </c>
      <c r="DD120" s="52">
        <f>DD$118+DD$119</f>
        <v/>
      </c>
      <c r="DE120" s="52">
        <f>DE$118+DE$119</f>
        <v/>
      </c>
      <c r="DF120" s="52">
        <f>DF$118+DF$119</f>
        <v/>
      </c>
      <c r="DG120" s="52">
        <f>DG$118+DG$119</f>
        <v/>
      </c>
      <c r="DH120" s="52">
        <f>DH$118+DH$119</f>
        <v/>
      </c>
      <c r="DI120" s="52">
        <f>DI$118+DI$119</f>
        <v/>
      </c>
      <c r="DJ120" s="52">
        <f>DJ$118+DJ$119</f>
        <v/>
      </c>
      <c r="DK120" s="52">
        <f>DK$118+DK$119</f>
        <v/>
      </c>
      <c r="DL120" s="52">
        <f>DL$118+DL$119</f>
        <v/>
      </c>
      <c r="DM120" s="52">
        <f>DM$118+DM$119</f>
        <v/>
      </c>
      <c r="DN120" s="52">
        <f>DN$118+DN$119</f>
        <v/>
      </c>
      <c r="DO120" s="52">
        <f>DO$118+DO$119</f>
        <v/>
      </c>
      <c r="DP120" s="52">
        <f>DP$118+DP$119</f>
        <v/>
      </c>
      <c r="DQ120" s="52">
        <f>DQ$118+DQ$119</f>
        <v/>
      </c>
      <c r="DR120" s="52">
        <f>DR$118+DR$119</f>
        <v/>
      </c>
      <c r="DS120" s="52">
        <f>DS$118+DS$119</f>
        <v/>
      </c>
      <c r="DT120" s="52">
        <f>DT$118+DT$119</f>
        <v/>
      </c>
    </row>
    <row r="121">
      <c r="A121" s="10" t="inlineStr">
        <is>
          <t>Loan B: refi payoff ($)</t>
        </is>
      </c>
      <c r="E121" s="52">
        <f>IF(AND(RefiOn="On",Assumptions!E$72=RefiMonth),-E$116,0)</f>
        <v/>
      </c>
      <c r="F121" s="52">
        <f>IF(AND(RefiOn="On",Assumptions!F$72=RefiMonth),-F$116,0)</f>
        <v/>
      </c>
      <c r="G121" s="52">
        <f>IF(AND(RefiOn="On",Assumptions!G$72=RefiMonth),-G$116,0)</f>
        <v/>
      </c>
      <c r="H121" s="52">
        <f>IF(AND(RefiOn="On",Assumptions!H$72=RefiMonth),-H$116,0)</f>
        <v/>
      </c>
      <c r="I121" s="52">
        <f>IF(AND(RefiOn="On",Assumptions!I$72=RefiMonth),-I$116,0)</f>
        <v/>
      </c>
      <c r="J121" s="52">
        <f>IF(AND(RefiOn="On",Assumptions!J$72=RefiMonth),-J$116,0)</f>
        <v/>
      </c>
      <c r="K121" s="52">
        <f>IF(AND(RefiOn="On",Assumptions!K$72=RefiMonth),-K$116,0)</f>
        <v/>
      </c>
      <c r="L121" s="52">
        <f>IF(AND(RefiOn="On",Assumptions!L$72=RefiMonth),-L$116,0)</f>
        <v/>
      </c>
      <c r="M121" s="52">
        <f>IF(AND(RefiOn="On",Assumptions!M$72=RefiMonth),-M$116,0)</f>
        <v/>
      </c>
      <c r="N121" s="52">
        <f>IF(AND(RefiOn="On",Assumptions!N$72=RefiMonth),-N$116,0)</f>
        <v/>
      </c>
      <c r="O121" s="52">
        <f>IF(AND(RefiOn="On",Assumptions!O$72=RefiMonth),-O$116,0)</f>
        <v/>
      </c>
      <c r="P121" s="52">
        <f>IF(AND(RefiOn="On",Assumptions!P$72=RefiMonth),-P$116,0)</f>
        <v/>
      </c>
      <c r="Q121" s="52">
        <f>IF(AND(RefiOn="On",Assumptions!Q$72=RefiMonth),-Q$116,0)</f>
        <v/>
      </c>
      <c r="R121" s="52">
        <f>IF(AND(RefiOn="On",Assumptions!R$72=RefiMonth),-R$116,0)</f>
        <v/>
      </c>
      <c r="S121" s="52">
        <f>IF(AND(RefiOn="On",Assumptions!S$72=RefiMonth),-S$116,0)</f>
        <v/>
      </c>
      <c r="T121" s="52">
        <f>IF(AND(RefiOn="On",Assumptions!T$72=RefiMonth),-T$116,0)</f>
        <v/>
      </c>
      <c r="U121" s="52">
        <f>IF(AND(RefiOn="On",Assumptions!U$72=RefiMonth),-U$116,0)</f>
        <v/>
      </c>
      <c r="V121" s="52">
        <f>IF(AND(RefiOn="On",Assumptions!V$72=RefiMonth),-V$116,0)</f>
        <v/>
      </c>
      <c r="W121" s="52">
        <f>IF(AND(RefiOn="On",Assumptions!W$72=RefiMonth),-W$116,0)</f>
        <v/>
      </c>
      <c r="X121" s="52">
        <f>IF(AND(RefiOn="On",Assumptions!X$72=RefiMonth),-X$116,0)</f>
        <v/>
      </c>
      <c r="Y121" s="52">
        <f>IF(AND(RefiOn="On",Assumptions!Y$72=RefiMonth),-Y$116,0)</f>
        <v/>
      </c>
      <c r="Z121" s="52">
        <f>IF(AND(RefiOn="On",Assumptions!Z$72=RefiMonth),-Z$116,0)</f>
        <v/>
      </c>
      <c r="AA121" s="52">
        <f>IF(AND(RefiOn="On",Assumptions!AA$72=RefiMonth),-AA$116,0)</f>
        <v/>
      </c>
      <c r="AB121" s="52">
        <f>IF(AND(RefiOn="On",Assumptions!AB$72=RefiMonth),-AB$116,0)</f>
        <v/>
      </c>
      <c r="AC121" s="52">
        <f>IF(AND(RefiOn="On",Assumptions!AC$72=RefiMonth),-AC$116,0)</f>
        <v/>
      </c>
      <c r="AD121" s="52">
        <f>IF(AND(RefiOn="On",Assumptions!AD$72=RefiMonth),-AD$116,0)</f>
        <v/>
      </c>
      <c r="AE121" s="52">
        <f>IF(AND(RefiOn="On",Assumptions!AE$72=RefiMonth),-AE$116,0)</f>
        <v/>
      </c>
      <c r="AF121" s="52">
        <f>IF(AND(RefiOn="On",Assumptions!AF$72=RefiMonth),-AF$116,0)</f>
        <v/>
      </c>
      <c r="AG121" s="52">
        <f>IF(AND(RefiOn="On",Assumptions!AG$72=RefiMonth),-AG$116,0)</f>
        <v/>
      </c>
      <c r="AH121" s="52">
        <f>IF(AND(RefiOn="On",Assumptions!AH$72=RefiMonth),-AH$116,0)</f>
        <v/>
      </c>
      <c r="AI121" s="52">
        <f>IF(AND(RefiOn="On",Assumptions!AI$72=RefiMonth),-AI$116,0)</f>
        <v/>
      </c>
      <c r="AJ121" s="52">
        <f>IF(AND(RefiOn="On",Assumptions!AJ$72=RefiMonth),-AJ$116,0)</f>
        <v/>
      </c>
      <c r="AK121" s="52">
        <f>IF(AND(RefiOn="On",Assumptions!AK$72=RefiMonth),-AK$116,0)</f>
        <v/>
      </c>
      <c r="AL121" s="52">
        <f>IF(AND(RefiOn="On",Assumptions!AL$72=RefiMonth),-AL$116,0)</f>
        <v/>
      </c>
      <c r="AM121" s="52">
        <f>IF(AND(RefiOn="On",Assumptions!AM$72=RefiMonth),-AM$116,0)</f>
        <v/>
      </c>
      <c r="AN121" s="52">
        <f>IF(AND(RefiOn="On",Assumptions!AN$72=RefiMonth),-AN$116,0)</f>
        <v/>
      </c>
      <c r="AO121" s="52">
        <f>IF(AND(RefiOn="On",Assumptions!AO$72=RefiMonth),-AO$116,0)</f>
        <v/>
      </c>
      <c r="AP121" s="52">
        <f>IF(AND(RefiOn="On",Assumptions!AP$72=RefiMonth),-AP$116,0)</f>
        <v/>
      </c>
      <c r="AQ121" s="52">
        <f>IF(AND(RefiOn="On",Assumptions!AQ$72=RefiMonth),-AQ$116,0)</f>
        <v/>
      </c>
      <c r="AR121" s="52">
        <f>IF(AND(RefiOn="On",Assumptions!AR$72=RefiMonth),-AR$116,0)</f>
        <v/>
      </c>
      <c r="AS121" s="52">
        <f>IF(AND(RefiOn="On",Assumptions!AS$72=RefiMonth),-AS$116,0)</f>
        <v/>
      </c>
      <c r="AT121" s="52">
        <f>IF(AND(RefiOn="On",Assumptions!AT$72=RefiMonth),-AT$116,0)</f>
        <v/>
      </c>
      <c r="AU121" s="52">
        <f>IF(AND(RefiOn="On",Assumptions!AU$72=RefiMonth),-AU$116,0)</f>
        <v/>
      </c>
      <c r="AV121" s="52">
        <f>IF(AND(RefiOn="On",Assumptions!AV$72=RefiMonth),-AV$116,0)</f>
        <v/>
      </c>
      <c r="AW121" s="52">
        <f>IF(AND(RefiOn="On",Assumptions!AW$72=RefiMonth),-AW$116,0)</f>
        <v/>
      </c>
      <c r="AX121" s="52">
        <f>IF(AND(RefiOn="On",Assumptions!AX$72=RefiMonth),-AX$116,0)</f>
        <v/>
      </c>
      <c r="AY121" s="52">
        <f>IF(AND(RefiOn="On",Assumptions!AY$72=RefiMonth),-AY$116,0)</f>
        <v/>
      </c>
      <c r="AZ121" s="52">
        <f>IF(AND(RefiOn="On",Assumptions!AZ$72=RefiMonth),-AZ$116,0)</f>
        <v/>
      </c>
      <c r="BA121" s="52">
        <f>IF(AND(RefiOn="On",Assumptions!BA$72=RefiMonth),-BA$116,0)</f>
        <v/>
      </c>
      <c r="BB121" s="52">
        <f>IF(AND(RefiOn="On",Assumptions!BB$72=RefiMonth),-BB$116,0)</f>
        <v/>
      </c>
      <c r="BC121" s="52">
        <f>IF(AND(RefiOn="On",Assumptions!BC$72=RefiMonth),-BC$116,0)</f>
        <v/>
      </c>
      <c r="BD121" s="52">
        <f>IF(AND(RefiOn="On",Assumptions!BD$72=RefiMonth),-BD$116,0)</f>
        <v/>
      </c>
      <c r="BE121" s="52">
        <f>IF(AND(RefiOn="On",Assumptions!BE$72=RefiMonth),-BE$116,0)</f>
        <v/>
      </c>
      <c r="BF121" s="52">
        <f>IF(AND(RefiOn="On",Assumptions!BF$72=RefiMonth),-BF$116,0)</f>
        <v/>
      </c>
      <c r="BG121" s="52">
        <f>IF(AND(RefiOn="On",Assumptions!BG$72=RefiMonth),-BG$116,0)</f>
        <v/>
      </c>
      <c r="BH121" s="52">
        <f>IF(AND(RefiOn="On",Assumptions!BH$72=RefiMonth),-BH$116,0)</f>
        <v/>
      </c>
      <c r="BI121" s="52">
        <f>IF(AND(RefiOn="On",Assumptions!BI$72=RefiMonth),-BI$116,0)</f>
        <v/>
      </c>
      <c r="BJ121" s="52">
        <f>IF(AND(RefiOn="On",Assumptions!BJ$72=RefiMonth),-BJ$116,0)</f>
        <v/>
      </c>
      <c r="BK121" s="52">
        <f>IF(AND(RefiOn="On",Assumptions!BK$72=RefiMonth),-BK$116,0)</f>
        <v/>
      </c>
      <c r="BL121" s="52">
        <f>IF(AND(RefiOn="On",Assumptions!BL$72=RefiMonth),-BL$116,0)</f>
        <v/>
      </c>
      <c r="BM121" s="52">
        <f>IF(AND(RefiOn="On",Assumptions!BM$72=RefiMonth),-BM$116,0)</f>
        <v/>
      </c>
      <c r="BN121" s="52">
        <f>IF(AND(RefiOn="On",Assumptions!BN$72=RefiMonth),-BN$116,0)</f>
        <v/>
      </c>
      <c r="BO121" s="52">
        <f>IF(AND(RefiOn="On",Assumptions!BO$72=RefiMonth),-BO$116,0)</f>
        <v/>
      </c>
      <c r="BP121" s="52">
        <f>IF(AND(RefiOn="On",Assumptions!BP$72=RefiMonth),-BP$116,0)</f>
        <v/>
      </c>
      <c r="BQ121" s="52">
        <f>IF(AND(RefiOn="On",Assumptions!BQ$72=RefiMonth),-BQ$116,0)</f>
        <v/>
      </c>
      <c r="BR121" s="52">
        <f>IF(AND(RefiOn="On",Assumptions!BR$72=RefiMonth),-BR$116,0)</f>
        <v/>
      </c>
      <c r="BS121" s="52">
        <f>IF(AND(RefiOn="On",Assumptions!BS$72=RefiMonth),-BS$116,0)</f>
        <v/>
      </c>
      <c r="BT121" s="52">
        <f>IF(AND(RefiOn="On",Assumptions!BT$72=RefiMonth),-BT$116,0)</f>
        <v/>
      </c>
      <c r="BU121" s="52">
        <f>IF(AND(RefiOn="On",Assumptions!BU$72=RefiMonth),-BU$116,0)</f>
        <v/>
      </c>
      <c r="BV121" s="52">
        <f>IF(AND(RefiOn="On",Assumptions!BV$72=RefiMonth),-BV$116,0)</f>
        <v/>
      </c>
      <c r="BW121" s="52">
        <f>IF(AND(RefiOn="On",Assumptions!BW$72=RefiMonth),-BW$116,0)</f>
        <v/>
      </c>
      <c r="BX121" s="52">
        <f>IF(AND(RefiOn="On",Assumptions!BX$72=RefiMonth),-BX$116,0)</f>
        <v/>
      </c>
      <c r="BY121" s="52">
        <f>IF(AND(RefiOn="On",Assumptions!BY$72=RefiMonth),-BY$116,0)</f>
        <v/>
      </c>
      <c r="BZ121" s="52">
        <f>IF(AND(RefiOn="On",Assumptions!BZ$72=RefiMonth),-BZ$116,0)</f>
        <v/>
      </c>
      <c r="CA121" s="52">
        <f>IF(AND(RefiOn="On",Assumptions!CA$72=RefiMonth),-CA$116,0)</f>
        <v/>
      </c>
      <c r="CB121" s="52">
        <f>IF(AND(RefiOn="On",Assumptions!CB$72=RefiMonth),-CB$116,0)</f>
        <v/>
      </c>
      <c r="CC121" s="52">
        <f>IF(AND(RefiOn="On",Assumptions!CC$72=RefiMonth),-CC$116,0)</f>
        <v/>
      </c>
      <c r="CD121" s="52">
        <f>IF(AND(RefiOn="On",Assumptions!CD$72=RefiMonth),-CD$116,0)</f>
        <v/>
      </c>
      <c r="CE121" s="52">
        <f>IF(AND(RefiOn="On",Assumptions!CE$72=RefiMonth),-CE$116,0)</f>
        <v/>
      </c>
      <c r="CF121" s="52">
        <f>IF(AND(RefiOn="On",Assumptions!CF$72=RefiMonth),-CF$116,0)</f>
        <v/>
      </c>
      <c r="CG121" s="52">
        <f>IF(AND(RefiOn="On",Assumptions!CG$72=RefiMonth),-CG$116,0)</f>
        <v/>
      </c>
      <c r="CH121" s="52">
        <f>IF(AND(RefiOn="On",Assumptions!CH$72=RefiMonth),-CH$116,0)</f>
        <v/>
      </c>
      <c r="CI121" s="52">
        <f>IF(AND(RefiOn="On",Assumptions!CI$72=RefiMonth),-CI$116,0)</f>
        <v/>
      </c>
      <c r="CJ121" s="52">
        <f>IF(AND(RefiOn="On",Assumptions!CJ$72=RefiMonth),-CJ$116,0)</f>
        <v/>
      </c>
      <c r="CK121" s="52">
        <f>IF(AND(RefiOn="On",Assumptions!CK$72=RefiMonth),-CK$116,0)</f>
        <v/>
      </c>
      <c r="CL121" s="52">
        <f>IF(AND(RefiOn="On",Assumptions!CL$72=RefiMonth),-CL$116,0)</f>
        <v/>
      </c>
      <c r="CM121" s="52">
        <f>IF(AND(RefiOn="On",Assumptions!CM$72=RefiMonth),-CM$116,0)</f>
        <v/>
      </c>
      <c r="CN121" s="52">
        <f>IF(AND(RefiOn="On",Assumptions!CN$72=RefiMonth),-CN$116,0)</f>
        <v/>
      </c>
      <c r="CO121" s="52">
        <f>IF(AND(RefiOn="On",Assumptions!CO$72=RefiMonth),-CO$116,0)</f>
        <v/>
      </c>
      <c r="CP121" s="52">
        <f>IF(AND(RefiOn="On",Assumptions!CP$72=RefiMonth),-CP$116,0)</f>
        <v/>
      </c>
      <c r="CQ121" s="52">
        <f>IF(AND(RefiOn="On",Assumptions!CQ$72=RefiMonth),-CQ$116,0)</f>
        <v/>
      </c>
      <c r="CR121" s="52">
        <f>IF(AND(RefiOn="On",Assumptions!CR$72=RefiMonth),-CR$116,0)</f>
        <v/>
      </c>
      <c r="CS121" s="52">
        <f>IF(AND(RefiOn="On",Assumptions!CS$72=RefiMonth),-CS$116,0)</f>
        <v/>
      </c>
      <c r="CT121" s="52">
        <f>IF(AND(RefiOn="On",Assumptions!CT$72=RefiMonth),-CT$116,0)</f>
        <v/>
      </c>
      <c r="CU121" s="52">
        <f>IF(AND(RefiOn="On",Assumptions!CU$72=RefiMonth),-CU$116,0)</f>
        <v/>
      </c>
      <c r="CV121" s="52">
        <f>IF(AND(RefiOn="On",Assumptions!CV$72=RefiMonth),-CV$116,0)</f>
        <v/>
      </c>
      <c r="CW121" s="52">
        <f>IF(AND(RefiOn="On",Assumptions!CW$72=RefiMonth),-CW$116,0)</f>
        <v/>
      </c>
      <c r="CX121" s="52">
        <f>IF(AND(RefiOn="On",Assumptions!CX$72=RefiMonth),-CX$116,0)</f>
        <v/>
      </c>
      <c r="CY121" s="52">
        <f>IF(AND(RefiOn="On",Assumptions!CY$72=RefiMonth),-CY$116,0)</f>
        <v/>
      </c>
      <c r="CZ121" s="52">
        <f>IF(AND(RefiOn="On",Assumptions!CZ$72=RefiMonth),-CZ$116,0)</f>
        <v/>
      </c>
      <c r="DA121" s="52">
        <f>IF(AND(RefiOn="On",Assumptions!DA$72=RefiMonth),-DA$116,0)</f>
        <v/>
      </c>
      <c r="DB121" s="52">
        <f>IF(AND(RefiOn="On",Assumptions!DB$72=RefiMonth),-DB$116,0)</f>
        <v/>
      </c>
      <c r="DC121" s="52">
        <f>IF(AND(RefiOn="On",Assumptions!DC$72=RefiMonth),-DC$116,0)</f>
        <v/>
      </c>
      <c r="DD121" s="52">
        <f>IF(AND(RefiOn="On",Assumptions!DD$72=RefiMonth),-DD$116,0)</f>
        <v/>
      </c>
      <c r="DE121" s="52">
        <f>IF(AND(RefiOn="On",Assumptions!DE$72=RefiMonth),-DE$116,0)</f>
        <v/>
      </c>
      <c r="DF121" s="52">
        <f>IF(AND(RefiOn="On",Assumptions!DF$72=RefiMonth),-DF$116,0)</f>
        <v/>
      </c>
      <c r="DG121" s="52">
        <f>IF(AND(RefiOn="On",Assumptions!DG$72=RefiMonth),-DG$116,0)</f>
        <v/>
      </c>
      <c r="DH121" s="52">
        <f>IF(AND(RefiOn="On",Assumptions!DH$72=RefiMonth),-DH$116,0)</f>
        <v/>
      </c>
      <c r="DI121" s="52">
        <f>IF(AND(RefiOn="On",Assumptions!DI$72=RefiMonth),-DI$116,0)</f>
        <v/>
      </c>
      <c r="DJ121" s="52">
        <f>IF(AND(RefiOn="On",Assumptions!DJ$72=RefiMonth),-DJ$116,0)</f>
        <v/>
      </c>
      <c r="DK121" s="52">
        <f>IF(AND(RefiOn="On",Assumptions!DK$72=RefiMonth),-DK$116,0)</f>
        <v/>
      </c>
      <c r="DL121" s="52">
        <f>IF(AND(RefiOn="On",Assumptions!DL$72=RefiMonth),-DL$116,0)</f>
        <v/>
      </c>
      <c r="DM121" s="52">
        <f>IF(AND(RefiOn="On",Assumptions!DM$72=RefiMonth),-DM$116,0)</f>
        <v/>
      </c>
      <c r="DN121" s="52">
        <f>IF(AND(RefiOn="On",Assumptions!DN$72=RefiMonth),-DN$116,0)</f>
        <v/>
      </c>
      <c r="DO121" s="52">
        <f>IF(AND(RefiOn="On",Assumptions!DO$72=RefiMonth),-DO$116,0)</f>
        <v/>
      </c>
      <c r="DP121" s="52">
        <f>IF(AND(RefiOn="On",Assumptions!DP$72=RefiMonth),-DP$116,0)</f>
        <v/>
      </c>
      <c r="DQ121" s="52">
        <f>IF(AND(RefiOn="On",Assumptions!DQ$72=RefiMonth),-DQ$116,0)</f>
        <v/>
      </c>
      <c r="DR121" s="52">
        <f>IF(AND(RefiOn="On",Assumptions!DR$72=RefiMonth),-DR$116,0)</f>
        <v/>
      </c>
      <c r="DS121" s="52">
        <f>IF(AND(RefiOn="On",Assumptions!DS$72=RefiMonth),-DS$116,0)</f>
        <v/>
      </c>
      <c r="DT121" s="52">
        <f>IF(AND(RefiOn="On",Assumptions!DT$72=RefiMonth),-DT$116,0)</f>
        <v/>
      </c>
    </row>
    <row r="122">
      <c r="A122" s="10" t="inlineStr">
        <is>
          <t>Loan B: closing balance ($)</t>
        </is>
      </c>
      <c r="E122" s="52">
        <f>E$116+E$117-E$119+E$121</f>
        <v/>
      </c>
      <c r="F122" s="52">
        <f>F$116+F$117-F$119+F$121</f>
        <v/>
      </c>
      <c r="G122" s="52">
        <f>G$116+G$117-G$119+G$121</f>
        <v/>
      </c>
      <c r="H122" s="52">
        <f>H$116+H$117-H$119+H$121</f>
        <v/>
      </c>
      <c r="I122" s="52">
        <f>I$116+I$117-I$119+I$121</f>
        <v/>
      </c>
      <c r="J122" s="52">
        <f>J$116+J$117-J$119+J$121</f>
        <v/>
      </c>
      <c r="K122" s="52">
        <f>K$116+K$117-K$119+K$121</f>
        <v/>
      </c>
      <c r="L122" s="52">
        <f>L$116+L$117-L$119+L$121</f>
        <v/>
      </c>
      <c r="M122" s="52">
        <f>M$116+M$117-M$119+M$121</f>
        <v/>
      </c>
      <c r="N122" s="52">
        <f>N$116+N$117-N$119+N$121</f>
        <v/>
      </c>
      <c r="O122" s="52">
        <f>O$116+O$117-O$119+O$121</f>
        <v/>
      </c>
      <c r="P122" s="52">
        <f>P$116+P$117-P$119+P$121</f>
        <v/>
      </c>
      <c r="Q122" s="52">
        <f>Q$116+Q$117-Q$119+Q$121</f>
        <v/>
      </c>
      <c r="R122" s="52">
        <f>R$116+R$117-R$119+R$121</f>
        <v/>
      </c>
      <c r="S122" s="52">
        <f>S$116+S$117-S$119+S$121</f>
        <v/>
      </c>
      <c r="T122" s="52">
        <f>T$116+T$117-T$119+T$121</f>
        <v/>
      </c>
      <c r="U122" s="52">
        <f>U$116+U$117-U$119+U$121</f>
        <v/>
      </c>
      <c r="V122" s="52">
        <f>V$116+V$117-V$119+V$121</f>
        <v/>
      </c>
      <c r="W122" s="52">
        <f>W$116+W$117-W$119+W$121</f>
        <v/>
      </c>
      <c r="X122" s="52">
        <f>X$116+X$117-X$119+X$121</f>
        <v/>
      </c>
      <c r="Y122" s="52">
        <f>Y$116+Y$117-Y$119+Y$121</f>
        <v/>
      </c>
      <c r="Z122" s="52">
        <f>Z$116+Z$117-Z$119+Z$121</f>
        <v/>
      </c>
      <c r="AA122" s="52">
        <f>AA$116+AA$117-AA$119+AA$121</f>
        <v/>
      </c>
      <c r="AB122" s="52">
        <f>AB$116+AB$117-AB$119+AB$121</f>
        <v/>
      </c>
      <c r="AC122" s="52">
        <f>AC$116+AC$117-AC$119+AC$121</f>
        <v/>
      </c>
      <c r="AD122" s="52">
        <f>AD$116+AD$117-AD$119+AD$121</f>
        <v/>
      </c>
      <c r="AE122" s="52">
        <f>AE$116+AE$117-AE$119+AE$121</f>
        <v/>
      </c>
      <c r="AF122" s="52">
        <f>AF$116+AF$117-AF$119+AF$121</f>
        <v/>
      </c>
      <c r="AG122" s="52">
        <f>AG$116+AG$117-AG$119+AG$121</f>
        <v/>
      </c>
      <c r="AH122" s="52">
        <f>AH$116+AH$117-AH$119+AH$121</f>
        <v/>
      </c>
      <c r="AI122" s="52">
        <f>AI$116+AI$117-AI$119+AI$121</f>
        <v/>
      </c>
      <c r="AJ122" s="52">
        <f>AJ$116+AJ$117-AJ$119+AJ$121</f>
        <v/>
      </c>
      <c r="AK122" s="52">
        <f>AK$116+AK$117-AK$119+AK$121</f>
        <v/>
      </c>
      <c r="AL122" s="52">
        <f>AL$116+AL$117-AL$119+AL$121</f>
        <v/>
      </c>
      <c r="AM122" s="52">
        <f>AM$116+AM$117-AM$119+AM$121</f>
        <v/>
      </c>
      <c r="AN122" s="52">
        <f>AN$116+AN$117-AN$119+AN$121</f>
        <v/>
      </c>
      <c r="AO122" s="52">
        <f>AO$116+AO$117-AO$119+AO$121</f>
        <v/>
      </c>
      <c r="AP122" s="52">
        <f>AP$116+AP$117-AP$119+AP$121</f>
        <v/>
      </c>
      <c r="AQ122" s="52">
        <f>AQ$116+AQ$117-AQ$119+AQ$121</f>
        <v/>
      </c>
      <c r="AR122" s="52">
        <f>AR$116+AR$117-AR$119+AR$121</f>
        <v/>
      </c>
      <c r="AS122" s="52">
        <f>AS$116+AS$117-AS$119+AS$121</f>
        <v/>
      </c>
      <c r="AT122" s="52">
        <f>AT$116+AT$117-AT$119+AT$121</f>
        <v/>
      </c>
      <c r="AU122" s="52">
        <f>AU$116+AU$117-AU$119+AU$121</f>
        <v/>
      </c>
      <c r="AV122" s="52">
        <f>AV$116+AV$117-AV$119+AV$121</f>
        <v/>
      </c>
      <c r="AW122" s="52">
        <f>AW$116+AW$117-AW$119+AW$121</f>
        <v/>
      </c>
      <c r="AX122" s="52">
        <f>AX$116+AX$117-AX$119+AX$121</f>
        <v/>
      </c>
      <c r="AY122" s="52">
        <f>AY$116+AY$117-AY$119+AY$121</f>
        <v/>
      </c>
      <c r="AZ122" s="52">
        <f>AZ$116+AZ$117-AZ$119+AZ$121</f>
        <v/>
      </c>
      <c r="BA122" s="52">
        <f>BA$116+BA$117-BA$119+BA$121</f>
        <v/>
      </c>
      <c r="BB122" s="52">
        <f>BB$116+BB$117-BB$119+BB$121</f>
        <v/>
      </c>
      <c r="BC122" s="52">
        <f>BC$116+BC$117-BC$119+BC$121</f>
        <v/>
      </c>
      <c r="BD122" s="52">
        <f>BD$116+BD$117-BD$119+BD$121</f>
        <v/>
      </c>
      <c r="BE122" s="52">
        <f>BE$116+BE$117-BE$119+BE$121</f>
        <v/>
      </c>
      <c r="BF122" s="52">
        <f>BF$116+BF$117-BF$119+BF$121</f>
        <v/>
      </c>
      <c r="BG122" s="52">
        <f>BG$116+BG$117-BG$119+BG$121</f>
        <v/>
      </c>
      <c r="BH122" s="52">
        <f>BH$116+BH$117-BH$119+BH$121</f>
        <v/>
      </c>
      <c r="BI122" s="52">
        <f>BI$116+BI$117-BI$119+BI$121</f>
        <v/>
      </c>
      <c r="BJ122" s="52">
        <f>BJ$116+BJ$117-BJ$119+BJ$121</f>
        <v/>
      </c>
      <c r="BK122" s="52">
        <f>BK$116+BK$117-BK$119+BK$121</f>
        <v/>
      </c>
      <c r="BL122" s="52">
        <f>BL$116+BL$117-BL$119+BL$121</f>
        <v/>
      </c>
      <c r="BM122" s="52">
        <f>BM$116+BM$117-BM$119+BM$121</f>
        <v/>
      </c>
      <c r="BN122" s="52">
        <f>BN$116+BN$117-BN$119+BN$121</f>
        <v/>
      </c>
      <c r="BO122" s="52">
        <f>BO$116+BO$117-BO$119+BO$121</f>
        <v/>
      </c>
      <c r="BP122" s="52">
        <f>BP$116+BP$117-BP$119+BP$121</f>
        <v/>
      </c>
      <c r="BQ122" s="52">
        <f>BQ$116+BQ$117-BQ$119+BQ$121</f>
        <v/>
      </c>
      <c r="BR122" s="52">
        <f>BR$116+BR$117-BR$119+BR$121</f>
        <v/>
      </c>
      <c r="BS122" s="52">
        <f>BS$116+BS$117-BS$119+BS$121</f>
        <v/>
      </c>
      <c r="BT122" s="52">
        <f>BT$116+BT$117-BT$119+BT$121</f>
        <v/>
      </c>
      <c r="BU122" s="52">
        <f>BU$116+BU$117-BU$119+BU$121</f>
        <v/>
      </c>
      <c r="BV122" s="52">
        <f>BV$116+BV$117-BV$119+BV$121</f>
        <v/>
      </c>
      <c r="BW122" s="52">
        <f>BW$116+BW$117-BW$119+BW$121</f>
        <v/>
      </c>
      <c r="BX122" s="52">
        <f>BX$116+BX$117-BX$119+BX$121</f>
        <v/>
      </c>
      <c r="BY122" s="52">
        <f>BY$116+BY$117-BY$119+BY$121</f>
        <v/>
      </c>
      <c r="BZ122" s="52">
        <f>BZ$116+BZ$117-BZ$119+BZ$121</f>
        <v/>
      </c>
      <c r="CA122" s="52">
        <f>CA$116+CA$117-CA$119+CA$121</f>
        <v/>
      </c>
      <c r="CB122" s="52">
        <f>CB$116+CB$117-CB$119+CB$121</f>
        <v/>
      </c>
      <c r="CC122" s="52">
        <f>CC$116+CC$117-CC$119+CC$121</f>
        <v/>
      </c>
      <c r="CD122" s="52">
        <f>CD$116+CD$117-CD$119+CD$121</f>
        <v/>
      </c>
      <c r="CE122" s="52">
        <f>CE$116+CE$117-CE$119+CE$121</f>
        <v/>
      </c>
      <c r="CF122" s="52">
        <f>CF$116+CF$117-CF$119+CF$121</f>
        <v/>
      </c>
      <c r="CG122" s="52">
        <f>CG$116+CG$117-CG$119+CG$121</f>
        <v/>
      </c>
      <c r="CH122" s="52">
        <f>CH$116+CH$117-CH$119+CH$121</f>
        <v/>
      </c>
      <c r="CI122" s="52">
        <f>CI$116+CI$117-CI$119+CI$121</f>
        <v/>
      </c>
      <c r="CJ122" s="52">
        <f>CJ$116+CJ$117-CJ$119+CJ$121</f>
        <v/>
      </c>
      <c r="CK122" s="52">
        <f>CK$116+CK$117-CK$119+CK$121</f>
        <v/>
      </c>
      <c r="CL122" s="52">
        <f>CL$116+CL$117-CL$119+CL$121</f>
        <v/>
      </c>
      <c r="CM122" s="52">
        <f>CM$116+CM$117-CM$119+CM$121</f>
        <v/>
      </c>
      <c r="CN122" s="52">
        <f>CN$116+CN$117-CN$119+CN$121</f>
        <v/>
      </c>
      <c r="CO122" s="52">
        <f>CO$116+CO$117-CO$119+CO$121</f>
        <v/>
      </c>
      <c r="CP122" s="52">
        <f>CP$116+CP$117-CP$119+CP$121</f>
        <v/>
      </c>
      <c r="CQ122" s="52">
        <f>CQ$116+CQ$117-CQ$119+CQ$121</f>
        <v/>
      </c>
      <c r="CR122" s="52">
        <f>CR$116+CR$117-CR$119+CR$121</f>
        <v/>
      </c>
      <c r="CS122" s="52">
        <f>CS$116+CS$117-CS$119+CS$121</f>
        <v/>
      </c>
      <c r="CT122" s="52">
        <f>CT$116+CT$117-CT$119+CT$121</f>
        <v/>
      </c>
      <c r="CU122" s="52">
        <f>CU$116+CU$117-CU$119+CU$121</f>
        <v/>
      </c>
      <c r="CV122" s="52">
        <f>CV$116+CV$117-CV$119+CV$121</f>
        <v/>
      </c>
      <c r="CW122" s="52">
        <f>CW$116+CW$117-CW$119+CW$121</f>
        <v/>
      </c>
      <c r="CX122" s="52">
        <f>CX$116+CX$117-CX$119+CX$121</f>
        <v/>
      </c>
      <c r="CY122" s="52">
        <f>CY$116+CY$117-CY$119+CY$121</f>
        <v/>
      </c>
      <c r="CZ122" s="52">
        <f>CZ$116+CZ$117-CZ$119+CZ$121</f>
        <v/>
      </c>
      <c r="DA122" s="52">
        <f>DA$116+DA$117-DA$119+DA$121</f>
        <v/>
      </c>
      <c r="DB122" s="52">
        <f>DB$116+DB$117-DB$119+DB$121</f>
        <v/>
      </c>
      <c r="DC122" s="52">
        <f>DC$116+DC$117-DC$119+DC$121</f>
        <v/>
      </c>
      <c r="DD122" s="52">
        <f>DD$116+DD$117-DD$119+DD$121</f>
        <v/>
      </c>
      <c r="DE122" s="52">
        <f>DE$116+DE$117-DE$119+DE$121</f>
        <v/>
      </c>
      <c r="DF122" s="52">
        <f>DF$116+DF$117-DF$119+DF$121</f>
        <v/>
      </c>
      <c r="DG122" s="52">
        <f>DG$116+DG$117-DG$119+DG$121</f>
        <v/>
      </c>
      <c r="DH122" s="52">
        <f>DH$116+DH$117-DH$119+DH$121</f>
        <v/>
      </c>
      <c r="DI122" s="52">
        <f>DI$116+DI$117-DI$119+DI$121</f>
        <v/>
      </c>
      <c r="DJ122" s="52">
        <f>DJ$116+DJ$117-DJ$119+DJ$121</f>
        <v/>
      </c>
      <c r="DK122" s="52">
        <f>DK$116+DK$117-DK$119+DK$121</f>
        <v/>
      </c>
      <c r="DL122" s="52">
        <f>DL$116+DL$117-DL$119+DL$121</f>
        <v/>
      </c>
      <c r="DM122" s="52">
        <f>DM$116+DM$117-DM$119+DM$121</f>
        <v/>
      </c>
      <c r="DN122" s="52">
        <f>DN$116+DN$117-DN$119+DN$121</f>
        <v/>
      </c>
      <c r="DO122" s="52">
        <f>DO$116+DO$117-DO$119+DO$121</f>
        <v/>
      </c>
      <c r="DP122" s="52">
        <f>DP$116+DP$117-DP$119+DP$121</f>
        <v/>
      </c>
      <c r="DQ122" s="52">
        <f>DQ$116+DQ$117-DQ$119+DQ$121</f>
        <v/>
      </c>
      <c r="DR122" s="52">
        <f>DR$116+DR$117-DR$119+DR$121</f>
        <v/>
      </c>
      <c r="DS122" s="52">
        <f>DS$116+DS$117-DS$119+DS$121</f>
        <v/>
      </c>
      <c r="DT122" s="52">
        <f>DT$116+DT$117-DT$119+DT$121</f>
        <v/>
      </c>
    </row>
    <row r="124">
      <c r="A124" s="3" t="inlineStr">
        <is>
          <t>TOTAL opening balance ($)</t>
        </is>
      </c>
      <c r="E124" s="62">
        <f>E$108+E$116</f>
        <v/>
      </c>
      <c r="F124" s="62">
        <f>F$108+F$116</f>
        <v/>
      </c>
      <c r="G124" s="62">
        <f>G$108+G$116</f>
        <v/>
      </c>
      <c r="H124" s="62">
        <f>H$108+H$116</f>
        <v/>
      </c>
      <c r="I124" s="62">
        <f>I$108+I$116</f>
        <v/>
      </c>
      <c r="J124" s="62">
        <f>J$108+J$116</f>
        <v/>
      </c>
      <c r="K124" s="62">
        <f>K$108+K$116</f>
        <v/>
      </c>
      <c r="L124" s="62">
        <f>L$108+L$116</f>
        <v/>
      </c>
      <c r="M124" s="62">
        <f>M$108+M$116</f>
        <v/>
      </c>
      <c r="N124" s="62">
        <f>N$108+N$116</f>
        <v/>
      </c>
      <c r="O124" s="62">
        <f>O$108+O$116</f>
        <v/>
      </c>
      <c r="P124" s="62">
        <f>P$108+P$116</f>
        <v/>
      </c>
      <c r="Q124" s="62">
        <f>Q$108+Q$116</f>
        <v/>
      </c>
      <c r="R124" s="62">
        <f>R$108+R$116</f>
        <v/>
      </c>
      <c r="S124" s="62">
        <f>S$108+S$116</f>
        <v/>
      </c>
      <c r="T124" s="62">
        <f>T$108+T$116</f>
        <v/>
      </c>
      <c r="U124" s="62">
        <f>U$108+U$116</f>
        <v/>
      </c>
      <c r="V124" s="62">
        <f>V$108+V$116</f>
        <v/>
      </c>
      <c r="W124" s="62">
        <f>W$108+W$116</f>
        <v/>
      </c>
      <c r="X124" s="62">
        <f>X$108+X$116</f>
        <v/>
      </c>
      <c r="Y124" s="62">
        <f>Y$108+Y$116</f>
        <v/>
      </c>
      <c r="Z124" s="62">
        <f>Z$108+Z$116</f>
        <v/>
      </c>
      <c r="AA124" s="62">
        <f>AA$108+AA$116</f>
        <v/>
      </c>
      <c r="AB124" s="62">
        <f>AB$108+AB$116</f>
        <v/>
      </c>
      <c r="AC124" s="62">
        <f>AC$108+AC$116</f>
        <v/>
      </c>
      <c r="AD124" s="62">
        <f>AD$108+AD$116</f>
        <v/>
      </c>
      <c r="AE124" s="62">
        <f>AE$108+AE$116</f>
        <v/>
      </c>
      <c r="AF124" s="62">
        <f>AF$108+AF$116</f>
        <v/>
      </c>
      <c r="AG124" s="62">
        <f>AG$108+AG$116</f>
        <v/>
      </c>
      <c r="AH124" s="62">
        <f>AH$108+AH$116</f>
        <v/>
      </c>
      <c r="AI124" s="62">
        <f>AI$108+AI$116</f>
        <v/>
      </c>
      <c r="AJ124" s="62">
        <f>AJ$108+AJ$116</f>
        <v/>
      </c>
      <c r="AK124" s="62">
        <f>AK$108+AK$116</f>
        <v/>
      </c>
      <c r="AL124" s="62">
        <f>AL$108+AL$116</f>
        <v/>
      </c>
      <c r="AM124" s="62">
        <f>AM$108+AM$116</f>
        <v/>
      </c>
      <c r="AN124" s="62">
        <f>AN$108+AN$116</f>
        <v/>
      </c>
      <c r="AO124" s="62">
        <f>AO$108+AO$116</f>
        <v/>
      </c>
      <c r="AP124" s="62">
        <f>AP$108+AP$116</f>
        <v/>
      </c>
      <c r="AQ124" s="62">
        <f>AQ$108+AQ$116</f>
        <v/>
      </c>
      <c r="AR124" s="62">
        <f>AR$108+AR$116</f>
        <v/>
      </c>
      <c r="AS124" s="62">
        <f>AS$108+AS$116</f>
        <v/>
      </c>
      <c r="AT124" s="62">
        <f>AT$108+AT$116</f>
        <v/>
      </c>
      <c r="AU124" s="62">
        <f>AU$108+AU$116</f>
        <v/>
      </c>
      <c r="AV124" s="62">
        <f>AV$108+AV$116</f>
        <v/>
      </c>
      <c r="AW124" s="62">
        <f>AW$108+AW$116</f>
        <v/>
      </c>
      <c r="AX124" s="62">
        <f>AX$108+AX$116</f>
        <v/>
      </c>
      <c r="AY124" s="62">
        <f>AY$108+AY$116</f>
        <v/>
      </c>
      <c r="AZ124" s="62">
        <f>AZ$108+AZ$116</f>
        <v/>
      </c>
      <c r="BA124" s="62">
        <f>BA$108+BA$116</f>
        <v/>
      </c>
      <c r="BB124" s="62">
        <f>BB$108+BB$116</f>
        <v/>
      </c>
      <c r="BC124" s="62">
        <f>BC$108+BC$116</f>
        <v/>
      </c>
      <c r="BD124" s="62">
        <f>BD$108+BD$116</f>
        <v/>
      </c>
      <c r="BE124" s="62">
        <f>BE$108+BE$116</f>
        <v/>
      </c>
      <c r="BF124" s="62">
        <f>BF$108+BF$116</f>
        <v/>
      </c>
      <c r="BG124" s="62">
        <f>BG$108+BG$116</f>
        <v/>
      </c>
      <c r="BH124" s="62">
        <f>BH$108+BH$116</f>
        <v/>
      </c>
      <c r="BI124" s="62">
        <f>BI$108+BI$116</f>
        <v/>
      </c>
      <c r="BJ124" s="62">
        <f>BJ$108+BJ$116</f>
        <v/>
      </c>
      <c r="BK124" s="62">
        <f>BK$108+BK$116</f>
        <v/>
      </c>
      <c r="BL124" s="62">
        <f>BL$108+BL$116</f>
        <v/>
      </c>
      <c r="BM124" s="62">
        <f>BM$108+BM$116</f>
        <v/>
      </c>
      <c r="BN124" s="62">
        <f>BN$108+BN$116</f>
        <v/>
      </c>
      <c r="BO124" s="62">
        <f>BO$108+BO$116</f>
        <v/>
      </c>
      <c r="BP124" s="62">
        <f>BP$108+BP$116</f>
        <v/>
      </c>
      <c r="BQ124" s="62">
        <f>BQ$108+BQ$116</f>
        <v/>
      </c>
      <c r="BR124" s="62">
        <f>BR$108+BR$116</f>
        <v/>
      </c>
      <c r="BS124" s="62">
        <f>BS$108+BS$116</f>
        <v/>
      </c>
      <c r="BT124" s="62">
        <f>BT$108+BT$116</f>
        <v/>
      </c>
      <c r="BU124" s="62">
        <f>BU$108+BU$116</f>
        <v/>
      </c>
      <c r="BV124" s="62">
        <f>BV$108+BV$116</f>
        <v/>
      </c>
      <c r="BW124" s="62">
        <f>BW$108+BW$116</f>
        <v/>
      </c>
      <c r="BX124" s="62">
        <f>BX$108+BX$116</f>
        <v/>
      </c>
      <c r="BY124" s="62">
        <f>BY$108+BY$116</f>
        <v/>
      </c>
      <c r="BZ124" s="62">
        <f>BZ$108+BZ$116</f>
        <v/>
      </c>
      <c r="CA124" s="62">
        <f>CA$108+CA$116</f>
        <v/>
      </c>
      <c r="CB124" s="62">
        <f>CB$108+CB$116</f>
        <v/>
      </c>
      <c r="CC124" s="62">
        <f>CC$108+CC$116</f>
        <v/>
      </c>
      <c r="CD124" s="62">
        <f>CD$108+CD$116</f>
        <v/>
      </c>
      <c r="CE124" s="62">
        <f>CE$108+CE$116</f>
        <v/>
      </c>
      <c r="CF124" s="62">
        <f>CF$108+CF$116</f>
        <v/>
      </c>
      <c r="CG124" s="62">
        <f>CG$108+CG$116</f>
        <v/>
      </c>
      <c r="CH124" s="62">
        <f>CH$108+CH$116</f>
        <v/>
      </c>
      <c r="CI124" s="62">
        <f>CI$108+CI$116</f>
        <v/>
      </c>
      <c r="CJ124" s="62">
        <f>CJ$108+CJ$116</f>
        <v/>
      </c>
      <c r="CK124" s="62">
        <f>CK$108+CK$116</f>
        <v/>
      </c>
      <c r="CL124" s="62">
        <f>CL$108+CL$116</f>
        <v/>
      </c>
      <c r="CM124" s="62">
        <f>CM$108+CM$116</f>
        <v/>
      </c>
      <c r="CN124" s="62">
        <f>CN$108+CN$116</f>
        <v/>
      </c>
      <c r="CO124" s="62">
        <f>CO$108+CO$116</f>
        <v/>
      </c>
      <c r="CP124" s="62">
        <f>CP$108+CP$116</f>
        <v/>
      </c>
      <c r="CQ124" s="62">
        <f>CQ$108+CQ$116</f>
        <v/>
      </c>
      <c r="CR124" s="62">
        <f>CR$108+CR$116</f>
        <v/>
      </c>
      <c r="CS124" s="62">
        <f>CS$108+CS$116</f>
        <v/>
      </c>
      <c r="CT124" s="62">
        <f>CT$108+CT$116</f>
        <v/>
      </c>
      <c r="CU124" s="62">
        <f>CU$108+CU$116</f>
        <v/>
      </c>
      <c r="CV124" s="62">
        <f>CV$108+CV$116</f>
        <v/>
      </c>
      <c r="CW124" s="62">
        <f>CW$108+CW$116</f>
        <v/>
      </c>
      <c r="CX124" s="62">
        <f>CX$108+CX$116</f>
        <v/>
      </c>
      <c r="CY124" s="62">
        <f>CY$108+CY$116</f>
        <v/>
      </c>
      <c r="CZ124" s="62">
        <f>CZ$108+CZ$116</f>
        <v/>
      </c>
      <c r="DA124" s="62">
        <f>DA$108+DA$116</f>
        <v/>
      </c>
      <c r="DB124" s="62">
        <f>DB$108+DB$116</f>
        <v/>
      </c>
      <c r="DC124" s="62">
        <f>DC$108+DC$116</f>
        <v/>
      </c>
      <c r="DD124" s="62">
        <f>DD$108+DD$116</f>
        <v/>
      </c>
      <c r="DE124" s="62">
        <f>DE$108+DE$116</f>
        <v/>
      </c>
      <c r="DF124" s="62">
        <f>DF$108+DF$116</f>
        <v/>
      </c>
      <c r="DG124" s="62">
        <f>DG$108+DG$116</f>
        <v/>
      </c>
      <c r="DH124" s="62">
        <f>DH$108+DH$116</f>
        <v/>
      </c>
      <c r="DI124" s="62">
        <f>DI$108+DI$116</f>
        <v/>
      </c>
      <c r="DJ124" s="62">
        <f>DJ$108+DJ$116</f>
        <v/>
      </c>
      <c r="DK124" s="62">
        <f>DK$108+DK$116</f>
        <v/>
      </c>
      <c r="DL124" s="62">
        <f>DL$108+DL$116</f>
        <v/>
      </c>
      <c r="DM124" s="62">
        <f>DM$108+DM$116</f>
        <v/>
      </c>
      <c r="DN124" s="62">
        <f>DN$108+DN$116</f>
        <v/>
      </c>
      <c r="DO124" s="62">
        <f>DO$108+DO$116</f>
        <v/>
      </c>
      <c r="DP124" s="62">
        <f>DP$108+DP$116</f>
        <v/>
      </c>
      <c r="DQ124" s="62">
        <f>DQ$108+DQ$116</f>
        <v/>
      </c>
      <c r="DR124" s="62">
        <f>DR$108+DR$116</f>
        <v/>
      </c>
      <c r="DS124" s="62">
        <f>DS$108+DS$116</f>
        <v/>
      </c>
      <c r="DT124" s="62">
        <f>DT$108+DT$116</f>
        <v/>
      </c>
    </row>
    <row r="125">
      <c r="A125" s="3" t="inlineStr">
        <is>
          <t>TOTAL closing balance ($)</t>
        </is>
      </c>
      <c r="E125" s="62">
        <f>E$114+E$122</f>
        <v/>
      </c>
      <c r="F125" s="62">
        <f>F$114+F$122</f>
        <v/>
      </c>
      <c r="G125" s="62">
        <f>G$114+G$122</f>
        <v/>
      </c>
      <c r="H125" s="62">
        <f>H$114+H$122</f>
        <v/>
      </c>
      <c r="I125" s="62">
        <f>I$114+I$122</f>
        <v/>
      </c>
      <c r="J125" s="62">
        <f>J$114+J$122</f>
        <v/>
      </c>
      <c r="K125" s="62">
        <f>K$114+K$122</f>
        <v/>
      </c>
      <c r="L125" s="62">
        <f>L$114+L$122</f>
        <v/>
      </c>
      <c r="M125" s="62">
        <f>M$114+M$122</f>
        <v/>
      </c>
      <c r="N125" s="62">
        <f>N$114+N$122</f>
        <v/>
      </c>
      <c r="O125" s="62">
        <f>O$114+O$122</f>
        <v/>
      </c>
      <c r="P125" s="62">
        <f>P$114+P$122</f>
        <v/>
      </c>
      <c r="Q125" s="62">
        <f>Q$114+Q$122</f>
        <v/>
      </c>
      <c r="R125" s="62">
        <f>R$114+R$122</f>
        <v/>
      </c>
      <c r="S125" s="62">
        <f>S$114+S$122</f>
        <v/>
      </c>
      <c r="T125" s="62">
        <f>T$114+T$122</f>
        <v/>
      </c>
      <c r="U125" s="62">
        <f>U$114+U$122</f>
        <v/>
      </c>
      <c r="V125" s="62">
        <f>V$114+V$122</f>
        <v/>
      </c>
      <c r="W125" s="62">
        <f>W$114+W$122</f>
        <v/>
      </c>
      <c r="X125" s="62">
        <f>X$114+X$122</f>
        <v/>
      </c>
      <c r="Y125" s="62">
        <f>Y$114+Y$122</f>
        <v/>
      </c>
      <c r="Z125" s="62">
        <f>Z$114+Z$122</f>
        <v/>
      </c>
      <c r="AA125" s="62">
        <f>AA$114+AA$122</f>
        <v/>
      </c>
      <c r="AB125" s="62">
        <f>AB$114+AB$122</f>
        <v/>
      </c>
      <c r="AC125" s="62">
        <f>AC$114+AC$122</f>
        <v/>
      </c>
      <c r="AD125" s="62">
        <f>AD$114+AD$122</f>
        <v/>
      </c>
      <c r="AE125" s="62">
        <f>AE$114+AE$122</f>
        <v/>
      </c>
      <c r="AF125" s="62">
        <f>AF$114+AF$122</f>
        <v/>
      </c>
      <c r="AG125" s="62">
        <f>AG$114+AG$122</f>
        <v/>
      </c>
      <c r="AH125" s="62">
        <f>AH$114+AH$122</f>
        <v/>
      </c>
      <c r="AI125" s="62">
        <f>AI$114+AI$122</f>
        <v/>
      </c>
      <c r="AJ125" s="62">
        <f>AJ$114+AJ$122</f>
        <v/>
      </c>
      <c r="AK125" s="62">
        <f>AK$114+AK$122</f>
        <v/>
      </c>
      <c r="AL125" s="62">
        <f>AL$114+AL$122</f>
        <v/>
      </c>
      <c r="AM125" s="62">
        <f>AM$114+AM$122</f>
        <v/>
      </c>
      <c r="AN125" s="62">
        <f>AN$114+AN$122</f>
        <v/>
      </c>
      <c r="AO125" s="62">
        <f>AO$114+AO$122</f>
        <v/>
      </c>
      <c r="AP125" s="62">
        <f>AP$114+AP$122</f>
        <v/>
      </c>
      <c r="AQ125" s="62">
        <f>AQ$114+AQ$122</f>
        <v/>
      </c>
      <c r="AR125" s="62">
        <f>AR$114+AR$122</f>
        <v/>
      </c>
      <c r="AS125" s="62">
        <f>AS$114+AS$122</f>
        <v/>
      </c>
      <c r="AT125" s="62">
        <f>AT$114+AT$122</f>
        <v/>
      </c>
      <c r="AU125" s="62">
        <f>AU$114+AU$122</f>
        <v/>
      </c>
      <c r="AV125" s="62">
        <f>AV$114+AV$122</f>
        <v/>
      </c>
      <c r="AW125" s="62">
        <f>AW$114+AW$122</f>
        <v/>
      </c>
      <c r="AX125" s="62">
        <f>AX$114+AX$122</f>
        <v/>
      </c>
      <c r="AY125" s="62">
        <f>AY$114+AY$122</f>
        <v/>
      </c>
      <c r="AZ125" s="62">
        <f>AZ$114+AZ$122</f>
        <v/>
      </c>
      <c r="BA125" s="62">
        <f>BA$114+BA$122</f>
        <v/>
      </c>
      <c r="BB125" s="62">
        <f>BB$114+BB$122</f>
        <v/>
      </c>
      <c r="BC125" s="62">
        <f>BC$114+BC$122</f>
        <v/>
      </c>
      <c r="BD125" s="62">
        <f>BD$114+BD$122</f>
        <v/>
      </c>
      <c r="BE125" s="62">
        <f>BE$114+BE$122</f>
        <v/>
      </c>
      <c r="BF125" s="62">
        <f>BF$114+BF$122</f>
        <v/>
      </c>
      <c r="BG125" s="62">
        <f>BG$114+BG$122</f>
        <v/>
      </c>
      <c r="BH125" s="62">
        <f>BH$114+BH$122</f>
        <v/>
      </c>
      <c r="BI125" s="62">
        <f>BI$114+BI$122</f>
        <v/>
      </c>
      <c r="BJ125" s="62">
        <f>BJ$114+BJ$122</f>
        <v/>
      </c>
      <c r="BK125" s="62">
        <f>BK$114+BK$122</f>
        <v/>
      </c>
      <c r="BL125" s="62">
        <f>BL$114+BL$122</f>
        <v/>
      </c>
      <c r="BM125" s="62">
        <f>BM$114+BM$122</f>
        <v/>
      </c>
      <c r="BN125" s="62">
        <f>BN$114+BN$122</f>
        <v/>
      </c>
      <c r="BO125" s="62">
        <f>BO$114+BO$122</f>
        <v/>
      </c>
      <c r="BP125" s="62">
        <f>BP$114+BP$122</f>
        <v/>
      </c>
      <c r="BQ125" s="62">
        <f>BQ$114+BQ$122</f>
        <v/>
      </c>
      <c r="BR125" s="62">
        <f>BR$114+BR$122</f>
        <v/>
      </c>
      <c r="BS125" s="62">
        <f>BS$114+BS$122</f>
        <v/>
      </c>
      <c r="BT125" s="62">
        <f>BT$114+BT$122</f>
        <v/>
      </c>
      <c r="BU125" s="62">
        <f>BU$114+BU$122</f>
        <v/>
      </c>
      <c r="BV125" s="62">
        <f>BV$114+BV$122</f>
        <v/>
      </c>
      <c r="BW125" s="62">
        <f>BW$114+BW$122</f>
        <v/>
      </c>
      <c r="BX125" s="62">
        <f>BX$114+BX$122</f>
        <v/>
      </c>
      <c r="BY125" s="62">
        <f>BY$114+BY$122</f>
        <v/>
      </c>
      <c r="BZ125" s="62">
        <f>BZ$114+BZ$122</f>
        <v/>
      </c>
      <c r="CA125" s="62">
        <f>CA$114+CA$122</f>
        <v/>
      </c>
      <c r="CB125" s="62">
        <f>CB$114+CB$122</f>
        <v/>
      </c>
      <c r="CC125" s="62">
        <f>CC$114+CC$122</f>
        <v/>
      </c>
      <c r="CD125" s="62">
        <f>CD$114+CD$122</f>
        <v/>
      </c>
      <c r="CE125" s="62">
        <f>CE$114+CE$122</f>
        <v/>
      </c>
      <c r="CF125" s="62">
        <f>CF$114+CF$122</f>
        <v/>
      </c>
      <c r="CG125" s="62">
        <f>CG$114+CG$122</f>
        <v/>
      </c>
      <c r="CH125" s="62">
        <f>CH$114+CH$122</f>
        <v/>
      </c>
      <c r="CI125" s="62">
        <f>CI$114+CI$122</f>
        <v/>
      </c>
      <c r="CJ125" s="62">
        <f>CJ$114+CJ$122</f>
        <v/>
      </c>
      <c r="CK125" s="62">
        <f>CK$114+CK$122</f>
        <v/>
      </c>
      <c r="CL125" s="62">
        <f>CL$114+CL$122</f>
        <v/>
      </c>
      <c r="CM125" s="62">
        <f>CM$114+CM$122</f>
        <v/>
      </c>
      <c r="CN125" s="62">
        <f>CN$114+CN$122</f>
        <v/>
      </c>
      <c r="CO125" s="62">
        <f>CO$114+CO$122</f>
        <v/>
      </c>
      <c r="CP125" s="62">
        <f>CP$114+CP$122</f>
        <v/>
      </c>
      <c r="CQ125" s="62">
        <f>CQ$114+CQ$122</f>
        <v/>
      </c>
      <c r="CR125" s="62">
        <f>CR$114+CR$122</f>
        <v/>
      </c>
      <c r="CS125" s="62">
        <f>CS$114+CS$122</f>
        <v/>
      </c>
      <c r="CT125" s="62">
        <f>CT$114+CT$122</f>
        <v/>
      </c>
      <c r="CU125" s="62">
        <f>CU$114+CU$122</f>
        <v/>
      </c>
      <c r="CV125" s="62">
        <f>CV$114+CV$122</f>
        <v/>
      </c>
      <c r="CW125" s="62">
        <f>CW$114+CW$122</f>
        <v/>
      </c>
      <c r="CX125" s="62">
        <f>CX$114+CX$122</f>
        <v/>
      </c>
      <c r="CY125" s="62">
        <f>CY$114+CY$122</f>
        <v/>
      </c>
      <c r="CZ125" s="62">
        <f>CZ$114+CZ$122</f>
        <v/>
      </c>
      <c r="DA125" s="62">
        <f>DA$114+DA$122</f>
        <v/>
      </c>
      <c r="DB125" s="62">
        <f>DB$114+DB$122</f>
        <v/>
      </c>
      <c r="DC125" s="62">
        <f>DC$114+DC$122</f>
        <v/>
      </c>
      <c r="DD125" s="62">
        <f>DD$114+DD$122</f>
        <v/>
      </c>
      <c r="DE125" s="62">
        <f>DE$114+DE$122</f>
        <v/>
      </c>
      <c r="DF125" s="62">
        <f>DF$114+DF$122</f>
        <v/>
      </c>
      <c r="DG125" s="62">
        <f>DG$114+DG$122</f>
        <v/>
      </c>
      <c r="DH125" s="62">
        <f>DH$114+DH$122</f>
        <v/>
      </c>
      <c r="DI125" s="62">
        <f>DI$114+DI$122</f>
        <v/>
      </c>
      <c r="DJ125" s="62">
        <f>DJ$114+DJ$122</f>
        <v/>
      </c>
      <c r="DK125" s="62">
        <f>DK$114+DK$122</f>
        <v/>
      </c>
      <c r="DL125" s="62">
        <f>DL$114+DL$122</f>
        <v/>
      </c>
      <c r="DM125" s="62">
        <f>DM$114+DM$122</f>
        <v/>
      </c>
      <c r="DN125" s="62">
        <f>DN$114+DN$122</f>
        <v/>
      </c>
      <c r="DO125" s="62">
        <f>DO$114+DO$122</f>
        <v/>
      </c>
      <c r="DP125" s="62">
        <f>DP$114+DP$122</f>
        <v/>
      </c>
      <c r="DQ125" s="62">
        <f>DQ$114+DQ$122</f>
        <v/>
      </c>
      <c r="DR125" s="62">
        <f>DR$114+DR$122</f>
        <v/>
      </c>
      <c r="DS125" s="62">
        <f>DS$114+DS$122</f>
        <v/>
      </c>
      <c r="DT125" s="62">
        <f>DT$114+DT$122</f>
        <v/>
      </c>
    </row>
    <row r="126">
      <c r="A126" s="3" t="inlineStr">
        <is>
          <t>TOTAL debt service ($)</t>
        </is>
      </c>
      <c r="E126" s="62">
        <f>E$112+E$120</f>
        <v/>
      </c>
      <c r="F126" s="62">
        <f>F$112+F$120</f>
        <v/>
      </c>
      <c r="G126" s="62">
        <f>G$112+G$120</f>
        <v/>
      </c>
      <c r="H126" s="62">
        <f>H$112+H$120</f>
        <v/>
      </c>
      <c r="I126" s="62">
        <f>I$112+I$120</f>
        <v/>
      </c>
      <c r="J126" s="62">
        <f>J$112+J$120</f>
        <v/>
      </c>
      <c r="K126" s="62">
        <f>K$112+K$120</f>
        <v/>
      </c>
      <c r="L126" s="62">
        <f>L$112+L$120</f>
        <v/>
      </c>
      <c r="M126" s="62">
        <f>M$112+M$120</f>
        <v/>
      </c>
      <c r="N126" s="62">
        <f>N$112+N$120</f>
        <v/>
      </c>
      <c r="O126" s="62">
        <f>O$112+O$120</f>
        <v/>
      </c>
      <c r="P126" s="62">
        <f>P$112+P$120</f>
        <v/>
      </c>
      <c r="Q126" s="62">
        <f>Q$112+Q$120</f>
        <v/>
      </c>
      <c r="R126" s="62">
        <f>R$112+R$120</f>
        <v/>
      </c>
      <c r="S126" s="62">
        <f>S$112+S$120</f>
        <v/>
      </c>
      <c r="T126" s="62">
        <f>T$112+T$120</f>
        <v/>
      </c>
      <c r="U126" s="62">
        <f>U$112+U$120</f>
        <v/>
      </c>
      <c r="V126" s="62">
        <f>V$112+V$120</f>
        <v/>
      </c>
      <c r="W126" s="62">
        <f>W$112+W$120</f>
        <v/>
      </c>
      <c r="X126" s="62">
        <f>X$112+X$120</f>
        <v/>
      </c>
      <c r="Y126" s="62">
        <f>Y$112+Y$120</f>
        <v/>
      </c>
      <c r="Z126" s="62">
        <f>Z$112+Z$120</f>
        <v/>
      </c>
      <c r="AA126" s="62">
        <f>AA$112+AA$120</f>
        <v/>
      </c>
      <c r="AB126" s="62">
        <f>AB$112+AB$120</f>
        <v/>
      </c>
      <c r="AC126" s="62">
        <f>AC$112+AC$120</f>
        <v/>
      </c>
      <c r="AD126" s="62">
        <f>AD$112+AD$120</f>
        <v/>
      </c>
      <c r="AE126" s="62">
        <f>AE$112+AE$120</f>
        <v/>
      </c>
      <c r="AF126" s="62">
        <f>AF$112+AF$120</f>
        <v/>
      </c>
      <c r="AG126" s="62">
        <f>AG$112+AG$120</f>
        <v/>
      </c>
      <c r="AH126" s="62">
        <f>AH$112+AH$120</f>
        <v/>
      </c>
      <c r="AI126" s="62">
        <f>AI$112+AI$120</f>
        <v/>
      </c>
      <c r="AJ126" s="62">
        <f>AJ$112+AJ$120</f>
        <v/>
      </c>
      <c r="AK126" s="62">
        <f>AK$112+AK$120</f>
        <v/>
      </c>
      <c r="AL126" s="62">
        <f>AL$112+AL$120</f>
        <v/>
      </c>
      <c r="AM126" s="62">
        <f>AM$112+AM$120</f>
        <v/>
      </c>
      <c r="AN126" s="62">
        <f>AN$112+AN$120</f>
        <v/>
      </c>
      <c r="AO126" s="62">
        <f>AO$112+AO$120</f>
        <v/>
      </c>
      <c r="AP126" s="62">
        <f>AP$112+AP$120</f>
        <v/>
      </c>
      <c r="AQ126" s="62">
        <f>AQ$112+AQ$120</f>
        <v/>
      </c>
      <c r="AR126" s="62">
        <f>AR$112+AR$120</f>
        <v/>
      </c>
      <c r="AS126" s="62">
        <f>AS$112+AS$120</f>
        <v/>
      </c>
      <c r="AT126" s="62">
        <f>AT$112+AT$120</f>
        <v/>
      </c>
      <c r="AU126" s="62">
        <f>AU$112+AU$120</f>
        <v/>
      </c>
      <c r="AV126" s="62">
        <f>AV$112+AV$120</f>
        <v/>
      </c>
      <c r="AW126" s="62">
        <f>AW$112+AW$120</f>
        <v/>
      </c>
      <c r="AX126" s="62">
        <f>AX$112+AX$120</f>
        <v/>
      </c>
      <c r="AY126" s="62">
        <f>AY$112+AY$120</f>
        <v/>
      </c>
      <c r="AZ126" s="62">
        <f>AZ$112+AZ$120</f>
        <v/>
      </c>
      <c r="BA126" s="62">
        <f>BA$112+BA$120</f>
        <v/>
      </c>
      <c r="BB126" s="62">
        <f>BB$112+BB$120</f>
        <v/>
      </c>
      <c r="BC126" s="62">
        <f>BC$112+BC$120</f>
        <v/>
      </c>
      <c r="BD126" s="62">
        <f>BD$112+BD$120</f>
        <v/>
      </c>
      <c r="BE126" s="62">
        <f>BE$112+BE$120</f>
        <v/>
      </c>
      <c r="BF126" s="62">
        <f>BF$112+BF$120</f>
        <v/>
      </c>
      <c r="BG126" s="62">
        <f>BG$112+BG$120</f>
        <v/>
      </c>
      <c r="BH126" s="62">
        <f>BH$112+BH$120</f>
        <v/>
      </c>
      <c r="BI126" s="62">
        <f>BI$112+BI$120</f>
        <v/>
      </c>
      <c r="BJ126" s="62">
        <f>BJ$112+BJ$120</f>
        <v/>
      </c>
      <c r="BK126" s="62">
        <f>BK$112+BK$120</f>
        <v/>
      </c>
      <c r="BL126" s="62">
        <f>BL$112+BL$120</f>
        <v/>
      </c>
      <c r="BM126" s="62">
        <f>BM$112+BM$120</f>
        <v/>
      </c>
      <c r="BN126" s="62">
        <f>BN$112+BN$120</f>
        <v/>
      </c>
      <c r="BO126" s="62">
        <f>BO$112+BO$120</f>
        <v/>
      </c>
      <c r="BP126" s="62">
        <f>BP$112+BP$120</f>
        <v/>
      </c>
      <c r="BQ126" s="62">
        <f>BQ$112+BQ$120</f>
        <v/>
      </c>
      <c r="BR126" s="62">
        <f>BR$112+BR$120</f>
        <v/>
      </c>
      <c r="BS126" s="62">
        <f>BS$112+BS$120</f>
        <v/>
      </c>
      <c r="BT126" s="62">
        <f>BT$112+BT$120</f>
        <v/>
      </c>
      <c r="BU126" s="62">
        <f>BU$112+BU$120</f>
        <v/>
      </c>
      <c r="BV126" s="62">
        <f>BV$112+BV$120</f>
        <v/>
      </c>
      <c r="BW126" s="62">
        <f>BW$112+BW$120</f>
        <v/>
      </c>
      <c r="BX126" s="62">
        <f>BX$112+BX$120</f>
        <v/>
      </c>
      <c r="BY126" s="62">
        <f>BY$112+BY$120</f>
        <v/>
      </c>
      <c r="BZ126" s="62">
        <f>BZ$112+BZ$120</f>
        <v/>
      </c>
      <c r="CA126" s="62">
        <f>CA$112+CA$120</f>
        <v/>
      </c>
      <c r="CB126" s="62">
        <f>CB$112+CB$120</f>
        <v/>
      </c>
      <c r="CC126" s="62">
        <f>CC$112+CC$120</f>
        <v/>
      </c>
      <c r="CD126" s="62">
        <f>CD$112+CD$120</f>
        <v/>
      </c>
      <c r="CE126" s="62">
        <f>CE$112+CE$120</f>
        <v/>
      </c>
      <c r="CF126" s="62">
        <f>CF$112+CF$120</f>
        <v/>
      </c>
      <c r="CG126" s="62">
        <f>CG$112+CG$120</f>
        <v/>
      </c>
      <c r="CH126" s="62">
        <f>CH$112+CH$120</f>
        <v/>
      </c>
      <c r="CI126" s="62">
        <f>CI$112+CI$120</f>
        <v/>
      </c>
      <c r="CJ126" s="62">
        <f>CJ$112+CJ$120</f>
        <v/>
      </c>
      <c r="CK126" s="62">
        <f>CK$112+CK$120</f>
        <v/>
      </c>
      <c r="CL126" s="62">
        <f>CL$112+CL$120</f>
        <v/>
      </c>
      <c r="CM126" s="62">
        <f>CM$112+CM$120</f>
        <v/>
      </c>
      <c r="CN126" s="62">
        <f>CN$112+CN$120</f>
        <v/>
      </c>
      <c r="CO126" s="62">
        <f>CO$112+CO$120</f>
        <v/>
      </c>
      <c r="CP126" s="62">
        <f>CP$112+CP$120</f>
        <v/>
      </c>
      <c r="CQ126" s="62">
        <f>CQ$112+CQ$120</f>
        <v/>
      </c>
      <c r="CR126" s="62">
        <f>CR$112+CR$120</f>
        <v/>
      </c>
      <c r="CS126" s="62">
        <f>CS$112+CS$120</f>
        <v/>
      </c>
      <c r="CT126" s="62">
        <f>CT$112+CT$120</f>
        <v/>
      </c>
      <c r="CU126" s="62">
        <f>CU$112+CU$120</f>
        <v/>
      </c>
      <c r="CV126" s="62">
        <f>CV$112+CV$120</f>
        <v/>
      </c>
      <c r="CW126" s="62">
        <f>CW$112+CW$120</f>
        <v/>
      </c>
      <c r="CX126" s="62">
        <f>CX$112+CX$120</f>
        <v/>
      </c>
      <c r="CY126" s="62">
        <f>CY$112+CY$120</f>
        <v/>
      </c>
      <c r="CZ126" s="62">
        <f>CZ$112+CZ$120</f>
        <v/>
      </c>
      <c r="DA126" s="62">
        <f>DA$112+DA$120</f>
        <v/>
      </c>
      <c r="DB126" s="62">
        <f>DB$112+DB$120</f>
        <v/>
      </c>
      <c r="DC126" s="62">
        <f>DC$112+DC$120</f>
        <v/>
      </c>
      <c r="DD126" s="62">
        <f>DD$112+DD$120</f>
        <v/>
      </c>
      <c r="DE126" s="62">
        <f>DE$112+DE$120</f>
        <v/>
      </c>
      <c r="DF126" s="62">
        <f>DF$112+DF$120</f>
        <v/>
      </c>
      <c r="DG126" s="62">
        <f>DG$112+DG$120</f>
        <v/>
      </c>
      <c r="DH126" s="62">
        <f>DH$112+DH$120</f>
        <v/>
      </c>
      <c r="DI126" s="62">
        <f>DI$112+DI$120</f>
        <v/>
      </c>
      <c r="DJ126" s="62">
        <f>DJ$112+DJ$120</f>
        <v/>
      </c>
      <c r="DK126" s="62">
        <f>DK$112+DK$120</f>
        <v/>
      </c>
      <c r="DL126" s="62">
        <f>DL$112+DL$120</f>
        <v/>
      </c>
      <c r="DM126" s="62">
        <f>DM$112+DM$120</f>
        <v/>
      </c>
      <c r="DN126" s="62">
        <f>DN$112+DN$120</f>
        <v/>
      </c>
      <c r="DO126" s="62">
        <f>DO$112+DO$120</f>
        <v/>
      </c>
      <c r="DP126" s="62">
        <f>DP$112+DP$120</f>
        <v/>
      </c>
      <c r="DQ126" s="62">
        <f>DQ$112+DQ$120</f>
        <v/>
      </c>
      <c r="DR126" s="62">
        <f>DR$112+DR$120</f>
        <v/>
      </c>
      <c r="DS126" s="62">
        <f>DS$112+DS$120</f>
        <v/>
      </c>
      <c r="DT126" s="62">
        <f>DT$112+DT$120</f>
        <v/>
      </c>
    </row>
    <row r="127">
      <c r="A127" s="3" t="inlineStr">
        <is>
          <t>TOTAL loan draws ($)</t>
        </is>
      </c>
      <c r="E127" s="62">
        <f>E$109+E$117</f>
        <v/>
      </c>
      <c r="F127" s="62">
        <f>F$109+F$117</f>
        <v/>
      </c>
      <c r="G127" s="62">
        <f>G$109+G$117</f>
        <v/>
      </c>
      <c r="H127" s="62">
        <f>H$109+H$117</f>
        <v/>
      </c>
      <c r="I127" s="62">
        <f>I$109+I$117</f>
        <v/>
      </c>
      <c r="J127" s="62">
        <f>J$109+J$117</f>
        <v/>
      </c>
      <c r="K127" s="62">
        <f>K$109+K$117</f>
        <v/>
      </c>
      <c r="L127" s="62">
        <f>L$109+L$117</f>
        <v/>
      </c>
      <c r="M127" s="62">
        <f>M$109+M$117</f>
        <v/>
      </c>
      <c r="N127" s="62">
        <f>N$109+N$117</f>
        <v/>
      </c>
      <c r="O127" s="62">
        <f>O$109+O$117</f>
        <v/>
      </c>
      <c r="P127" s="62">
        <f>P$109+P$117</f>
        <v/>
      </c>
      <c r="Q127" s="62">
        <f>Q$109+Q$117</f>
        <v/>
      </c>
      <c r="R127" s="62">
        <f>R$109+R$117</f>
        <v/>
      </c>
      <c r="S127" s="62">
        <f>S$109+S$117</f>
        <v/>
      </c>
      <c r="T127" s="62">
        <f>T$109+T$117</f>
        <v/>
      </c>
      <c r="U127" s="62">
        <f>U$109+U$117</f>
        <v/>
      </c>
      <c r="V127" s="62">
        <f>V$109+V$117</f>
        <v/>
      </c>
      <c r="W127" s="62">
        <f>W$109+W$117</f>
        <v/>
      </c>
      <c r="X127" s="62">
        <f>X$109+X$117</f>
        <v/>
      </c>
      <c r="Y127" s="62">
        <f>Y$109+Y$117</f>
        <v/>
      </c>
      <c r="Z127" s="62">
        <f>Z$109+Z$117</f>
        <v/>
      </c>
      <c r="AA127" s="62">
        <f>AA$109+AA$117</f>
        <v/>
      </c>
      <c r="AB127" s="62">
        <f>AB$109+AB$117</f>
        <v/>
      </c>
      <c r="AC127" s="62">
        <f>AC$109+AC$117</f>
        <v/>
      </c>
      <c r="AD127" s="62">
        <f>AD$109+AD$117</f>
        <v/>
      </c>
      <c r="AE127" s="62">
        <f>AE$109+AE$117</f>
        <v/>
      </c>
      <c r="AF127" s="62">
        <f>AF$109+AF$117</f>
        <v/>
      </c>
      <c r="AG127" s="62">
        <f>AG$109+AG$117</f>
        <v/>
      </c>
      <c r="AH127" s="62">
        <f>AH$109+AH$117</f>
        <v/>
      </c>
      <c r="AI127" s="62">
        <f>AI$109+AI$117</f>
        <v/>
      </c>
      <c r="AJ127" s="62">
        <f>AJ$109+AJ$117</f>
        <v/>
      </c>
      <c r="AK127" s="62">
        <f>AK$109+AK$117</f>
        <v/>
      </c>
      <c r="AL127" s="62">
        <f>AL$109+AL$117</f>
        <v/>
      </c>
      <c r="AM127" s="62">
        <f>AM$109+AM$117</f>
        <v/>
      </c>
      <c r="AN127" s="62">
        <f>AN$109+AN$117</f>
        <v/>
      </c>
      <c r="AO127" s="62">
        <f>AO$109+AO$117</f>
        <v/>
      </c>
      <c r="AP127" s="62">
        <f>AP$109+AP$117</f>
        <v/>
      </c>
      <c r="AQ127" s="62">
        <f>AQ$109+AQ$117</f>
        <v/>
      </c>
      <c r="AR127" s="62">
        <f>AR$109+AR$117</f>
        <v/>
      </c>
      <c r="AS127" s="62">
        <f>AS$109+AS$117</f>
        <v/>
      </c>
      <c r="AT127" s="62">
        <f>AT$109+AT$117</f>
        <v/>
      </c>
      <c r="AU127" s="62">
        <f>AU$109+AU$117</f>
        <v/>
      </c>
      <c r="AV127" s="62">
        <f>AV$109+AV$117</f>
        <v/>
      </c>
      <c r="AW127" s="62">
        <f>AW$109+AW$117</f>
        <v/>
      </c>
      <c r="AX127" s="62">
        <f>AX$109+AX$117</f>
        <v/>
      </c>
      <c r="AY127" s="62">
        <f>AY$109+AY$117</f>
        <v/>
      </c>
      <c r="AZ127" s="62">
        <f>AZ$109+AZ$117</f>
        <v/>
      </c>
      <c r="BA127" s="62">
        <f>BA$109+BA$117</f>
        <v/>
      </c>
      <c r="BB127" s="62">
        <f>BB$109+BB$117</f>
        <v/>
      </c>
      <c r="BC127" s="62">
        <f>BC$109+BC$117</f>
        <v/>
      </c>
      <c r="BD127" s="62">
        <f>BD$109+BD$117</f>
        <v/>
      </c>
      <c r="BE127" s="62">
        <f>BE$109+BE$117</f>
        <v/>
      </c>
      <c r="BF127" s="62">
        <f>BF$109+BF$117</f>
        <v/>
      </c>
      <c r="BG127" s="62">
        <f>BG$109+BG$117</f>
        <v/>
      </c>
      <c r="BH127" s="62">
        <f>BH$109+BH$117</f>
        <v/>
      </c>
      <c r="BI127" s="62">
        <f>BI$109+BI$117</f>
        <v/>
      </c>
      <c r="BJ127" s="62">
        <f>BJ$109+BJ$117</f>
        <v/>
      </c>
      <c r="BK127" s="62">
        <f>BK$109+BK$117</f>
        <v/>
      </c>
      <c r="BL127" s="62">
        <f>BL$109+BL$117</f>
        <v/>
      </c>
      <c r="BM127" s="62">
        <f>BM$109+BM$117</f>
        <v/>
      </c>
      <c r="BN127" s="62">
        <f>BN$109+BN$117</f>
        <v/>
      </c>
      <c r="BO127" s="62">
        <f>BO$109+BO$117</f>
        <v/>
      </c>
      <c r="BP127" s="62">
        <f>BP$109+BP$117</f>
        <v/>
      </c>
      <c r="BQ127" s="62">
        <f>BQ$109+BQ$117</f>
        <v/>
      </c>
      <c r="BR127" s="62">
        <f>BR$109+BR$117</f>
        <v/>
      </c>
      <c r="BS127" s="62">
        <f>BS$109+BS$117</f>
        <v/>
      </c>
      <c r="BT127" s="62">
        <f>BT$109+BT$117</f>
        <v/>
      </c>
      <c r="BU127" s="62">
        <f>BU$109+BU$117</f>
        <v/>
      </c>
      <c r="BV127" s="62">
        <f>BV$109+BV$117</f>
        <v/>
      </c>
      <c r="BW127" s="62">
        <f>BW$109+BW$117</f>
        <v/>
      </c>
      <c r="BX127" s="62">
        <f>BX$109+BX$117</f>
        <v/>
      </c>
      <c r="BY127" s="62">
        <f>BY$109+BY$117</f>
        <v/>
      </c>
      <c r="BZ127" s="62">
        <f>BZ$109+BZ$117</f>
        <v/>
      </c>
      <c r="CA127" s="62">
        <f>CA$109+CA$117</f>
        <v/>
      </c>
      <c r="CB127" s="62">
        <f>CB$109+CB$117</f>
        <v/>
      </c>
      <c r="CC127" s="62">
        <f>CC$109+CC$117</f>
        <v/>
      </c>
      <c r="CD127" s="62">
        <f>CD$109+CD$117</f>
        <v/>
      </c>
      <c r="CE127" s="62">
        <f>CE$109+CE$117</f>
        <v/>
      </c>
      <c r="CF127" s="62">
        <f>CF$109+CF$117</f>
        <v/>
      </c>
      <c r="CG127" s="62">
        <f>CG$109+CG$117</f>
        <v/>
      </c>
      <c r="CH127" s="62">
        <f>CH$109+CH$117</f>
        <v/>
      </c>
      <c r="CI127" s="62">
        <f>CI$109+CI$117</f>
        <v/>
      </c>
      <c r="CJ127" s="62">
        <f>CJ$109+CJ$117</f>
        <v/>
      </c>
      <c r="CK127" s="62">
        <f>CK$109+CK$117</f>
        <v/>
      </c>
      <c r="CL127" s="62">
        <f>CL$109+CL$117</f>
        <v/>
      </c>
      <c r="CM127" s="62">
        <f>CM$109+CM$117</f>
        <v/>
      </c>
      <c r="CN127" s="62">
        <f>CN$109+CN$117</f>
        <v/>
      </c>
      <c r="CO127" s="62">
        <f>CO$109+CO$117</f>
        <v/>
      </c>
      <c r="CP127" s="62">
        <f>CP$109+CP$117</f>
        <v/>
      </c>
      <c r="CQ127" s="62">
        <f>CQ$109+CQ$117</f>
        <v/>
      </c>
      <c r="CR127" s="62">
        <f>CR$109+CR$117</f>
        <v/>
      </c>
      <c r="CS127" s="62">
        <f>CS$109+CS$117</f>
        <v/>
      </c>
      <c r="CT127" s="62">
        <f>CT$109+CT$117</f>
        <v/>
      </c>
      <c r="CU127" s="62">
        <f>CU$109+CU$117</f>
        <v/>
      </c>
      <c r="CV127" s="62">
        <f>CV$109+CV$117</f>
        <v/>
      </c>
      <c r="CW127" s="62">
        <f>CW$109+CW$117</f>
        <v/>
      </c>
      <c r="CX127" s="62">
        <f>CX$109+CX$117</f>
        <v/>
      </c>
      <c r="CY127" s="62">
        <f>CY$109+CY$117</f>
        <v/>
      </c>
      <c r="CZ127" s="62">
        <f>CZ$109+CZ$117</f>
        <v/>
      </c>
      <c r="DA127" s="62">
        <f>DA$109+DA$117</f>
        <v/>
      </c>
      <c r="DB127" s="62">
        <f>DB$109+DB$117</f>
        <v/>
      </c>
      <c r="DC127" s="62">
        <f>DC$109+DC$117</f>
        <v/>
      </c>
      <c r="DD127" s="62">
        <f>DD$109+DD$117</f>
        <v/>
      </c>
      <c r="DE127" s="62">
        <f>DE$109+DE$117</f>
        <v/>
      </c>
      <c r="DF127" s="62">
        <f>DF$109+DF$117</f>
        <v/>
      </c>
      <c r="DG127" s="62">
        <f>DG$109+DG$117</f>
        <v/>
      </c>
      <c r="DH127" s="62">
        <f>DH$109+DH$117</f>
        <v/>
      </c>
      <c r="DI127" s="62">
        <f>DI$109+DI$117</f>
        <v/>
      </c>
      <c r="DJ127" s="62">
        <f>DJ$109+DJ$117</f>
        <v/>
      </c>
      <c r="DK127" s="62">
        <f>DK$109+DK$117</f>
        <v/>
      </c>
      <c r="DL127" s="62">
        <f>DL$109+DL$117</f>
        <v/>
      </c>
      <c r="DM127" s="62">
        <f>DM$109+DM$117</f>
        <v/>
      </c>
      <c r="DN127" s="62">
        <f>DN$109+DN$117</f>
        <v/>
      </c>
      <c r="DO127" s="62">
        <f>DO$109+DO$117</f>
        <v/>
      </c>
      <c r="DP127" s="62">
        <f>DP$109+DP$117</f>
        <v/>
      </c>
      <c r="DQ127" s="62">
        <f>DQ$109+DQ$117</f>
        <v/>
      </c>
      <c r="DR127" s="62">
        <f>DR$109+DR$117</f>
        <v/>
      </c>
      <c r="DS127" s="62">
        <f>DS$109+DS$117</f>
        <v/>
      </c>
      <c r="DT127" s="62">
        <f>DT$109+DT$117</f>
        <v/>
      </c>
    </row>
    <row r="128">
      <c r="A128" s="3" t="inlineStr">
        <is>
          <t>TOTAL refi payoff ($)</t>
        </is>
      </c>
      <c r="E128" s="62">
        <f>E$113+E$121-IF(AND(RefiOn="On",Assumptions!E$72=RefiMonth),RefiLoan*RefiCostPct,0)</f>
        <v/>
      </c>
      <c r="F128" s="62">
        <f>F$113+F$121-IF(AND(RefiOn="On",Assumptions!F$72=RefiMonth),RefiLoan*RefiCostPct,0)</f>
        <v/>
      </c>
      <c r="G128" s="62">
        <f>G$113+G$121-IF(AND(RefiOn="On",Assumptions!G$72=RefiMonth),RefiLoan*RefiCostPct,0)</f>
        <v/>
      </c>
      <c r="H128" s="62">
        <f>H$113+H$121-IF(AND(RefiOn="On",Assumptions!H$72=RefiMonth),RefiLoan*RefiCostPct,0)</f>
        <v/>
      </c>
      <c r="I128" s="62">
        <f>I$113+I$121-IF(AND(RefiOn="On",Assumptions!I$72=RefiMonth),RefiLoan*RefiCostPct,0)</f>
        <v/>
      </c>
      <c r="J128" s="62">
        <f>J$113+J$121-IF(AND(RefiOn="On",Assumptions!J$72=RefiMonth),RefiLoan*RefiCostPct,0)</f>
        <v/>
      </c>
      <c r="K128" s="62">
        <f>K$113+K$121-IF(AND(RefiOn="On",Assumptions!K$72=RefiMonth),RefiLoan*RefiCostPct,0)</f>
        <v/>
      </c>
      <c r="L128" s="62">
        <f>L$113+L$121-IF(AND(RefiOn="On",Assumptions!L$72=RefiMonth),RefiLoan*RefiCostPct,0)</f>
        <v/>
      </c>
      <c r="M128" s="62">
        <f>M$113+M$121-IF(AND(RefiOn="On",Assumptions!M$72=RefiMonth),RefiLoan*RefiCostPct,0)</f>
        <v/>
      </c>
      <c r="N128" s="62">
        <f>N$113+N$121-IF(AND(RefiOn="On",Assumptions!N$72=RefiMonth),RefiLoan*RefiCostPct,0)</f>
        <v/>
      </c>
      <c r="O128" s="62">
        <f>O$113+O$121-IF(AND(RefiOn="On",Assumptions!O$72=RefiMonth),RefiLoan*RefiCostPct,0)</f>
        <v/>
      </c>
      <c r="P128" s="62">
        <f>P$113+P$121-IF(AND(RefiOn="On",Assumptions!P$72=RefiMonth),RefiLoan*RefiCostPct,0)</f>
        <v/>
      </c>
      <c r="Q128" s="62">
        <f>Q$113+Q$121-IF(AND(RefiOn="On",Assumptions!Q$72=RefiMonth),RefiLoan*RefiCostPct,0)</f>
        <v/>
      </c>
      <c r="R128" s="62">
        <f>R$113+R$121-IF(AND(RefiOn="On",Assumptions!R$72=RefiMonth),RefiLoan*RefiCostPct,0)</f>
        <v/>
      </c>
      <c r="S128" s="62">
        <f>S$113+S$121-IF(AND(RefiOn="On",Assumptions!S$72=RefiMonth),RefiLoan*RefiCostPct,0)</f>
        <v/>
      </c>
      <c r="T128" s="62">
        <f>T$113+T$121-IF(AND(RefiOn="On",Assumptions!T$72=RefiMonth),RefiLoan*RefiCostPct,0)</f>
        <v/>
      </c>
      <c r="U128" s="62">
        <f>U$113+U$121-IF(AND(RefiOn="On",Assumptions!U$72=RefiMonth),RefiLoan*RefiCostPct,0)</f>
        <v/>
      </c>
      <c r="V128" s="62">
        <f>V$113+V$121-IF(AND(RefiOn="On",Assumptions!V$72=RefiMonth),RefiLoan*RefiCostPct,0)</f>
        <v/>
      </c>
      <c r="W128" s="62">
        <f>W$113+W$121-IF(AND(RefiOn="On",Assumptions!W$72=RefiMonth),RefiLoan*RefiCostPct,0)</f>
        <v/>
      </c>
      <c r="X128" s="62">
        <f>X$113+X$121-IF(AND(RefiOn="On",Assumptions!X$72=RefiMonth),RefiLoan*RefiCostPct,0)</f>
        <v/>
      </c>
      <c r="Y128" s="62">
        <f>Y$113+Y$121-IF(AND(RefiOn="On",Assumptions!Y$72=RefiMonth),RefiLoan*RefiCostPct,0)</f>
        <v/>
      </c>
      <c r="Z128" s="62">
        <f>Z$113+Z$121-IF(AND(RefiOn="On",Assumptions!Z$72=RefiMonth),RefiLoan*RefiCostPct,0)</f>
        <v/>
      </c>
      <c r="AA128" s="62">
        <f>AA$113+AA$121-IF(AND(RefiOn="On",Assumptions!AA$72=RefiMonth),RefiLoan*RefiCostPct,0)</f>
        <v/>
      </c>
      <c r="AB128" s="62">
        <f>AB$113+AB$121-IF(AND(RefiOn="On",Assumptions!AB$72=RefiMonth),RefiLoan*RefiCostPct,0)</f>
        <v/>
      </c>
      <c r="AC128" s="62">
        <f>AC$113+AC$121-IF(AND(RefiOn="On",Assumptions!AC$72=RefiMonth),RefiLoan*RefiCostPct,0)</f>
        <v/>
      </c>
      <c r="AD128" s="62">
        <f>AD$113+AD$121-IF(AND(RefiOn="On",Assumptions!AD$72=RefiMonth),RefiLoan*RefiCostPct,0)</f>
        <v/>
      </c>
      <c r="AE128" s="62">
        <f>AE$113+AE$121-IF(AND(RefiOn="On",Assumptions!AE$72=RefiMonth),RefiLoan*RefiCostPct,0)</f>
        <v/>
      </c>
      <c r="AF128" s="62">
        <f>AF$113+AF$121-IF(AND(RefiOn="On",Assumptions!AF$72=RefiMonth),RefiLoan*RefiCostPct,0)</f>
        <v/>
      </c>
      <c r="AG128" s="62">
        <f>AG$113+AG$121-IF(AND(RefiOn="On",Assumptions!AG$72=RefiMonth),RefiLoan*RefiCostPct,0)</f>
        <v/>
      </c>
      <c r="AH128" s="62">
        <f>AH$113+AH$121-IF(AND(RefiOn="On",Assumptions!AH$72=RefiMonth),RefiLoan*RefiCostPct,0)</f>
        <v/>
      </c>
      <c r="AI128" s="62">
        <f>AI$113+AI$121-IF(AND(RefiOn="On",Assumptions!AI$72=RefiMonth),RefiLoan*RefiCostPct,0)</f>
        <v/>
      </c>
      <c r="AJ128" s="62">
        <f>AJ$113+AJ$121-IF(AND(RefiOn="On",Assumptions!AJ$72=RefiMonth),RefiLoan*RefiCostPct,0)</f>
        <v/>
      </c>
      <c r="AK128" s="62">
        <f>AK$113+AK$121-IF(AND(RefiOn="On",Assumptions!AK$72=RefiMonth),RefiLoan*RefiCostPct,0)</f>
        <v/>
      </c>
      <c r="AL128" s="62">
        <f>AL$113+AL$121-IF(AND(RefiOn="On",Assumptions!AL$72=RefiMonth),RefiLoan*RefiCostPct,0)</f>
        <v/>
      </c>
      <c r="AM128" s="62">
        <f>AM$113+AM$121-IF(AND(RefiOn="On",Assumptions!AM$72=RefiMonth),RefiLoan*RefiCostPct,0)</f>
        <v/>
      </c>
      <c r="AN128" s="62">
        <f>AN$113+AN$121-IF(AND(RefiOn="On",Assumptions!AN$72=RefiMonth),RefiLoan*RefiCostPct,0)</f>
        <v/>
      </c>
      <c r="AO128" s="62">
        <f>AO$113+AO$121-IF(AND(RefiOn="On",Assumptions!AO$72=RefiMonth),RefiLoan*RefiCostPct,0)</f>
        <v/>
      </c>
      <c r="AP128" s="62">
        <f>AP$113+AP$121-IF(AND(RefiOn="On",Assumptions!AP$72=RefiMonth),RefiLoan*RefiCostPct,0)</f>
        <v/>
      </c>
      <c r="AQ128" s="62">
        <f>AQ$113+AQ$121-IF(AND(RefiOn="On",Assumptions!AQ$72=RefiMonth),RefiLoan*RefiCostPct,0)</f>
        <v/>
      </c>
      <c r="AR128" s="62">
        <f>AR$113+AR$121-IF(AND(RefiOn="On",Assumptions!AR$72=RefiMonth),RefiLoan*RefiCostPct,0)</f>
        <v/>
      </c>
      <c r="AS128" s="62">
        <f>AS$113+AS$121-IF(AND(RefiOn="On",Assumptions!AS$72=RefiMonth),RefiLoan*RefiCostPct,0)</f>
        <v/>
      </c>
      <c r="AT128" s="62">
        <f>AT$113+AT$121-IF(AND(RefiOn="On",Assumptions!AT$72=RefiMonth),RefiLoan*RefiCostPct,0)</f>
        <v/>
      </c>
      <c r="AU128" s="62">
        <f>AU$113+AU$121-IF(AND(RefiOn="On",Assumptions!AU$72=RefiMonth),RefiLoan*RefiCostPct,0)</f>
        <v/>
      </c>
      <c r="AV128" s="62">
        <f>AV$113+AV$121-IF(AND(RefiOn="On",Assumptions!AV$72=RefiMonth),RefiLoan*RefiCostPct,0)</f>
        <v/>
      </c>
      <c r="AW128" s="62">
        <f>AW$113+AW$121-IF(AND(RefiOn="On",Assumptions!AW$72=RefiMonth),RefiLoan*RefiCostPct,0)</f>
        <v/>
      </c>
      <c r="AX128" s="62">
        <f>AX$113+AX$121-IF(AND(RefiOn="On",Assumptions!AX$72=RefiMonth),RefiLoan*RefiCostPct,0)</f>
        <v/>
      </c>
      <c r="AY128" s="62">
        <f>AY$113+AY$121-IF(AND(RefiOn="On",Assumptions!AY$72=RefiMonth),RefiLoan*RefiCostPct,0)</f>
        <v/>
      </c>
      <c r="AZ128" s="62">
        <f>AZ$113+AZ$121-IF(AND(RefiOn="On",Assumptions!AZ$72=RefiMonth),RefiLoan*RefiCostPct,0)</f>
        <v/>
      </c>
      <c r="BA128" s="62">
        <f>BA$113+BA$121-IF(AND(RefiOn="On",Assumptions!BA$72=RefiMonth),RefiLoan*RefiCostPct,0)</f>
        <v/>
      </c>
      <c r="BB128" s="62">
        <f>BB$113+BB$121-IF(AND(RefiOn="On",Assumptions!BB$72=RefiMonth),RefiLoan*RefiCostPct,0)</f>
        <v/>
      </c>
      <c r="BC128" s="62">
        <f>BC$113+BC$121-IF(AND(RefiOn="On",Assumptions!BC$72=RefiMonth),RefiLoan*RefiCostPct,0)</f>
        <v/>
      </c>
      <c r="BD128" s="62">
        <f>BD$113+BD$121-IF(AND(RefiOn="On",Assumptions!BD$72=RefiMonth),RefiLoan*RefiCostPct,0)</f>
        <v/>
      </c>
      <c r="BE128" s="62">
        <f>BE$113+BE$121-IF(AND(RefiOn="On",Assumptions!BE$72=RefiMonth),RefiLoan*RefiCostPct,0)</f>
        <v/>
      </c>
      <c r="BF128" s="62">
        <f>BF$113+BF$121-IF(AND(RefiOn="On",Assumptions!BF$72=RefiMonth),RefiLoan*RefiCostPct,0)</f>
        <v/>
      </c>
      <c r="BG128" s="62">
        <f>BG$113+BG$121-IF(AND(RefiOn="On",Assumptions!BG$72=RefiMonth),RefiLoan*RefiCostPct,0)</f>
        <v/>
      </c>
      <c r="BH128" s="62">
        <f>BH$113+BH$121-IF(AND(RefiOn="On",Assumptions!BH$72=RefiMonth),RefiLoan*RefiCostPct,0)</f>
        <v/>
      </c>
      <c r="BI128" s="62">
        <f>BI$113+BI$121-IF(AND(RefiOn="On",Assumptions!BI$72=RefiMonth),RefiLoan*RefiCostPct,0)</f>
        <v/>
      </c>
      <c r="BJ128" s="62">
        <f>BJ$113+BJ$121-IF(AND(RefiOn="On",Assumptions!BJ$72=RefiMonth),RefiLoan*RefiCostPct,0)</f>
        <v/>
      </c>
      <c r="BK128" s="62">
        <f>BK$113+BK$121-IF(AND(RefiOn="On",Assumptions!BK$72=RefiMonth),RefiLoan*RefiCostPct,0)</f>
        <v/>
      </c>
      <c r="BL128" s="62">
        <f>BL$113+BL$121-IF(AND(RefiOn="On",Assumptions!BL$72=RefiMonth),RefiLoan*RefiCostPct,0)</f>
        <v/>
      </c>
      <c r="BM128" s="62">
        <f>BM$113+BM$121-IF(AND(RefiOn="On",Assumptions!BM$72=RefiMonth),RefiLoan*RefiCostPct,0)</f>
        <v/>
      </c>
      <c r="BN128" s="62">
        <f>BN$113+BN$121-IF(AND(RefiOn="On",Assumptions!BN$72=RefiMonth),RefiLoan*RefiCostPct,0)</f>
        <v/>
      </c>
      <c r="BO128" s="62">
        <f>BO$113+BO$121-IF(AND(RefiOn="On",Assumptions!BO$72=RefiMonth),RefiLoan*RefiCostPct,0)</f>
        <v/>
      </c>
      <c r="BP128" s="62">
        <f>BP$113+BP$121-IF(AND(RefiOn="On",Assumptions!BP$72=RefiMonth),RefiLoan*RefiCostPct,0)</f>
        <v/>
      </c>
      <c r="BQ128" s="62">
        <f>BQ$113+BQ$121-IF(AND(RefiOn="On",Assumptions!BQ$72=RefiMonth),RefiLoan*RefiCostPct,0)</f>
        <v/>
      </c>
      <c r="BR128" s="62">
        <f>BR$113+BR$121-IF(AND(RefiOn="On",Assumptions!BR$72=RefiMonth),RefiLoan*RefiCostPct,0)</f>
        <v/>
      </c>
      <c r="BS128" s="62">
        <f>BS$113+BS$121-IF(AND(RefiOn="On",Assumptions!BS$72=RefiMonth),RefiLoan*RefiCostPct,0)</f>
        <v/>
      </c>
      <c r="BT128" s="62">
        <f>BT$113+BT$121-IF(AND(RefiOn="On",Assumptions!BT$72=RefiMonth),RefiLoan*RefiCostPct,0)</f>
        <v/>
      </c>
      <c r="BU128" s="62">
        <f>BU$113+BU$121-IF(AND(RefiOn="On",Assumptions!BU$72=RefiMonth),RefiLoan*RefiCostPct,0)</f>
        <v/>
      </c>
      <c r="BV128" s="62">
        <f>BV$113+BV$121-IF(AND(RefiOn="On",Assumptions!BV$72=RefiMonth),RefiLoan*RefiCostPct,0)</f>
        <v/>
      </c>
      <c r="BW128" s="62">
        <f>BW$113+BW$121-IF(AND(RefiOn="On",Assumptions!BW$72=RefiMonth),RefiLoan*RefiCostPct,0)</f>
        <v/>
      </c>
      <c r="BX128" s="62">
        <f>BX$113+BX$121-IF(AND(RefiOn="On",Assumptions!BX$72=RefiMonth),RefiLoan*RefiCostPct,0)</f>
        <v/>
      </c>
      <c r="BY128" s="62">
        <f>BY$113+BY$121-IF(AND(RefiOn="On",Assumptions!BY$72=RefiMonth),RefiLoan*RefiCostPct,0)</f>
        <v/>
      </c>
      <c r="BZ128" s="62">
        <f>BZ$113+BZ$121-IF(AND(RefiOn="On",Assumptions!BZ$72=RefiMonth),RefiLoan*RefiCostPct,0)</f>
        <v/>
      </c>
      <c r="CA128" s="62">
        <f>CA$113+CA$121-IF(AND(RefiOn="On",Assumptions!CA$72=RefiMonth),RefiLoan*RefiCostPct,0)</f>
        <v/>
      </c>
      <c r="CB128" s="62">
        <f>CB$113+CB$121-IF(AND(RefiOn="On",Assumptions!CB$72=RefiMonth),RefiLoan*RefiCostPct,0)</f>
        <v/>
      </c>
      <c r="CC128" s="62">
        <f>CC$113+CC$121-IF(AND(RefiOn="On",Assumptions!CC$72=RefiMonth),RefiLoan*RefiCostPct,0)</f>
        <v/>
      </c>
      <c r="CD128" s="62">
        <f>CD$113+CD$121-IF(AND(RefiOn="On",Assumptions!CD$72=RefiMonth),RefiLoan*RefiCostPct,0)</f>
        <v/>
      </c>
      <c r="CE128" s="62">
        <f>CE$113+CE$121-IF(AND(RefiOn="On",Assumptions!CE$72=RefiMonth),RefiLoan*RefiCostPct,0)</f>
        <v/>
      </c>
      <c r="CF128" s="62">
        <f>CF$113+CF$121-IF(AND(RefiOn="On",Assumptions!CF$72=RefiMonth),RefiLoan*RefiCostPct,0)</f>
        <v/>
      </c>
      <c r="CG128" s="62">
        <f>CG$113+CG$121-IF(AND(RefiOn="On",Assumptions!CG$72=RefiMonth),RefiLoan*RefiCostPct,0)</f>
        <v/>
      </c>
      <c r="CH128" s="62">
        <f>CH$113+CH$121-IF(AND(RefiOn="On",Assumptions!CH$72=RefiMonth),RefiLoan*RefiCostPct,0)</f>
        <v/>
      </c>
      <c r="CI128" s="62">
        <f>CI$113+CI$121-IF(AND(RefiOn="On",Assumptions!CI$72=RefiMonth),RefiLoan*RefiCostPct,0)</f>
        <v/>
      </c>
      <c r="CJ128" s="62">
        <f>CJ$113+CJ$121-IF(AND(RefiOn="On",Assumptions!CJ$72=RefiMonth),RefiLoan*RefiCostPct,0)</f>
        <v/>
      </c>
      <c r="CK128" s="62">
        <f>CK$113+CK$121-IF(AND(RefiOn="On",Assumptions!CK$72=RefiMonth),RefiLoan*RefiCostPct,0)</f>
        <v/>
      </c>
      <c r="CL128" s="62">
        <f>CL$113+CL$121-IF(AND(RefiOn="On",Assumptions!CL$72=RefiMonth),RefiLoan*RefiCostPct,0)</f>
        <v/>
      </c>
      <c r="CM128" s="62">
        <f>CM$113+CM$121-IF(AND(RefiOn="On",Assumptions!CM$72=RefiMonth),RefiLoan*RefiCostPct,0)</f>
        <v/>
      </c>
      <c r="CN128" s="62">
        <f>CN$113+CN$121-IF(AND(RefiOn="On",Assumptions!CN$72=RefiMonth),RefiLoan*RefiCostPct,0)</f>
        <v/>
      </c>
      <c r="CO128" s="62">
        <f>CO$113+CO$121-IF(AND(RefiOn="On",Assumptions!CO$72=RefiMonth),RefiLoan*RefiCostPct,0)</f>
        <v/>
      </c>
      <c r="CP128" s="62">
        <f>CP$113+CP$121-IF(AND(RefiOn="On",Assumptions!CP$72=RefiMonth),RefiLoan*RefiCostPct,0)</f>
        <v/>
      </c>
      <c r="CQ128" s="62">
        <f>CQ$113+CQ$121-IF(AND(RefiOn="On",Assumptions!CQ$72=RefiMonth),RefiLoan*RefiCostPct,0)</f>
        <v/>
      </c>
      <c r="CR128" s="62">
        <f>CR$113+CR$121-IF(AND(RefiOn="On",Assumptions!CR$72=RefiMonth),RefiLoan*RefiCostPct,0)</f>
        <v/>
      </c>
      <c r="CS128" s="62">
        <f>CS$113+CS$121-IF(AND(RefiOn="On",Assumptions!CS$72=RefiMonth),RefiLoan*RefiCostPct,0)</f>
        <v/>
      </c>
      <c r="CT128" s="62">
        <f>CT$113+CT$121-IF(AND(RefiOn="On",Assumptions!CT$72=RefiMonth),RefiLoan*RefiCostPct,0)</f>
        <v/>
      </c>
      <c r="CU128" s="62">
        <f>CU$113+CU$121-IF(AND(RefiOn="On",Assumptions!CU$72=RefiMonth),RefiLoan*RefiCostPct,0)</f>
        <v/>
      </c>
      <c r="CV128" s="62">
        <f>CV$113+CV$121-IF(AND(RefiOn="On",Assumptions!CV$72=RefiMonth),RefiLoan*RefiCostPct,0)</f>
        <v/>
      </c>
      <c r="CW128" s="62">
        <f>CW$113+CW$121-IF(AND(RefiOn="On",Assumptions!CW$72=RefiMonth),RefiLoan*RefiCostPct,0)</f>
        <v/>
      </c>
      <c r="CX128" s="62">
        <f>CX$113+CX$121-IF(AND(RefiOn="On",Assumptions!CX$72=RefiMonth),RefiLoan*RefiCostPct,0)</f>
        <v/>
      </c>
      <c r="CY128" s="62">
        <f>CY$113+CY$121-IF(AND(RefiOn="On",Assumptions!CY$72=RefiMonth),RefiLoan*RefiCostPct,0)</f>
        <v/>
      </c>
      <c r="CZ128" s="62">
        <f>CZ$113+CZ$121-IF(AND(RefiOn="On",Assumptions!CZ$72=RefiMonth),RefiLoan*RefiCostPct,0)</f>
        <v/>
      </c>
      <c r="DA128" s="62">
        <f>DA$113+DA$121-IF(AND(RefiOn="On",Assumptions!DA$72=RefiMonth),RefiLoan*RefiCostPct,0)</f>
        <v/>
      </c>
      <c r="DB128" s="62">
        <f>DB$113+DB$121-IF(AND(RefiOn="On",Assumptions!DB$72=RefiMonth),RefiLoan*RefiCostPct,0)</f>
        <v/>
      </c>
      <c r="DC128" s="62">
        <f>DC$113+DC$121-IF(AND(RefiOn="On",Assumptions!DC$72=RefiMonth),RefiLoan*RefiCostPct,0)</f>
        <v/>
      </c>
      <c r="DD128" s="62">
        <f>DD$113+DD$121-IF(AND(RefiOn="On",Assumptions!DD$72=RefiMonth),RefiLoan*RefiCostPct,0)</f>
        <v/>
      </c>
      <c r="DE128" s="62">
        <f>DE$113+DE$121-IF(AND(RefiOn="On",Assumptions!DE$72=RefiMonth),RefiLoan*RefiCostPct,0)</f>
        <v/>
      </c>
      <c r="DF128" s="62">
        <f>DF$113+DF$121-IF(AND(RefiOn="On",Assumptions!DF$72=RefiMonth),RefiLoan*RefiCostPct,0)</f>
        <v/>
      </c>
      <c r="DG128" s="62">
        <f>DG$113+DG$121-IF(AND(RefiOn="On",Assumptions!DG$72=RefiMonth),RefiLoan*RefiCostPct,0)</f>
        <v/>
      </c>
      <c r="DH128" s="62">
        <f>DH$113+DH$121-IF(AND(RefiOn="On",Assumptions!DH$72=RefiMonth),RefiLoan*RefiCostPct,0)</f>
        <v/>
      </c>
      <c r="DI128" s="62">
        <f>DI$113+DI$121-IF(AND(RefiOn="On",Assumptions!DI$72=RefiMonth),RefiLoan*RefiCostPct,0)</f>
        <v/>
      </c>
      <c r="DJ128" s="62">
        <f>DJ$113+DJ$121-IF(AND(RefiOn="On",Assumptions!DJ$72=RefiMonth),RefiLoan*RefiCostPct,0)</f>
        <v/>
      </c>
      <c r="DK128" s="62">
        <f>DK$113+DK$121-IF(AND(RefiOn="On",Assumptions!DK$72=RefiMonth),RefiLoan*RefiCostPct,0)</f>
        <v/>
      </c>
      <c r="DL128" s="62">
        <f>DL$113+DL$121-IF(AND(RefiOn="On",Assumptions!DL$72=RefiMonth),RefiLoan*RefiCostPct,0)</f>
        <v/>
      </c>
      <c r="DM128" s="62">
        <f>DM$113+DM$121-IF(AND(RefiOn="On",Assumptions!DM$72=RefiMonth),RefiLoan*RefiCostPct,0)</f>
        <v/>
      </c>
      <c r="DN128" s="62">
        <f>DN$113+DN$121-IF(AND(RefiOn="On",Assumptions!DN$72=RefiMonth),RefiLoan*RefiCostPct,0)</f>
        <v/>
      </c>
      <c r="DO128" s="62">
        <f>DO$113+DO$121-IF(AND(RefiOn="On",Assumptions!DO$72=RefiMonth),RefiLoan*RefiCostPct,0)</f>
        <v/>
      </c>
      <c r="DP128" s="62">
        <f>DP$113+DP$121-IF(AND(RefiOn="On",Assumptions!DP$72=RefiMonth),RefiLoan*RefiCostPct,0)</f>
        <v/>
      </c>
      <c r="DQ128" s="62">
        <f>DQ$113+DQ$121-IF(AND(RefiOn="On",Assumptions!DQ$72=RefiMonth),RefiLoan*RefiCostPct,0)</f>
        <v/>
      </c>
      <c r="DR128" s="62">
        <f>DR$113+DR$121-IF(AND(RefiOn="On",Assumptions!DR$72=RefiMonth),RefiLoan*RefiCostPct,0)</f>
        <v/>
      </c>
      <c r="DS128" s="62">
        <f>DS$113+DS$121-IF(AND(RefiOn="On",Assumptions!DS$72=RefiMonth),RefiLoan*RefiCostPct,0)</f>
        <v/>
      </c>
      <c r="DT128" s="62">
        <f>DT$113+DT$121-IF(AND(RefiOn="On",Assumptions!DT$72=RefiMonth),RefiLoan*RefiCostPct,0)</f>
        <v/>
      </c>
    </row>
    <row r="130">
      <c r="A130" s="10" t="inlineStr">
        <is>
          <t>Refi cash-out (to waterfall) ($)</t>
        </is>
      </c>
      <c r="E130" s="52">
        <f>IF(AND(RefiOn="On",Assumptions!E$72=RefiMonth),RefiLoan-E$124-RefiLoan*RefiCostPct,0)</f>
        <v/>
      </c>
      <c r="F130" s="52">
        <f>IF(AND(RefiOn="On",Assumptions!F$72=RefiMonth),RefiLoan-F$124-RefiLoan*RefiCostPct,0)</f>
        <v/>
      </c>
      <c r="G130" s="52">
        <f>IF(AND(RefiOn="On",Assumptions!G$72=RefiMonth),RefiLoan-G$124-RefiLoan*RefiCostPct,0)</f>
        <v/>
      </c>
      <c r="H130" s="52">
        <f>IF(AND(RefiOn="On",Assumptions!H$72=RefiMonth),RefiLoan-H$124-RefiLoan*RefiCostPct,0)</f>
        <v/>
      </c>
      <c r="I130" s="52">
        <f>IF(AND(RefiOn="On",Assumptions!I$72=RefiMonth),RefiLoan-I$124-RefiLoan*RefiCostPct,0)</f>
        <v/>
      </c>
      <c r="J130" s="52">
        <f>IF(AND(RefiOn="On",Assumptions!J$72=RefiMonth),RefiLoan-J$124-RefiLoan*RefiCostPct,0)</f>
        <v/>
      </c>
      <c r="K130" s="52">
        <f>IF(AND(RefiOn="On",Assumptions!K$72=RefiMonth),RefiLoan-K$124-RefiLoan*RefiCostPct,0)</f>
        <v/>
      </c>
      <c r="L130" s="52">
        <f>IF(AND(RefiOn="On",Assumptions!L$72=RefiMonth),RefiLoan-L$124-RefiLoan*RefiCostPct,0)</f>
        <v/>
      </c>
      <c r="M130" s="52">
        <f>IF(AND(RefiOn="On",Assumptions!M$72=RefiMonth),RefiLoan-M$124-RefiLoan*RefiCostPct,0)</f>
        <v/>
      </c>
      <c r="N130" s="52">
        <f>IF(AND(RefiOn="On",Assumptions!N$72=RefiMonth),RefiLoan-N$124-RefiLoan*RefiCostPct,0)</f>
        <v/>
      </c>
      <c r="O130" s="52">
        <f>IF(AND(RefiOn="On",Assumptions!O$72=RefiMonth),RefiLoan-O$124-RefiLoan*RefiCostPct,0)</f>
        <v/>
      </c>
      <c r="P130" s="52">
        <f>IF(AND(RefiOn="On",Assumptions!P$72=RefiMonth),RefiLoan-P$124-RefiLoan*RefiCostPct,0)</f>
        <v/>
      </c>
      <c r="Q130" s="52">
        <f>IF(AND(RefiOn="On",Assumptions!Q$72=RefiMonth),RefiLoan-Q$124-RefiLoan*RefiCostPct,0)</f>
        <v/>
      </c>
      <c r="R130" s="52">
        <f>IF(AND(RefiOn="On",Assumptions!R$72=RefiMonth),RefiLoan-R$124-RefiLoan*RefiCostPct,0)</f>
        <v/>
      </c>
      <c r="S130" s="52">
        <f>IF(AND(RefiOn="On",Assumptions!S$72=RefiMonth),RefiLoan-S$124-RefiLoan*RefiCostPct,0)</f>
        <v/>
      </c>
      <c r="T130" s="52">
        <f>IF(AND(RefiOn="On",Assumptions!T$72=RefiMonth),RefiLoan-T$124-RefiLoan*RefiCostPct,0)</f>
        <v/>
      </c>
      <c r="U130" s="52">
        <f>IF(AND(RefiOn="On",Assumptions!U$72=RefiMonth),RefiLoan-U$124-RefiLoan*RefiCostPct,0)</f>
        <v/>
      </c>
      <c r="V130" s="52">
        <f>IF(AND(RefiOn="On",Assumptions!V$72=RefiMonth),RefiLoan-V$124-RefiLoan*RefiCostPct,0)</f>
        <v/>
      </c>
      <c r="W130" s="52">
        <f>IF(AND(RefiOn="On",Assumptions!W$72=RefiMonth),RefiLoan-W$124-RefiLoan*RefiCostPct,0)</f>
        <v/>
      </c>
      <c r="X130" s="52">
        <f>IF(AND(RefiOn="On",Assumptions!X$72=RefiMonth),RefiLoan-X$124-RefiLoan*RefiCostPct,0)</f>
        <v/>
      </c>
      <c r="Y130" s="52">
        <f>IF(AND(RefiOn="On",Assumptions!Y$72=RefiMonth),RefiLoan-Y$124-RefiLoan*RefiCostPct,0)</f>
        <v/>
      </c>
      <c r="Z130" s="52">
        <f>IF(AND(RefiOn="On",Assumptions!Z$72=RefiMonth),RefiLoan-Z$124-RefiLoan*RefiCostPct,0)</f>
        <v/>
      </c>
      <c r="AA130" s="52">
        <f>IF(AND(RefiOn="On",Assumptions!AA$72=RefiMonth),RefiLoan-AA$124-RefiLoan*RefiCostPct,0)</f>
        <v/>
      </c>
      <c r="AB130" s="52">
        <f>IF(AND(RefiOn="On",Assumptions!AB$72=RefiMonth),RefiLoan-AB$124-RefiLoan*RefiCostPct,0)</f>
        <v/>
      </c>
      <c r="AC130" s="52">
        <f>IF(AND(RefiOn="On",Assumptions!AC$72=RefiMonth),RefiLoan-AC$124-RefiLoan*RefiCostPct,0)</f>
        <v/>
      </c>
      <c r="AD130" s="52">
        <f>IF(AND(RefiOn="On",Assumptions!AD$72=RefiMonth),RefiLoan-AD$124-RefiLoan*RefiCostPct,0)</f>
        <v/>
      </c>
      <c r="AE130" s="52">
        <f>IF(AND(RefiOn="On",Assumptions!AE$72=RefiMonth),RefiLoan-AE$124-RefiLoan*RefiCostPct,0)</f>
        <v/>
      </c>
      <c r="AF130" s="52">
        <f>IF(AND(RefiOn="On",Assumptions!AF$72=RefiMonth),RefiLoan-AF$124-RefiLoan*RefiCostPct,0)</f>
        <v/>
      </c>
      <c r="AG130" s="52">
        <f>IF(AND(RefiOn="On",Assumptions!AG$72=RefiMonth),RefiLoan-AG$124-RefiLoan*RefiCostPct,0)</f>
        <v/>
      </c>
      <c r="AH130" s="52">
        <f>IF(AND(RefiOn="On",Assumptions!AH$72=RefiMonth),RefiLoan-AH$124-RefiLoan*RefiCostPct,0)</f>
        <v/>
      </c>
      <c r="AI130" s="52">
        <f>IF(AND(RefiOn="On",Assumptions!AI$72=RefiMonth),RefiLoan-AI$124-RefiLoan*RefiCostPct,0)</f>
        <v/>
      </c>
      <c r="AJ130" s="52">
        <f>IF(AND(RefiOn="On",Assumptions!AJ$72=RefiMonth),RefiLoan-AJ$124-RefiLoan*RefiCostPct,0)</f>
        <v/>
      </c>
      <c r="AK130" s="52">
        <f>IF(AND(RefiOn="On",Assumptions!AK$72=RefiMonth),RefiLoan-AK$124-RefiLoan*RefiCostPct,0)</f>
        <v/>
      </c>
      <c r="AL130" s="52">
        <f>IF(AND(RefiOn="On",Assumptions!AL$72=RefiMonth),RefiLoan-AL$124-RefiLoan*RefiCostPct,0)</f>
        <v/>
      </c>
      <c r="AM130" s="52">
        <f>IF(AND(RefiOn="On",Assumptions!AM$72=RefiMonth),RefiLoan-AM$124-RefiLoan*RefiCostPct,0)</f>
        <v/>
      </c>
      <c r="AN130" s="52">
        <f>IF(AND(RefiOn="On",Assumptions!AN$72=RefiMonth),RefiLoan-AN$124-RefiLoan*RefiCostPct,0)</f>
        <v/>
      </c>
      <c r="AO130" s="52">
        <f>IF(AND(RefiOn="On",Assumptions!AO$72=RefiMonth),RefiLoan-AO$124-RefiLoan*RefiCostPct,0)</f>
        <v/>
      </c>
      <c r="AP130" s="52">
        <f>IF(AND(RefiOn="On",Assumptions!AP$72=RefiMonth),RefiLoan-AP$124-RefiLoan*RefiCostPct,0)</f>
        <v/>
      </c>
      <c r="AQ130" s="52">
        <f>IF(AND(RefiOn="On",Assumptions!AQ$72=RefiMonth),RefiLoan-AQ$124-RefiLoan*RefiCostPct,0)</f>
        <v/>
      </c>
      <c r="AR130" s="52">
        <f>IF(AND(RefiOn="On",Assumptions!AR$72=RefiMonth),RefiLoan-AR$124-RefiLoan*RefiCostPct,0)</f>
        <v/>
      </c>
      <c r="AS130" s="52">
        <f>IF(AND(RefiOn="On",Assumptions!AS$72=RefiMonth),RefiLoan-AS$124-RefiLoan*RefiCostPct,0)</f>
        <v/>
      </c>
      <c r="AT130" s="52">
        <f>IF(AND(RefiOn="On",Assumptions!AT$72=RefiMonth),RefiLoan-AT$124-RefiLoan*RefiCostPct,0)</f>
        <v/>
      </c>
      <c r="AU130" s="52">
        <f>IF(AND(RefiOn="On",Assumptions!AU$72=RefiMonth),RefiLoan-AU$124-RefiLoan*RefiCostPct,0)</f>
        <v/>
      </c>
      <c r="AV130" s="52">
        <f>IF(AND(RefiOn="On",Assumptions!AV$72=RefiMonth),RefiLoan-AV$124-RefiLoan*RefiCostPct,0)</f>
        <v/>
      </c>
      <c r="AW130" s="52">
        <f>IF(AND(RefiOn="On",Assumptions!AW$72=RefiMonth),RefiLoan-AW$124-RefiLoan*RefiCostPct,0)</f>
        <v/>
      </c>
      <c r="AX130" s="52">
        <f>IF(AND(RefiOn="On",Assumptions!AX$72=RefiMonth),RefiLoan-AX$124-RefiLoan*RefiCostPct,0)</f>
        <v/>
      </c>
      <c r="AY130" s="52">
        <f>IF(AND(RefiOn="On",Assumptions!AY$72=RefiMonth),RefiLoan-AY$124-RefiLoan*RefiCostPct,0)</f>
        <v/>
      </c>
      <c r="AZ130" s="52">
        <f>IF(AND(RefiOn="On",Assumptions!AZ$72=RefiMonth),RefiLoan-AZ$124-RefiLoan*RefiCostPct,0)</f>
        <v/>
      </c>
      <c r="BA130" s="52">
        <f>IF(AND(RefiOn="On",Assumptions!BA$72=RefiMonth),RefiLoan-BA$124-RefiLoan*RefiCostPct,0)</f>
        <v/>
      </c>
      <c r="BB130" s="52">
        <f>IF(AND(RefiOn="On",Assumptions!BB$72=RefiMonth),RefiLoan-BB$124-RefiLoan*RefiCostPct,0)</f>
        <v/>
      </c>
      <c r="BC130" s="52">
        <f>IF(AND(RefiOn="On",Assumptions!BC$72=RefiMonth),RefiLoan-BC$124-RefiLoan*RefiCostPct,0)</f>
        <v/>
      </c>
      <c r="BD130" s="52">
        <f>IF(AND(RefiOn="On",Assumptions!BD$72=RefiMonth),RefiLoan-BD$124-RefiLoan*RefiCostPct,0)</f>
        <v/>
      </c>
      <c r="BE130" s="52">
        <f>IF(AND(RefiOn="On",Assumptions!BE$72=RefiMonth),RefiLoan-BE$124-RefiLoan*RefiCostPct,0)</f>
        <v/>
      </c>
      <c r="BF130" s="52">
        <f>IF(AND(RefiOn="On",Assumptions!BF$72=RefiMonth),RefiLoan-BF$124-RefiLoan*RefiCostPct,0)</f>
        <v/>
      </c>
      <c r="BG130" s="52">
        <f>IF(AND(RefiOn="On",Assumptions!BG$72=RefiMonth),RefiLoan-BG$124-RefiLoan*RefiCostPct,0)</f>
        <v/>
      </c>
      <c r="BH130" s="52">
        <f>IF(AND(RefiOn="On",Assumptions!BH$72=RefiMonth),RefiLoan-BH$124-RefiLoan*RefiCostPct,0)</f>
        <v/>
      </c>
      <c r="BI130" s="52">
        <f>IF(AND(RefiOn="On",Assumptions!BI$72=RefiMonth),RefiLoan-BI$124-RefiLoan*RefiCostPct,0)</f>
        <v/>
      </c>
      <c r="BJ130" s="52">
        <f>IF(AND(RefiOn="On",Assumptions!BJ$72=RefiMonth),RefiLoan-BJ$124-RefiLoan*RefiCostPct,0)</f>
        <v/>
      </c>
      <c r="BK130" s="52">
        <f>IF(AND(RefiOn="On",Assumptions!BK$72=RefiMonth),RefiLoan-BK$124-RefiLoan*RefiCostPct,0)</f>
        <v/>
      </c>
      <c r="BL130" s="52">
        <f>IF(AND(RefiOn="On",Assumptions!BL$72=RefiMonth),RefiLoan-BL$124-RefiLoan*RefiCostPct,0)</f>
        <v/>
      </c>
      <c r="BM130" s="52">
        <f>IF(AND(RefiOn="On",Assumptions!BM$72=RefiMonth),RefiLoan-BM$124-RefiLoan*RefiCostPct,0)</f>
        <v/>
      </c>
      <c r="BN130" s="52">
        <f>IF(AND(RefiOn="On",Assumptions!BN$72=RefiMonth),RefiLoan-BN$124-RefiLoan*RefiCostPct,0)</f>
        <v/>
      </c>
      <c r="BO130" s="52">
        <f>IF(AND(RefiOn="On",Assumptions!BO$72=RefiMonth),RefiLoan-BO$124-RefiLoan*RefiCostPct,0)</f>
        <v/>
      </c>
      <c r="BP130" s="52">
        <f>IF(AND(RefiOn="On",Assumptions!BP$72=RefiMonth),RefiLoan-BP$124-RefiLoan*RefiCostPct,0)</f>
        <v/>
      </c>
      <c r="BQ130" s="52">
        <f>IF(AND(RefiOn="On",Assumptions!BQ$72=RefiMonth),RefiLoan-BQ$124-RefiLoan*RefiCostPct,0)</f>
        <v/>
      </c>
      <c r="BR130" s="52">
        <f>IF(AND(RefiOn="On",Assumptions!BR$72=RefiMonth),RefiLoan-BR$124-RefiLoan*RefiCostPct,0)</f>
        <v/>
      </c>
      <c r="BS130" s="52">
        <f>IF(AND(RefiOn="On",Assumptions!BS$72=RefiMonth),RefiLoan-BS$124-RefiLoan*RefiCostPct,0)</f>
        <v/>
      </c>
      <c r="BT130" s="52">
        <f>IF(AND(RefiOn="On",Assumptions!BT$72=RefiMonth),RefiLoan-BT$124-RefiLoan*RefiCostPct,0)</f>
        <v/>
      </c>
      <c r="BU130" s="52">
        <f>IF(AND(RefiOn="On",Assumptions!BU$72=RefiMonth),RefiLoan-BU$124-RefiLoan*RefiCostPct,0)</f>
        <v/>
      </c>
      <c r="BV130" s="52">
        <f>IF(AND(RefiOn="On",Assumptions!BV$72=RefiMonth),RefiLoan-BV$124-RefiLoan*RefiCostPct,0)</f>
        <v/>
      </c>
      <c r="BW130" s="52">
        <f>IF(AND(RefiOn="On",Assumptions!BW$72=RefiMonth),RefiLoan-BW$124-RefiLoan*RefiCostPct,0)</f>
        <v/>
      </c>
      <c r="BX130" s="52">
        <f>IF(AND(RefiOn="On",Assumptions!BX$72=RefiMonth),RefiLoan-BX$124-RefiLoan*RefiCostPct,0)</f>
        <v/>
      </c>
      <c r="BY130" s="52">
        <f>IF(AND(RefiOn="On",Assumptions!BY$72=RefiMonth),RefiLoan-BY$124-RefiLoan*RefiCostPct,0)</f>
        <v/>
      </c>
      <c r="BZ130" s="52">
        <f>IF(AND(RefiOn="On",Assumptions!BZ$72=RefiMonth),RefiLoan-BZ$124-RefiLoan*RefiCostPct,0)</f>
        <v/>
      </c>
      <c r="CA130" s="52">
        <f>IF(AND(RefiOn="On",Assumptions!CA$72=RefiMonth),RefiLoan-CA$124-RefiLoan*RefiCostPct,0)</f>
        <v/>
      </c>
      <c r="CB130" s="52">
        <f>IF(AND(RefiOn="On",Assumptions!CB$72=RefiMonth),RefiLoan-CB$124-RefiLoan*RefiCostPct,0)</f>
        <v/>
      </c>
      <c r="CC130" s="52">
        <f>IF(AND(RefiOn="On",Assumptions!CC$72=RefiMonth),RefiLoan-CC$124-RefiLoan*RefiCostPct,0)</f>
        <v/>
      </c>
      <c r="CD130" s="52">
        <f>IF(AND(RefiOn="On",Assumptions!CD$72=RefiMonth),RefiLoan-CD$124-RefiLoan*RefiCostPct,0)</f>
        <v/>
      </c>
      <c r="CE130" s="52">
        <f>IF(AND(RefiOn="On",Assumptions!CE$72=RefiMonth),RefiLoan-CE$124-RefiLoan*RefiCostPct,0)</f>
        <v/>
      </c>
      <c r="CF130" s="52">
        <f>IF(AND(RefiOn="On",Assumptions!CF$72=RefiMonth),RefiLoan-CF$124-RefiLoan*RefiCostPct,0)</f>
        <v/>
      </c>
      <c r="CG130" s="52">
        <f>IF(AND(RefiOn="On",Assumptions!CG$72=RefiMonth),RefiLoan-CG$124-RefiLoan*RefiCostPct,0)</f>
        <v/>
      </c>
      <c r="CH130" s="52">
        <f>IF(AND(RefiOn="On",Assumptions!CH$72=RefiMonth),RefiLoan-CH$124-RefiLoan*RefiCostPct,0)</f>
        <v/>
      </c>
      <c r="CI130" s="52">
        <f>IF(AND(RefiOn="On",Assumptions!CI$72=RefiMonth),RefiLoan-CI$124-RefiLoan*RefiCostPct,0)</f>
        <v/>
      </c>
      <c r="CJ130" s="52">
        <f>IF(AND(RefiOn="On",Assumptions!CJ$72=RefiMonth),RefiLoan-CJ$124-RefiLoan*RefiCostPct,0)</f>
        <v/>
      </c>
      <c r="CK130" s="52">
        <f>IF(AND(RefiOn="On",Assumptions!CK$72=RefiMonth),RefiLoan-CK$124-RefiLoan*RefiCostPct,0)</f>
        <v/>
      </c>
      <c r="CL130" s="52">
        <f>IF(AND(RefiOn="On",Assumptions!CL$72=RefiMonth),RefiLoan-CL$124-RefiLoan*RefiCostPct,0)</f>
        <v/>
      </c>
      <c r="CM130" s="52">
        <f>IF(AND(RefiOn="On",Assumptions!CM$72=RefiMonth),RefiLoan-CM$124-RefiLoan*RefiCostPct,0)</f>
        <v/>
      </c>
      <c r="CN130" s="52">
        <f>IF(AND(RefiOn="On",Assumptions!CN$72=RefiMonth),RefiLoan-CN$124-RefiLoan*RefiCostPct,0)</f>
        <v/>
      </c>
      <c r="CO130" s="52">
        <f>IF(AND(RefiOn="On",Assumptions!CO$72=RefiMonth),RefiLoan-CO$124-RefiLoan*RefiCostPct,0)</f>
        <v/>
      </c>
      <c r="CP130" s="52">
        <f>IF(AND(RefiOn="On",Assumptions!CP$72=RefiMonth),RefiLoan-CP$124-RefiLoan*RefiCostPct,0)</f>
        <v/>
      </c>
      <c r="CQ130" s="52">
        <f>IF(AND(RefiOn="On",Assumptions!CQ$72=RefiMonth),RefiLoan-CQ$124-RefiLoan*RefiCostPct,0)</f>
        <v/>
      </c>
      <c r="CR130" s="52">
        <f>IF(AND(RefiOn="On",Assumptions!CR$72=RefiMonth),RefiLoan-CR$124-RefiLoan*RefiCostPct,0)</f>
        <v/>
      </c>
      <c r="CS130" s="52">
        <f>IF(AND(RefiOn="On",Assumptions!CS$72=RefiMonth),RefiLoan-CS$124-RefiLoan*RefiCostPct,0)</f>
        <v/>
      </c>
      <c r="CT130" s="52">
        <f>IF(AND(RefiOn="On",Assumptions!CT$72=RefiMonth),RefiLoan-CT$124-RefiLoan*RefiCostPct,0)</f>
        <v/>
      </c>
      <c r="CU130" s="52">
        <f>IF(AND(RefiOn="On",Assumptions!CU$72=RefiMonth),RefiLoan-CU$124-RefiLoan*RefiCostPct,0)</f>
        <v/>
      </c>
      <c r="CV130" s="52">
        <f>IF(AND(RefiOn="On",Assumptions!CV$72=RefiMonth),RefiLoan-CV$124-RefiLoan*RefiCostPct,0)</f>
        <v/>
      </c>
      <c r="CW130" s="52">
        <f>IF(AND(RefiOn="On",Assumptions!CW$72=RefiMonth),RefiLoan-CW$124-RefiLoan*RefiCostPct,0)</f>
        <v/>
      </c>
      <c r="CX130" s="52">
        <f>IF(AND(RefiOn="On",Assumptions!CX$72=RefiMonth),RefiLoan-CX$124-RefiLoan*RefiCostPct,0)</f>
        <v/>
      </c>
      <c r="CY130" s="52">
        <f>IF(AND(RefiOn="On",Assumptions!CY$72=RefiMonth),RefiLoan-CY$124-RefiLoan*RefiCostPct,0)</f>
        <v/>
      </c>
      <c r="CZ130" s="52">
        <f>IF(AND(RefiOn="On",Assumptions!CZ$72=RefiMonth),RefiLoan-CZ$124-RefiLoan*RefiCostPct,0)</f>
        <v/>
      </c>
      <c r="DA130" s="52">
        <f>IF(AND(RefiOn="On",Assumptions!DA$72=RefiMonth),RefiLoan-DA$124-RefiLoan*RefiCostPct,0)</f>
        <v/>
      </c>
      <c r="DB130" s="52">
        <f>IF(AND(RefiOn="On",Assumptions!DB$72=RefiMonth),RefiLoan-DB$124-RefiLoan*RefiCostPct,0)</f>
        <v/>
      </c>
      <c r="DC130" s="52">
        <f>IF(AND(RefiOn="On",Assumptions!DC$72=RefiMonth),RefiLoan-DC$124-RefiLoan*RefiCostPct,0)</f>
        <v/>
      </c>
      <c r="DD130" s="52">
        <f>IF(AND(RefiOn="On",Assumptions!DD$72=RefiMonth),RefiLoan-DD$124-RefiLoan*RefiCostPct,0)</f>
        <v/>
      </c>
      <c r="DE130" s="52">
        <f>IF(AND(RefiOn="On",Assumptions!DE$72=RefiMonth),RefiLoan-DE$124-RefiLoan*RefiCostPct,0)</f>
        <v/>
      </c>
      <c r="DF130" s="52">
        <f>IF(AND(RefiOn="On",Assumptions!DF$72=RefiMonth),RefiLoan-DF$124-RefiLoan*RefiCostPct,0)</f>
        <v/>
      </c>
      <c r="DG130" s="52">
        <f>IF(AND(RefiOn="On",Assumptions!DG$72=RefiMonth),RefiLoan-DG$124-RefiLoan*RefiCostPct,0)</f>
        <v/>
      </c>
      <c r="DH130" s="52">
        <f>IF(AND(RefiOn="On",Assumptions!DH$72=RefiMonth),RefiLoan-DH$124-RefiLoan*RefiCostPct,0)</f>
        <v/>
      </c>
      <c r="DI130" s="52">
        <f>IF(AND(RefiOn="On",Assumptions!DI$72=RefiMonth),RefiLoan-DI$124-RefiLoan*RefiCostPct,0)</f>
        <v/>
      </c>
      <c r="DJ130" s="52">
        <f>IF(AND(RefiOn="On",Assumptions!DJ$72=RefiMonth),RefiLoan-DJ$124-RefiLoan*RefiCostPct,0)</f>
        <v/>
      </c>
      <c r="DK130" s="52">
        <f>IF(AND(RefiOn="On",Assumptions!DK$72=RefiMonth),RefiLoan-DK$124-RefiLoan*RefiCostPct,0)</f>
        <v/>
      </c>
      <c r="DL130" s="52">
        <f>IF(AND(RefiOn="On",Assumptions!DL$72=RefiMonth),RefiLoan-DL$124-RefiLoan*RefiCostPct,0)</f>
        <v/>
      </c>
      <c r="DM130" s="52">
        <f>IF(AND(RefiOn="On",Assumptions!DM$72=RefiMonth),RefiLoan-DM$124-RefiLoan*RefiCostPct,0)</f>
        <v/>
      </c>
      <c r="DN130" s="52">
        <f>IF(AND(RefiOn="On",Assumptions!DN$72=RefiMonth),RefiLoan-DN$124-RefiLoan*RefiCostPct,0)</f>
        <v/>
      </c>
      <c r="DO130" s="52">
        <f>IF(AND(RefiOn="On",Assumptions!DO$72=RefiMonth),RefiLoan-DO$124-RefiLoan*RefiCostPct,0)</f>
        <v/>
      </c>
      <c r="DP130" s="52">
        <f>IF(AND(RefiOn="On",Assumptions!DP$72=RefiMonth),RefiLoan-DP$124-RefiLoan*RefiCostPct,0)</f>
        <v/>
      </c>
      <c r="DQ130" s="52">
        <f>IF(AND(RefiOn="On",Assumptions!DQ$72=RefiMonth),RefiLoan-DQ$124-RefiLoan*RefiCostPct,0)</f>
        <v/>
      </c>
      <c r="DR130" s="52">
        <f>IF(AND(RefiOn="On",Assumptions!DR$72=RefiMonth),RefiLoan-DR$124-RefiLoan*RefiCostPct,0)</f>
        <v/>
      </c>
      <c r="DS130" s="52">
        <f>IF(AND(RefiOn="On",Assumptions!DS$72=RefiMonth),RefiLoan-DS$124-RefiLoan*RefiCostPct,0)</f>
        <v/>
      </c>
      <c r="DT130" s="52">
        <f>IF(AND(RefiOn="On",Assumptions!DT$72=RefiMonth),RefiLoan-DT$124-RefiLoan*RefiCostPct,0)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T3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MONTHLY CASH FLOW + ANNUAL ROLL-UP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3" t="inlineStr">
        <is>
          <t>Month index</t>
        </is>
      </c>
      <c r="E5" s="6">
        <f>Assumptions!E$72</f>
        <v/>
      </c>
      <c r="F5" s="6">
        <f>Assumptions!F$72</f>
        <v/>
      </c>
      <c r="G5" s="6">
        <f>Assumptions!G$72</f>
        <v/>
      </c>
      <c r="H5" s="6">
        <f>Assumptions!H$72</f>
        <v/>
      </c>
      <c r="I5" s="6">
        <f>Assumptions!I$72</f>
        <v/>
      </c>
      <c r="J5" s="6">
        <f>Assumptions!J$72</f>
        <v/>
      </c>
      <c r="K5" s="6">
        <f>Assumptions!K$72</f>
        <v/>
      </c>
      <c r="L5" s="6">
        <f>Assumptions!L$72</f>
        <v/>
      </c>
      <c r="M5" s="6">
        <f>Assumptions!M$72</f>
        <v/>
      </c>
      <c r="N5" s="6">
        <f>Assumptions!N$72</f>
        <v/>
      </c>
      <c r="O5" s="6">
        <f>Assumptions!O$72</f>
        <v/>
      </c>
      <c r="P5" s="6">
        <f>Assumptions!P$72</f>
        <v/>
      </c>
      <c r="Q5" s="6">
        <f>Assumptions!Q$72</f>
        <v/>
      </c>
      <c r="R5" s="6">
        <f>Assumptions!R$72</f>
        <v/>
      </c>
      <c r="S5" s="6">
        <f>Assumptions!S$72</f>
        <v/>
      </c>
      <c r="T5" s="6">
        <f>Assumptions!T$72</f>
        <v/>
      </c>
      <c r="U5" s="6">
        <f>Assumptions!U$72</f>
        <v/>
      </c>
      <c r="V5" s="6">
        <f>Assumptions!V$72</f>
        <v/>
      </c>
      <c r="W5" s="6">
        <f>Assumptions!W$72</f>
        <v/>
      </c>
      <c r="X5" s="6">
        <f>Assumptions!X$72</f>
        <v/>
      </c>
      <c r="Y5" s="6">
        <f>Assumptions!Y$72</f>
        <v/>
      </c>
      <c r="Z5" s="6">
        <f>Assumptions!Z$72</f>
        <v/>
      </c>
      <c r="AA5" s="6">
        <f>Assumptions!AA$72</f>
        <v/>
      </c>
      <c r="AB5" s="6">
        <f>Assumptions!AB$72</f>
        <v/>
      </c>
      <c r="AC5" s="6">
        <f>Assumptions!AC$72</f>
        <v/>
      </c>
      <c r="AD5" s="6">
        <f>Assumptions!AD$72</f>
        <v/>
      </c>
      <c r="AE5" s="6">
        <f>Assumptions!AE$72</f>
        <v/>
      </c>
      <c r="AF5" s="6">
        <f>Assumptions!AF$72</f>
        <v/>
      </c>
      <c r="AG5" s="6">
        <f>Assumptions!AG$72</f>
        <v/>
      </c>
      <c r="AH5" s="6">
        <f>Assumptions!AH$72</f>
        <v/>
      </c>
      <c r="AI5" s="6">
        <f>Assumptions!AI$72</f>
        <v/>
      </c>
      <c r="AJ5" s="6">
        <f>Assumptions!AJ$72</f>
        <v/>
      </c>
      <c r="AK5" s="6">
        <f>Assumptions!AK$72</f>
        <v/>
      </c>
      <c r="AL5" s="6">
        <f>Assumptions!AL$72</f>
        <v/>
      </c>
      <c r="AM5" s="6">
        <f>Assumptions!AM$72</f>
        <v/>
      </c>
      <c r="AN5" s="6">
        <f>Assumptions!AN$72</f>
        <v/>
      </c>
      <c r="AO5" s="6">
        <f>Assumptions!AO$72</f>
        <v/>
      </c>
      <c r="AP5" s="6">
        <f>Assumptions!AP$72</f>
        <v/>
      </c>
      <c r="AQ5" s="6">
        <f>Assumptions!AQ$72</f>
        <v/>
      </c>
      <c r="AR5" s="6">
        <f>Assumptions!AR$72</f>
        <v/>
      </c>
      <c r="AS5" s="6">
        <f>Assumptions!AS$72</f>
        <v/>
      </c>
      <c r="AT5" s="6">
        <f>Assumptions!AT$72</f>
        <v/>
      </c>
      <c r="AU5" s="6">
        <f>Assumptions!AU$72</f>
        <v/>
      </c>
      <c r="AV5" s="6">
        <f>Assumptions!AV$72</f>
        <v/>
      </c>
      <c r="AW5" s="6">
        <f>Assumptions!AW$72</f>
        <v/>
      </c>
      <c r="AX5" s="6">
        <f>Assumptions!AX$72</f>
        <v/>
      </c>
      <c r="AY5" s="6">
        <f>Assumptions!AY$72</f>
        <v/>
      </c>
      <c r="AZ5" s="6">
        <f>Assumptions!AZ$72</f>
        <v/>
      </c>
      <c r="BA5" s="6">
        <f>Assumptions!BA$72</f>
        <v/>
      </c>
      <c r="BB5" s="6">
        <f>Assumptions!BB$72</f>
        <v/>
      </c>
      <c r="BC5" s="6">
        <f>Assumptions!BC$72</f>
        <v/>
      </c>
      <c r="BD5" s="6">
        <f>Assumptions!BD$72</f>
        <v/>
      </c>
      <c r="BE5" s="6">
        <f>Assumptions!BE$72</f>
        <v/>
      </c>
      <c r="BF5" s="6">
        <f>Assumptions!BF$72</f>
        <v/>
      </c>
      <c r="BG5" s="6">
        <f>Assumptions!BG$72</f>
        <v/>
      </c>
      <c r="BH5" s="6">
        <f>Assumptions!BH$72</f>
        <v/>
      </c>
      <c r="BI5" s="6">
        <f>Assumptions!BI$72</f>
        <v/>
      </c>
      <c r="BJ5" s="6">
        <f>Assumptions!BJ$72</f>
        <v/>
      </c>
      <c r="BK5" s="6">
        <f>Assumptions!BK$72</f>
        <v/>
      </c>
      <c r="BL5" s="6">
        <f>Assumptions!BL$72</f>
        <v/>
      </c>
      <c r="BM5" s="6">
        <f>Assumptions!BM$72</f>
        <v/>
      </c>
      <c r="BN5" s="6">
        <f>Assumptions!BN$72</f>
        <v/>
      </c>
      <c r="BO5" s="6">
        <f>Assumptions!BO$72</f>
        <v/>
      </c>
      <c r="BP5" s="6">
        <f>Assumptions!BP$72</f>
        <v/>
      </c>
      <c r="BQ5" s="6">
        <f>Assumptions!BQ$72</f>
        <v/>
      </c>
      <c r="BR5" s="6">
        <f>Assumptions!BR$72</f>
        <v/>
      </c>
      <c r="BS5" s="6">
        <f>Assumptions!BS$72</f>
        <v/>
      </c>
      <c r="BT5" s="6">
        <f>Assumptions!BT$72</f>
        <v/>
      </c>
      <c r="BU5" s="6">
        <f>Assumptions!BU$72</f>
        <v/>
      </c>
      <c r="BV5" s="6">
        <f>Assumptions!BV$72</f>
        <v/>
      </c>
      <c r="BW5" s="6">
        <f>Assumptions!BW$72</f>
        <v/>
      </c>
      <c r="BX5" s="6">
        <f>Assumptions!BX$72</f>
        <v/>
      </c>
      <c r="BY5" s="6">
        <f>Assumptions!BY$72</f>
        <v/>
      </c>
      <c r="BZ5" s="6">
        <f>Assumptions!BZ$72</f>
        <v/>
      </c>
      <c r="CA5" s="6">
        <f>Assumptions!CA$72</f>
        <v/>
      </c>
      <c r="CB5" s="6">
        <f>Assumptions!CB$72</f>
        <v/>
      </c>
      <c r="CC5" s="6">
        <f>Assumptions!CC$72</f>
        <v/>
      </c>
      <c r="CD5" s="6">
        <f>Assumptions!CD$72</f>
        <v/>
      </c>
      <c r="CE5" s="6">
        <f>Assumptions!CE$72</f>
        <v/>
      </c>
      <c r="CF5" s="6">
        <f>Assumptions!CF$72</f>
        <v/>
      </c>
      <c r="CG5" s="6">
        <f>Assumptions!CG$72</f>
        <v/>
      </c>
      <c r="CH5" s="6">
        <f>Assumptions!CH$72</f>
        <v/>
      </c>
      <c r="CI5" s="6">
        <f>Assumptions!CI$72</f>
        <v/>
      </c>
      <c r="CJ5" s="6">
        <f>Assumptions!CJ$72</f>
        <v/>
      </c>
      <c r="CK5" s="6">
        <f>Assumptions!CK$72</f>
        <v/>
      </c>
      <c r="CL5" s="6">
        <f>Assumptions!CL$72</f>
        <v/>
      </c>
      <c r="CM5" s="6">
        <f>Assumptions!CM$72</f>
        <v/>
      </c>
      <c r="CN5" s="6">
        <f>Assumptions!CN$72</f>
        <v/>
      </c>
      <c r="CO5" s="6">
        <f>Assumptions!CO$72</f>
        <v/>
      </c>
      <c r="CP5" s="6">
        <f>Assumptions!CP$72</f>
        <v/>
      </c>
      <c r="CQ5" s="6">
        <f>Assumptions!CQ$72</f>
        <v/>
      </c>
      <c r="CR5" s="6">
        <f>Assumptions!CR$72</f>
        <v/>
      </c>
      <c r="CS5" s="6">
        <f>Assumptions!CS$72</f>
        <v/>
      </c>
      <c r="CT5" s="6">
        <f>Assumptions!CT$72</f>
        <v/>
      </c>
      <c r="CU5" s="6">
        <f>Assumptions!CU$72</f>
        <v/>
      </c>
      <c r="CV5" s="6">
        <f>Assumptions!CV$72</f>
        <v/>
      </c>
      <c r="CW5" s="6">
        <f>Assumptions!CW$72</f>
        <v/>
      </c>
      <c r="CX5" s="6">
        <f>Assumptions!CX$72</f>
        <v/>
      </c>
      <c r="CY5" s="6">
        <f>Assumptions!CY$72</f>
        <v/>
      </c>
      <c r="CZ5" s="6">
        <f>Assumptions!CZ$72</f>
        <v/>
      </c>
      <c r="DA5" s="6">
        <f>Assumptions!DA$72</f>
        <v/>
      </c>
      <c r="DB5" s="6">
        <f>Assumptions!DB$72</f>
        <v/>
      </c>
      <c r="DC5" s="6">
        <f>Assumptions!DC$72</f>
        <v/>
      </c>
      <c r="DD5" s="6">
        <f>Assumptions!DD$72</f>
        <v/>
      </c>
      <c r="DE5" s="6">
        <f>Assumptions!DE$72</f>
        <v/>
      </c>
      <c r="DF5" s="6">
        <f>Assumptions!DF$72</f>
        <v/>
      </c>
      <c r="DG5" s="6">
        <f>Assumptions!DG$72</f>
        <v/>
      </c>
      <c r="DH5" s="6">
        <f>Assumptions!DH$72</f>
        <v/>
      </c>
      <c r="DI5" s="6">
        <f>Assumptions!DI$72</f>
        <v/>
      </c>
      <c r="DJ5" s="6">
        <f>Assumptions!DJ$72</f>
        <v/>
      </c>
      <c r="DK5" s="6">
        <f>Assumptions!DK$72</f>
        <v/>
      </c>
      <c r="DL5" s="6">
        <f>Assumptions!DL$72</f>
        <v/>
      </c>
      <c r="DM5" s="6">
        <f>Assumptions!DM$72</f>
        <v/>
      </c>
      <c r="DN5" s="6">
        <f>Assumptions!DN$72</f>
        <v/>
      </c>
      <c r="DO5" s="6">
        <f>Assumptions!DO$72</f>
        <v/>
      </c>
      <c r="DP5" s="6">
        <f>Assumptions!DP$72</f>
        <v/>
      </c>
      <c r="DQ5" s="6">
        <f>Assumptions!DQ$72</f>
        <v/>
      </c>
      <c r="DR5" s="6">
        <f>Assumptions!DR$72</f>
        <v/>
      </c>
      <c r="DS5" s="6">
        <f>Assumptions!DS$72</f>
        <v/>
      </c>
      <c r="DT5" s="6">
        <f>Assumptions!DT$72</f>
        <v/>
      </c>
    </row>
    <row r="6">
      <c r="A6" s="3" t="inlineStr">
        <is>
          <t>Period date</t>
        </is>
      </c>
      <c r="E6" s="5">
        <f>Assumptions!E$73</f>
        <v/>
      </c>
      <c r="F6" s="5">
        <f>Assumptions!F$73</f>
        <v/>
      </c>
      <c r="G6" s="5">
        <f>Assumptions!G$73</f>
        <v/>
      </c>
      <c r="H6" s="5">
        <f>Assumptions!H$73</f>
        <v/>
      </c>
      <c r="I6" s="5">
        <f>Assumptions!I$73</f>
        <v/>
      </c>
      <c r="J6" s="5">
        <f>Assumptions!J$73</f>
        <v/>
      </c>
      <c r="K6" s="5">
        <f>Assumptions!K$73</f>
        <v/>
      </c>
      <c r="L6" s="5">
        <f>Assumptions!L$73</f>
        <v/>
      </c>
      <c r="M6" s="5">
        <f>Assumptions!M$73</f>
        <v/>
      </c>
      <c r="N6" s="5">
        <f>Assumptions!N$73</f>
        <v/>
      </c>
      <c r="O6" s="5">
        <f>Assumptions!O$73</f>
        <v/>
      </c>
      <c r="P6" s="5">
        <f>Assumptions!P$73</f>
        <v/>
      </c>
      <c r="Q6" s="5">
        <f>Assumptions!Q$73</f>
        <v/>
      </c>
      <c r="R6" s="5">
        <f>Assumptions!R$73</f>
        <v/>
      </c>
      <c r="S6" s="5">
        <f>Assumptions!S$73</f>
        <v/>
      </c>
      <c r="T6" s="5">
        <f>Assumptions!T$73</f>
        <v/>
      </c>
      <c r="U6" s="5">
        <f>Assumptions!U$73</f>
        <v/>
      </c>
      <c r="V6" s="5">
        <f>Assumptions!V$73</f>
        <v/>
      </c>
      <c r="W6" s="5">
        <f>Assumptions!W$73</f>
        <v/>
      </c>
      <c r="X6" s="5">
        <f>Assumptions!X$73</f>
        <v/>
      </c>
      <c r="Y6" s="5">
        <f>Assumptions!Y$73</f>
        <v/>
      </c>
      <c r="Z6" s="5">
        <f>Assumptions!Z$73</f>
        <v/>
      </c>
      <c r="AA6" s="5">
        <f>Assumptions!AA$73</f>
        <v/>
      </c>
      <c r="AB6" s="5">
        <f>Assumptions!AB$73</f>
        <v/>
      </c>
      <c r="AC6" s="5">
        <f>Assumptions!AC$73</f>
        <v/>
      </c>
      <c r="AD6" s="5">
        <f>Assumptions!AD$73</f>
        <v/>
      </c>
      <c r="AE6" s="5">
        <f>Assumptions!AE$73</f>
        <v/>
      </c>
      <c r="AF6" s="5">
        <f>Assumptions!AF$73</f>
        <v/>
      </c>
      <c r="AG6" s="5">
        <f>Assumptions!AG$73</f>
        <v/>
      </c>
      <c r="AH6" s="5">
        <f>Assumptions!AH$73</f>
        <v/>
      </c>
      <c r="AI6" s="5">
        <f>Assumptions!AI$73</f>
        <v/>
      </c>
      <c r="AJ6" s="5">
        <f>Assumptions!AJ$73</f>
        <v/>
      </c>
      <c r="AK6" s="5">
        <f>Assumptions!AK$73</f>
        <v/>
      </c>
      <c r="AL6" s="5">
        <f>Assumptions!AL$73</f>
        <v/>
      </c>
      <c r="AM6" s="5">
        <f>Assumptions!AM$73</f>
        <v/>
      </c>
      <c r="AN6" s="5">
        <f>Assumptions!AN$73</f>
        <v/>
      </c>
      <c r="AO6" s="5">
        <f>Assumptions!AO$73</f>
        <v/>
      </c>
      <c r="AP6" s="5">
        <f>Assumptions!AP$73</f>
        <v/>
      </c>
      <c r="AQ6" s="5">
        <f>Assumptions!AQ$73</f>
        <v/>
      </c>
      <c r="AR6" s="5">
        <f>Assumptions!AR$73</f>
        <v/>
      </c>
      <c r="AS6" s="5">
        <f>Assumptions!AS$73</f>
        <v/>
      </c>
      <c r="AT6" s="5">
        <f>Assumptions!AT$73</f>
        <v/>
      </c>
      <c r="AU6" s="5">
        <f>Assumptions!AU$73</f>
        <v/>
      </c>
      <c r="AV6" s="5">
        <f>Assumptions!AV$73</f>
        <v/>
      </c>
      <c r="AW6" s="5">
        <f>Assumptions!AW$73</f>
        <v/>
      </c>
      <c r="AX6" s="5">
        <f>Assumptions!AX$73</f>
        <v/>
      </c>
      <c r="AY6" s="5">
        <f>Assumptions!AY$73</f>
        <v/>
      </c>
      <c r="AZ6" s="5">
        <f>Assumptions!AZ$73</f>
        <v/>
      </c>
      <c r="BA6" s="5">
        <f>Assumptions!BA$73</f>
        <v/>
      </c>
      <c r="BB6" s="5">
        <f>Assumptions!BB$73</f>
        <v/>
      </c>
      <c r="BC6" s="5">
        <f>Assumptions!BC$73</f>
        <v/>
      </c>
      <c r="BD6" s="5">
        <f>Assumptions!BD$73</f>
        <v/>
      </c>
      <c r="BE6" s="5">
        <f>Assumptions!BE$73</f>
        <v/>
      </c>
      <c r="BF6" s="5">
        <f>Assumptions!BF$73</f>
        <v/>
      </c>
      <c r="BG6" s="5">
        <f>Assumptions!BG$73</f>
        <v/>
      </c>
      <c r="BH6" s="5">
        <f>Assumptions!BH$73</f>
        <v/>
      </c>
      <c r="BI6" s="5">
        <f>Assumptions!BI$73</f>
        <v/>
      </c>
      <c r="BJ6" s="5">
        <f>Assumptions!BJ$73</f>
        <v/>
      </c>
      <c r="BK6" s="5">
        <f>Assumptions!BK$73</f>
        <v/>
      </c>
      <c r="BL6" s="5">
        <f>Assumptions!BL$73</f>
        <v/>
      </c>
      <c r="BM6" s="5">
        <f>Assumptions!BM$73</f>
        <v/>
      </c>
      <c r="BN6" s="5">
        <f>Assumptions!BN$73</f>
        <v/>
      </c>
      <c r="BO6" s="5">
        <f>Assumptions!BO$73</f>
        <v/>
      </c>
      <c r="BP6" s="5">
        <f>Assumptions!BP$73</f>
        <v/>
      </c>
      <c r="BQ6" s="5">
        <f>Assumptions!BQ$73</f>
        <v/>
      </c>
      <c r="BR6" s="5">
        <f>Assumptions!BR$73</f>
        <v/>
      </c>
      <c r="BS6" s="5">
        <f>Assumptions!BS$73</f>
        <v/>
      </c>
      <c r="BT6" s="5">
        <f>Assumptions!BT$73</f>
        <v/>
      </c>
      <c r="BU6" s="5">
        <f>Assumptions!BU$73</f>
        <v/>
      </c>
      <c r="BV6" s="5">
        <f>Assumptions!BV$73</f>
        <v/>
      </c>
      <c r="BW6" s="5">
        <f>Assumptions!BW$73</f>
        <v/>
      </c>
      <c r="BX6" s="5">
        <f>Assumptions!BX$73</f>
        <v/>
      </c>
      <c r="BY6" s="5">
        <f>Assumptions!BY$73</f>
        <v/>
      </c>
      <c r="BZ6" s="5">
        <f>Assumptions!BZ$73</f>
        <v/>
      </c>
      <c r="CA6" s="5">
        <f>Assumptions!CA$73</f>
        <v/>
      </c>
      <c r="CB6" s="5">
        <f>Assumptions!CB$73</f>
        <v/>
      </c>
      <c r="CC6" s="5">
        <f>Assumptions!CC$73</f>
        <v/>
      </c>
      <c r="CD6" s="5">
        <f>Assumptions!CD$73</f>
        <v/>
      </c>
      <c r="CE6" s="5">
        <f>Assumptions!CE$73</f>
        <v/>
      </c>
      <c r="CF6" s="5">
        <f>Assumptions!CF$73</f>
        <v/>
      </c>
      <c r="CG6" s="5">
        <f>Assumptions!CG$73</f>
        <v/>
      </c>
      <c r="CH6" s="5">
        <f>Assumptions!CH$73</f>
        <v/>
      </c>
      <c r="CI6" s="5">
        <f>Assumptions!CI$73</f>
        <v/>
      </c>
      <c r="CJ6" s="5">
        <f>Assumptions!CJ$73</f>
        <v/>
      </c>
      <c r="CK6" s="5">
        <f>Assumptions!CK$73</f>
        <v/>
      </c>
      <c r="CL6" s="5">
        <f>Assumptions!CL$73</f>
        <v/>
      </c>
      <c r="CM6" s="5">
        <f>Assumptions!CM$73</f>
        <v/>
      </c>
      <c r="CN6" s="5">
        <f>Assumptions!CN$73</f>
        <v/>
      </c>
      <c r="CO6" s="5">
        <f>Assumptions!CO$73</f>
        <v/>
      </c>
      <c r="CP6" s="5">
        <f>Assumptions!CP$73</f>
        <v/>
      </c>
      <c r="CQ6" s="5">
        <f>Assumptions!CQ$73</f>
        <v/>
      </c>
      <c r="CR6" s="5">
        <f>Assumptions!CR$73</f>
        <v/>
      </c>
      <c r="CS6" s="5">
        <f>Assumptions!CS$73</f>
        <v/>
      </c>
      <c r="CT6" s="5">
        <f>Assumptions!CT$73</f>
        <v/>
      </c>
      <c r="CU6" s="5">
        <f>Assumptions!CU$73</f>
        <v/>
      </c>
      <c r="CV6" s="5">
        <f>Assumptions!CV$73</f>
        <v/>
      </c>
      <c r="CW6" s="5">
        <f>Assumptions!CW$73</f>
        <v/>
      </c>
      <c r="CX6" s="5">
        <f>Assumptions!CX$73</f>
        <v/>
      </c>
      <c r="CY6" s="5">
        <f>Assumptions!CY$73</f>
        <v/>
      </c>
      <c r="CZ6" s="5">
        <f>Assumptions!CZ$73</f>
        <v/>
      </c>
      <c r="DA6" s="5">
        <f>Assumptions!DA$73</f>
        <v/>
      </c>
      <c r="DB6" s="5">
        <f>Assumptions!DB$73</f>
        <v/>
      </c>
      <c r="DC6" s="5">
        <f>Assumptions!DC$73</f>
        <v/>
      </c>
      <c r="DD6" s="5">
        <f>Assumptions!DD$73</f>
        <v/>
      </c>
      <c r="DE6" s="5">
        <f>Assumptions!DE$73</f>
        <v/>
      </c>
      <c r="DF6" s="5">
        <f>Assumptions!DF$73</f>
        <v/>
      </c>
      <c r="DG6" s="5">
        <f>Assumptions!DG$73</f>
        <v/>
      </c>
      <c r="DH6" s="5">
        <f>Assumptions!DH$73</f>
        <v/>
      </c>
      <c r="DI6" s="5">
        <f>Assumptions!DI$73</f>
        <v/>
      </c>
      <c r="DJ6" s="5">
        <f>Assumptions!DJ$73</f>
        <v/>
      </c>
      <c r="DK6" s="5">
        <f>Assumptions!DK$73</f>
        <v/>
      </c>
      <c r="DL6" s="5">
        <f>Assumptions!DL$73</f>
        <v/>
      </c>
      <c r="DM6" s="5">
        <f>Assumptions!DM$73</f>
        <v/>
      </c>
      <c r="DN6" s="5">
        <f>Assumptions!DN$73</f>
        <v/>
      </c>
      <c r="DO6" s="5">
        <f>Assumptions!DO$73</f>
        <v/>
      </c>
      <c r="DP6" s="5">
        <f>Assumptions!DP$73</f>
        <v/>
      </c>
      <c r="DQ6" s="5">
        <f>Assumptions!DQ$73</f>
        <v/>
      </c>
      <c r="DR6" s="5">
        <f>Assumptions!DR$73</f>
        <v/>
      </c>
      <c r="DS6" s="5">
        <f>Assumptions!DS$73</f>
        <v/>
      </c>
      <c r="DT6" s="5">
        <f>Assumptions!DT$73</f>
        <v/>
      </c>
    </row>
    <row r="7">
      <c r="A7" s="10" t="inlineStr">
        <is>
          <t>MF EGI</t>
        </is>
      </c>
      <c r="E7" s="50">
        <f>'MF Revenue'!E$114</f>
        <v/>
      </c>
      <c r="F7" s="50">
        <f>'MF Revenue'!F$114</f>
        <v/>
      </c>
      <c r="G7" s="50">
        <f>'MF Revenue'!G$114</f>
        <v/>
      </c>
      <c r="H7" s="50">
        <f>'MF Revenue'!H$114</f>
        <v/>
      </c>
      <c r="I7" s="50">
        <f>'MF Revenue'!I$114</f>
        <v/>
      </c>
      <c r="J7" s="50">
        <f>'MF Revenue'!J$114</f>
        <v/>
      </c>
      <c r="K7" s="50">
        <f>'MF Revenue'!K$114</f>
        <v/>
      </c>
      <c r="L7" s="50">
        <f>'MF Revenue'!L$114</f>
        <v/>
      </c>
      <c r="M7" s="50">
        <f>'MF Revenue'!M$114</f>
        <v/>
      </c>
      <c r="N7" s="50">
        <f>'MF Revenue'!N$114</f>
        <v/>
      </c>
      <c r="O7" s="50">
        <f>'MF Revenue'!O$114</f>
        <v/>
      </c>
      <c r="P7" s="50">
        <f>'MF Revenue'!P$114</f>
        <v/>
      </c>
      <c r="Q7" s="50">
        <f>'MF Revenue'!Q$114</f>
        <v/>
      </c>
      <c r="R7" s="50">
        <f>'MF Revenue'!R$114</f>
        <v/>
      </c>
      <c r="S7" s="50">
        <f>'MF Revenue'!S$114</f>
        <v/>
      </c>
      <c r="T7" s="50">
        <f>'MF Revenue'!T$114</f>
        <v/>
      </c>
      <c r="U7" s="50">
        <f>'MF Revenue'!U$114</f>
        <v/>
      </c>
      <c r="V7" s="50">
        <f>'MF Revenue'!V$114</f>
        <v/>
      </c>
      <c r="W7" s="50">
        <f>'MF Revenue'!W$114</f>
        <v/>
      </c>
      <c r="X7" s="50">
        <f>'MF Revenue'!X$114</f>
        <v/>
      </c>
      <c r="Y7" s="50">
        <f>'MF Revenue'!Y$114</f>
        <v/>
      </c>
      <c r="Z7" s="50">
        <f>'MF Revenue'!Z$114</f>
        <v/>
      </c>
      <c r="AA7" s="50">
        <f>'MF Revenue'!AA$114</f>
        <v/>
      </c>
      <c r="AB7" s="50">
        <f>'MF Revenue'!AB$114</f>
        <v/>
      </c>
      <c r="AC7" s="50">
        <f>'MF Revenue'!AC$114</f>
        <v/>
      </c>
      <c r="AD7" s="50">
        <f>'MF Revenue'!AD$114</f>
        <v/>
      </c>
      <c r="AE7" s="50">
        <f>'MF Revenue'!AE$114</f>
        <v/>
      </c>
      <c r="AF7" s="50">
        <f>'MF Revenue'!AF$114</f>
        <v/>
      </c>
      <c r="AG7" s="50">
        <f>'MF Revenue'!AG$114</f>
        <v/>
      </c>
      <c r="AH7" s="50">
        <f>'MF Revenue'!AH$114</f>
        <v/>
      </c>
      <c r="AI7" s="50">
        <f>'MF Revenue'!AI$114</f>
        <v/>
      </c>
      <c r="AJ7" s="50">
        <f>'MF Revenue'!AJ$114</f>
        <v/>
      </c>
      <c r="AK7" s="50">
        <f>'MF Revenue'!AK$114</f>
        <v/>
      </c>
      <c r="AL7" s="50">
        <f>'MF Revenue'!AL$114</f>
        <v/>
      </c>
      <c r="AM7" s="50">
        <f>'MF Revenue'!AM$114</f>
        <v/>
      </c>
      <c r="AN7" s="50">
        <f>'MF Revenue'!AN$114</f>
        <v/>
      </c>
      <c r="AO7" s="50">
        <f>'MF Revenue'!AO$114</f>
        <v/>
      </c>
      <c r="AP7" s="50">
        <f>'MF Revenue'!AP$114</f>
        <v/>
      </c>
      <c r="AQ7" s="50">
        <f>'MF Revenue'!AQ$114</f>
        <v/>
      </c>
      <c r="AR7" s="50">
        <f>'MF Revenue'!AR$114</f>
        <v/>
      </c>
      <c r="AS7" s="50">
        <f>'MF Revenue'!AS$114</f>
        <v/>
      </c>
      <c r="AT7" s="50">
        <f>'MF Revenue'!AT$114</f>
        <v/>
      </c>
      <c r="AU7" s="50">
        <f>'MF Revenue'!AU$114</f>
        <v/>
      </c>
      <c r="AV7" s="50">
        <f>'MF Revenue'!AV$114</f>
        <v/>
      </c>
      <c r="AW7" s="50">
        <f>'MF Revenue'!AW$114</f>
        <v/>
      </c>
      <c r="AX7" s="50">
        <f>'MF Revenue'!AX$114</f>
        <v/>
      </c>
      <c r="AY7" s="50">
        <f>'MF Revenue'!AY$114</f>
        <v/>
      </c>
      <c r="AZ7" s="50">
        <f>'MF Revenue'!AZ$114</f>
        <v/>
      </c>
      <c r="BA7" s="50">
        <f>'MF Revenue'!BA$114</f>
        <v/>
      </c>
      <c r="BB7" s="50">
        <f>'MF Revenue'!BB$114</f>
        <v/>
      </c>
      <c r="BC7" s="50">
        <f>'MF Revenue'!BC$114</f>
        <v/>
      </c>
      <c r="BD7" s="50">
        <f>'MF Revenue'!BD$114</f>
        <v/>
      </c>
      <c r="BE7" s="50">
        <f>'MF Revenue'!BE$114</f>
        <v/>
      </c>
      <c r="BF7" s="50">
        <f>'MF Revenue'!BF$114</f>
        <v/>
      </c>
      <c r="BG7" s="50">
        <f>'MF Revenue'!BG$114</f>
        <v/>
      </c>
      <c r="BH7" s="50">
        <f>'MF Revenue'!BH$114</f>
        <v/>
      </c>
      <c r="BI7" s="50">
        <f>'MF Revenue'!BI$114</f>
        <v/>
      </c>
      <c r="BJ7" s="50">
        <f>'MF Revenue'!BJ$114</f>
        <v/>
      </c>
      <c r="BK7" s="50">
        <f>'MF Revenue'!BK$114</f>
        <v/>
      </c>
      <c r="BL7" s="50">
        <f>'MF Revenue'!BL$114</f>
        <v/>
      </c>
      <c r="BM7" s="50">
        <f>'MF Revenue'!BM$114</f>
        <v/>
      </c>
      <c r="BN7" s="50">
        <f>'MF Revenue'!BN$114</f>
        <v/>
      </c>
      <c r="BO7" s="50">
        <f>'MF Revenue'!BO$114</f>
        <v/>
      </c>
      <c r="BP7" s="50">
        <f>'MF Revenue'!BP$114</f>
        <v/>
      </c>
      <c r="BQ7" s="50">
        <f>'MF Revenue'!BQ$114</f>
        <v/>
      </c>
      <c r="BR7" s="50">
        <f>'MF Revenue'!BR$114</f>
        <v/>
      </c>
      <c r="BS7" s="50">
        <f>'MF Revenue'!BS$114</f>
        <v/>
      </c>
      <c r="BT7" s="50">
        <f>'MF Revenue'!BT$114</f>
        <v/>
      </c>
      <c r="BU7" s="50">
        <f>'MF Revenue'!BU$114</f>
        <v/>
      </c>
      <c r="BV7" s="50">
        <f>'MF Revenue'!BV$114</f>
        <v/>
      </c>
      <c r="BW7" s="50">
        <f>'MF Revenue'!BW$114</f>
        <v/>
      </c>
      <c r="BX7" s="50">
        <f>'MF Revenue'!BX$114</f>
        <v/>
      </c>
      <c r="BY7" s="50">
        <f>'MF Revenue'!BY$114</f>
        <v/>
      </c>
      <c r="BZ7" s="50">
        <f>'MF Revenue'!BZ$114</f>
        <v/>
      </c>
      <c r="CA7" s="50">
        <f>'MF Revenue'!CA$114</f>
        <v/>
      </c>
      <c r="CB7" s="50">
        <f>'MF Revenue'!CB$114</f>
        <v/>
      </c>
      <c r="CC7" s="50">
        <f>'MF Revenue'!CC$114</f>
        <v/>
      </c>
      <c r="CD7" s="50">
        <f>'MF Revenue'!CD$114</f>
        <v/>
      </c>
      <c r="CE7" s="50">
        <f>'MF Revenue'!CE$114</f>
        <v/>
      </c>
      <c r="CF7" s="50">
        <f>'MF Revenue'!CF$114</f>
        <v/>
      </c>
      <c r="CG7" s="50">
        <f>'MF Revenue'!CG$114</f>
        <v/>
      </c>
      <c r="CH7" s="50">
        <f>'MF Revenue'!CH$114</f>
        <v/>
      </c>
      <c r="CI7" s="50">
        <f>'MF Revenue'!CI$114</f>
        <v/>
      </c>
      <c r="CJ7" s="50">
        <f>'MF Revenue'!CJ$114</f>
        <v/>
      </c>
      <c r="CK7" s="50">
        <f>'MF Revenue'!CK$114</f>
        <v/>
      </c>
      <c r="CL7" s="50">
        <f>'MF Revenue'!CL$114</f>
        <v/>
      </c>
      <c r="CM7" s="50">
        <f>'MF Revenue'!CM$114</f>
        <v/>
      </c>
      <c r="CN7" s="50">
        <f>'MF Revenue'!CN$114</f>
        <v/>
      </c>
      <c r="CO7" s="50">
        <f>'MF Revenue'!CO$114</f>
        <v/>
      </c>
      <c r="CP7" s="50">
        <f>'MF Revenue'!CP$114</f>
        <v/>
      </c>
      <c r="CQ7" s="50">
        <f>'MF Revenue'!CQ$114</f>
        <v/>
      </c>
      <c r="CR7" s="50">
        <f>'MF Revenue'!CR$114</f>
        <v/>
      </c>
      <c r="CS7" s="50">
        <f>'MF Revenue'!CS$114</f>
        <v/>
      </c>
      <c r="CT7" s="50">
        <f>'MF Revenue'!CT$114</f>
        <v/>
      </c>
      <c r="CU7" s="50">
        <f>'MF Revenue'!CU$114</f>
        <v/>
      </c>
      <c r="CV7" s="50">
        <f>'MF Revenue'!CV$114</f>
        <v/>
      </c>
      <c r="CW7" s="50">
        <f>'MF Revenue'!CW$114</f>
        <v/>
      </c>
      <c r="CX7" s="50">
        <f>'MF Revenue'!CX$114</f>
        <v/>
      </c>
      <c r="CY7" s="50">
        <f>'MF Revenue'!CY$114</f>
        <v/>
      </c>
      <c r="CZ7" s="50">
        <f>'MF Revenue'!CZ$114</f>
        <v/>
      </c>
      <c r="DA7" s="50">
        <f>'MF Revenue'!DA$114</f>
        <v/>
      </c>
      <c r="DB7" s="50">
        <f>'MF Revenue'!DB$114</f>
        <v/>
      </c>
      <c r="DC7" s="50">
        <f>'MF Revenue'!DC$114</f>
        <v/>
      </c>
      <c r="DD7" s="50">
        <f>'MF Revenue'!DD$114</f>
        <v/>
      </c>
      <c r="DE7" s="50">
        <f>'MF Revenue'!DE$114</f>
        <v/>
      </c>
      <c r="DF7" s="50">
        <f>'MF Revenue'!DF$114</f>
        <v/>
      </c>
      <c r="DG7" s="50">
        <f>'MF Revenue'!DG$114</f>
        <v/>
      </c>
      <c r="DH7" s="50">
        <f>'MF Revenue'!DH$114</f>
        <v/>
      </c>
      <c r="DI7" s="50">
        <f>'MF Revenue'!DI$114</f>
        <v/>
      </c>
      <c r="DJ7" s="50">
        <f>'MF Revenue'!DJ$114</f>
        <v/>
      </c>
      <c r="DK7" s="50">
        <f>'MF Revenue'!DK$114</f>
        <v/>
      </c>
      <c r="DL7" s="50">
        <f>'MF Revenue'!DL$114</f>
        <v/>
      </c>
      <c r="DM7" s="50">
        <f>'MF Revenue'!DM$114</f>
        <v/>
      </c>
      <c r="DN7" s="50">
        <f>'MF Revenue'!DN$114</f>
        <v/>
      </c>
      <c r="DO7" s="50">
        <f>'MF Revenue'!DO$114</f>
        <v/>
      </c>
      <c r="DP7" s="50">
        <f>'MF Revenue'!DP$114</f>
        <v/>
      </c>
      <c r="DQ7" s="50">
        <f>'MF Revenue'!DQ$114</f>
        <v/>
      </c>
      <c r="DR7" s="50">
        <f>'MF Revenue'!DR$114</f>
        <v/>
      </c>
      <c r="DS7" s="50">
        <f>'MF Revenue'!DS$114</f>
        <v/>
      </c>
      <c r="DT7" s="50">
        <f>'MF Revenue'!DT$114</f>
        <v/>
      </c>
    </row>
    <row r="8">
      <c r="A8" s="10" t="inlineStr">
        <is>
          <t>Retail EGI</t>
        </is>
      </c>
      <c r="E8" s="50">
        <f>'Retail Revenue'!E$40</f>
        <v/>
      </c>
      <c r="F8" s="50">
        <f>'Retail Revenue'!F$40</f>
        <v/>
      </c>
      <c r="G8" s="50">
        <f>'Retail Revenue'!G$40</f>
        <v/>
      </c>
      <c r="H8" s="50">
        <f>'Retail Revenue'!H$40</f>
        <v/>
      </c>
      <c r="I8" s="50">
        <f>'Retail Revenue'!I$40</f>
        <v/>
      </c>
      <c r="J8" s="50">
        <f>'Retail Revenue'!J$40</f>
        <v/>
      </c>
      <c r="K8" s="50">
        <f>'Retail Revenue'!K$40</f>
        <v/>
      </c>
      <c r="L8" s="50">
        <f>'Retail Revenue'!L$40</f>
        <v/>
      </c>
      <c r="M8" s="50">
        <f>'Retail Revenue'!M$40</f>
        <v/>
      </c>
      <c r="N8" s="50">
        <f>'Retail Revenue'!N$40</f>
        <v/>
      </c>
      <c r="O8" s="50">
        <f>'Retail Revenue'!O$40</f>
        <v/>
      </c>
      <c r="P8" s="50">
        <f>'Retail Revenue'!P$40</f>
        <v/>
      </c>
      <c r="Q8" s="50">
        <f>'Retail Revenue'!Q$40</f>
        <v/>
      </c>
      <c r="R8" s="50">
        <f>'Retail Revenue'!R$40</f>
        <v/>
      </c>
      <c r="S8" s="50">
        <f>'Retail Revenue'!S$40</f>
        <v/>
      </c>
      <c r="T8" s="50">
        <f>'Retail Revenue'!T$40</f>
        <v/>
      </c>
      <c r="U8" s="50">
        <f>'Retail Revenue'!U$40</f>
        <v/>
      </c>
      <c r="V8" s="50">
        <f>'Retail Revenue'!V$40</f>
        <v/>
      </c>
      <c r="W8" s="50">
        <f>'Retail Revenue'!W$40</f>
        <v/>
      </c>
      <c r="X8" s="50">
        <f>'Retail Revenue'!X$40</f>
        <v/>
      </c>
      <c r="Y8" s="50">
        <f>'Retail Revenue'!Y$40</f>
        <v/>
      </c>
      <c r="Z8" s="50">
        <f>'Retail Revenue'!Z$40</f>
        <v/>
      </c>
      <c r="AA8" s="50">
        <f>'Retail Revenue'!AA$40</f>
        <v/>
      </c>
      <c r="AB8" s="50">
        <f>'Retail Revenue'!AB$40</f>
        <v/>
      </c>
      <c r="AC8" s="50">
        <f>'Retail Revenue'!AC$40</f>
        <v/>
      </c>
      <c r="AD8" s="50">
        <f>'Retail Revenue'!AD$40</f>
        <v/>
      </c>
      <c r="AE8" s="50">
        <f>'Retail Revenue'!AE$40</f>
        <v/>
      </c>
      <c r="AF8" s="50">
        <f>'Retail Revenue'!AF$40</f>
        <v/>
      </c>
      <c r="AG8" s="50">
        <f>'Retail Revenue'!AG$40</f>
        <v/>
      </c>
      <c r="AH8" s="50">
        <f>'Retail Revenue'!AH$40</f>
        <v/>
      </c>
      <c r="AI8" s="50">
        <f>'Retail Revenue'!AI$40</f>
        <v/>
      </c>
      <c r="AJ8" s="50">
        <f>'Retail Revenue'!AJ$40</f>
        <v/>
      </c>
      <c r="AK8" s="50">
        <f>'Retail Revenue'!AK$40</f>
        <v/>
      </c>
      <c r="AL8" s="50">
        <f>'Retail Revenue'!AL$40</f>
        <v/>
      </c>
      <c r="AM8" s="50">
        <f>'Retail Revenue'!AM$40</f>
        <v/>
      </c>
      <c r="AN8" s="50">
        <f>'Retail Revenue'!AN$40</f>
        <v/>
      </c>
      <c r="AO8" s="50">
        <f>'Retail Revenue'!AO$40</f>
        <v/>
      </c>
      <c r="AP8" s="50">
        <f>'Retail Revenue'!AP$40</f>
        <v/>
      </c>
      <c r="AQ8" s="50">
        <f>'Retail Revenue'!AQ$40</f>
        <v/>
      </c>
      <c r="AR8" s="50">
        <f>'Retail Revenue'!AR$40</f>
        <v/>
      </c>
      <c r="AS8" s="50">
        <f>'Retail Revenue'!AS$40</f>
        <v/>
      </c>
      <c r="AT8" s="50">
        <f>'Retail Revenue'!AT$40</f>
        <v/>
      </c>
      <c r="AU8" s="50">
        <f>'Retail Revenue'!AU$40</f>
        <v/>
      </c>
      <c r="AV8" s="50">
        <f>'Retail Revenue'!AV$40</f>
        <v/>
      </c>
      <c r="AW8" s="50">
        <f>'Retail Revenue'!AW$40</f>
        <v/>
      </c>
      <c r="AX8" s="50">
        <f>'Retail Revenue'!AX$40</f>
        <v/>
      </c>
      <c r="AY8" s="50">
        <f>'Retail Revenue'!AY$40</f>
        <v/>
      </c>
      <c r="AZ8" s="50">
        <f>'Retail Revenue'!AZ$40</f>
        <v/>
      </c>
      <c r="BA8" s="50">
        <f>'Retail Revenue'!BA$40</f>
        <v/>
      </c>
      <c r="BB8" s="50">
        <f>'Retail Revenue'!BB$40</f>
        <v/>
      </c>
      <c r="BC8" s="50">
        <f>'Retail Revenue'!BC$40</f>
        <v/>
      </c>
      <c r="BD8" s="50">
        <f>'Retail Revenue'!BD$40</f>
        <v/>
      </c>
      <c r="BE8" s="50">
        <f>'Retail Revenue'!BE$40</f>
        <v/>
      </c>
      <c r="BF8" s="50">
        <f>'Retail Revenue'!BF$40</f>
        <v/>
      </c>
      <c r="BG8" s="50">
        <f>'Retail Revenue'!BG$40</f>
        <v/>
      </c>
      <c r="BH8" s="50">
        <f>'Retail Revenue'!BH$40</f>
        <v/>
      </c>
      <c r="BI8" s="50">
        <f>'Retail Revenue'!BI$40</f>
        <v/>
      </c>
      <c r="BJ8" s="50">
        <f>'Retail Revenue'!BJ$40</f>
        <v/>
      </c>
      <c r="BK8" s="50">
        <f>'Retail Revenue'!BK$40</f>
        <v/>
      </c>
      <c r="BL8" s="50">
        <f>'Retail Revenue'!BL$40</f>
        <v/>
      </c>
      <c r="BM8" s="50">
        <f>'Retail Revenue'!BM$40</f>
        <v/>
      </c>
      <c r="BN8" s="50">
        <f>'Retail Revenue'!BN$40</f>
        <v/>
      </c>
      <c r="BO8" s="50">
        <f>'Retail Revenue'!BO$40</f>
        <v/>
      </c>
      <c r="BP8" s="50">
        <f>'Retail Revenue'!BP$40</f>
        <v/>
      </c>
      <c r="BQ8" s="50">
        <f>'Retail Revenue'!BQ$40</f>
        <v/>
      </c>
      <c r="BR8" s="50">
        <f>'Retail Revenue'!BR$40</f>
        <v/>
      </c>
      <c r="BS8" s="50">
        <f>'Retail Revenue'!BS$40</f>
        <v/>
      </c>
      <c r="BT8" s="50">
        <f>'Retail Revenue'!BT$40</f>
        <v/>
      </c>
      <c r="BU8" s="50">
        <f>'Retail Revenue'!BU$40</f>
        <v/>
      </c>
      <c r="BV8" s="50">
        <f>'Retail Revenue'!BV$40</f>
        <v/>
      </c>
      <c r="BW8" s="50">
        <f>'Retail Revenue'!BW$40</f>
        <v/>
      </c>
      <c r="BX8" s="50">
        <f>'Retail Revenue'!BX$40</f>
        <v/>
      </c>
      <c r="BY8" s="50">
        <f>'Retail Revenue'!BY$40</f>
        <v/>
      </c>
      <c r="BZ8" s="50">
        <f>'Retail Revenue'!BZ$40</f>
        <v/>
      </c>
      <c r="CA8" s="50">
        <f>'Retail Revenue'!CA$40</f>
        <v/>
      </c>
      <c r="CB8" s="50">
        <f>'Retail Revenue'!CB$40</f>
        <v/>
      </c>
      <c r="CC8" s="50">
        <f>'Retail Revenue'!CC$40</f>
        <v/>
      </c>
      <c r="CD8" s="50">
        <f>'Retail Revenue'!CD$40</f>
        <v/>
      </c>
      <c r="CE8" s="50">
        <f>'Retail Revenue'!CE$40</f>
        <v/>
      </c>
      <c r="CF8" s="50">
        <f>'Retail Revenue'!CF$40</f>
        <v/>
      </c>
      <c r="CG8" s="50">
        <f>'Retail Revenue'!CG$40</f>
        <v/>
      </c>
      <c r="CH8" s="50">
        <f>'Retail Revenue'!CH$40</f>
        <v/>
      </c>
      <c r="CI8" s="50">
        <f>'Retail Revenue'!CI$40</f>
        <v/>
      </c>
      <c r="CJ8" s="50">
        <f>'Retail Revenue'!CJ$40</f>
        <v/>
      </c>
      <c r="CK8" s="50">
        <f>'Retail Revenue'!CK$40</f>
        <v/>
      </c>
      <c r="CL8" s="50">
        <f>'Retail Revenue'!CL$40</f>
        <v/>
      </c>
      <c r="CM8" s="50">
        <f>'Retail Revenue'!CM$40</f>
        <v/>
      </c>
      <c r="CN8" s="50">
        <f>'Retail Revenue'!CN$40</f>
        <v/>
      </c>
      <c r="CO8" s="50">
        <f>'Retail Revenue'!CO$40</f>
        <v/>
      </c>
      <c r="CP8" s="50">
        <f>'Retail Revenue'!CP$40</f>
        <v/>
      </c>
      <c r="CQ8" s="50">
        <f>'Retail Revenue'!CQ$40</f>
        <v/>
      </c>
      <c r="CR8" s="50">
        <f>'Retail Revenue'!CR$40</f>
        <v/>
      </c>
      <c r="CS8" s="50">
        <f>'Retail Revenue'!CS$40</f>
        <v/>
      </c>
      <c r="CT8" s="50">
        <f>'Retail Revenue'!CT$40</f>
        <v/>
      </c>
      <c r="CU8" s="50">
        <f>'Retail Revenue'!CU$40</f>
        <v/>
      </c>
      <c r="CV8" s="50">
        <f>'Retail Revenue'!CV$40</f>
        <v/>
      </c>
      <c r="CW8" s="50">
        <f>'Retail Revenue'!CW$40</f>
        <v/>
      </c>
      <c r="CX8" s="50">
        <f>'Retail Revenue'!CX$40</f>
        <v/>
      </c>
      <c r="CY8" s="50">
        <f>'Retail Revenue'!CY$40</f>
        <v/>
      </c>
      <c r="CZ8" s="50">
        <f>'Retail Revenue'!CZ$40</f>
        <v/>
      </c>
      <c r="DA8" s="50">
        <f>'Retail Revenue'!DA$40</f>
        <v/>
      </c>
      <c r="DB8" s="50">
        <f>'Retail Revenue'!DB$40</f>
        <v/>
      </c>
      <c r="DC8" s="50">
        <f>'Retail Revenue'!DC$40</f>
        <v/>
      </c>
      <c r="DD8" s="50">
        <f>'Retail Revenue'!DD$40</f>
        <v/>
      </c>
      <c r="DE8" s="50">
        <f>'Retail Revenue'!DE$40</f>
        <v/>
      </c>
      <c r="DF8" s="50">
        <f>'Retail Revenue'!DF$40</f>
        <v/>
      </c>
      <c r="DG8" s="50">
        <f>'Retail Revenue'!DG$40</f>
        <v/>
      </c>
      <c r="DH8" s="50">
        <f>'Retail Revenue'!DH$40</f>
        <v/>
      </c>
      <c r="DI8" s="50">
        <f>'Retail Revenue'!DI$40</f>
        <v/>
      </c>
      <c r="DJ8" s="50">
        <f>'Retail Revenue'!DJ$40</f>
        <v/>
      </c>
      <c r="DK8" s="50">
        <f>'Retail Revenue'!DK$40</f>
        <v/>
      </c>
      <c r="DL8" s="50">
        <f>'Retail Revenue'!DL$40</f>
        <v/>
      </c>
      <c r="DM8" s="50">
        <f>'Retail Revenue'!DM$40</f>
        <v/>
      </c>
      <c r="DN8" s="50">
        <f>'Retail Revenue'!DN$40</f>
        <v/>
      </c>
      <c r="DO8" s="50">
        <f>'Retail Revenue'!DO$40</f>
        <v/>
      </c>
      <c r="DP8" s="50">
        <f>'Retail Revenue'!DP$40</f>
        <v/>
      </c>
      <c r="DQ8" s="50">
        <f>'Retail Revenue'!DQ$40</f>
        <v/>
      </c>
      <c r="DR8" s="50">
        <f>'Retail Revenue'!DR$40</f>
        <v/>
      </c>
      <c r="DS8" s="50">
        <f>'Retail Revenue'!DS$40</f>
        <v/>
      </c>
      <c r="DT8" s="50">
        <f>'Retail Revenue'!DT$40</f>
        <v/>
      </c>
    </row>
    <row r="9">
      <c r="A9" s="3" t="inlineStr">
        <is>
          <t>Total EGI</t>
        </is>
      </c>
      <c r="E9" s="62">
        <f>E$7+E$8</f>
        <v/>
      </c>
      <c r="F9" s="62">
        <f>F$7+F$8</f>
        <v/>
      </c>
      <c r="G9" s="62">
        <f>G$7+G$8</f>
        <v/>
      </c>
      <c r="H9" s="62">
        <f>H$7+H$8</f>
        <v/>
      </c>
      <c r="I9" s="62">
        <f>I$7+I$8</f>
        <v/>
      </c>
      <c r="J9" s="62">
        <f>J$7+J$8</f>
        <v/>
      </c>
      <c r="K9" s="62">
        <f>K$7+K$8</f>
        <v/>
      </c>
      <c r="L9" s="62">
        <f>L$7+L$8</f>
        <v/>
      </c>
      <c r="M9" s="62">
        <f>M$7+M$8</f>
        <v/>
      </c>
      <c r="N9" s="62">
        <f>N$7+N$8</f>
        <v/>
      </c>
      <c r="O9" s="62">
        <f>O$7+O$8</f>
        <v/>
      </c>
      <c r="P9" s="62">
        <f>P$7+P$8</f>
        <v/>
      </c>
      <c r="Q9" s="62">
        <f>Q$7+Q$8</f>
        <v/>
      </c>
      <c r="R9" s="62">
        <f>R$7+R$8</f>
        <v/>
      </c>
      <c r="S9" s="62">
        <f>S$7+S$8</f>
        <v/>
      </c>
      <c r="T9" s="62">
        <f>T$7+T$8</f>
        <v/>
      </c>
      <c r="U9" s="62">
        <f>U$7+U$8</f>
        <v/>
      </c>
      <c r="V9" s="62">
        <f>V$7+V$8</f>
        <v/>
      </c>
      <c r="W9" s="62">
        <f>W$7+W$8</f>
        <v/>
      </c>
      <c r="X9" s="62">
        <f>X$7+X$8</f>
        <v/>
      </c>
      <c r="Y9" s="62">
        <f>Y$7+Y$8</f>
        <v/>
      </c>
      <c r="Z9" s="62">
        <f>Z$7+Z$8</f>
        <v/>
      </c>
      <c r="AA9" s="62">
        <f>AA$7+AA$8</f>
        <v/>
      </c>
      <c r="AB9" s="62">
        <f>AB$7+AB$8</f>
        <v/>
      </c>
      <c r="AC9" s="62">
        <f>AC$7+AC$8</f>
        <v/>
      </c>
      <c r="AD9" s="62">
        <f>AD$7+AD$8</f>
        <v/>
      </c>
      <c r="AE9" s="62">
        <f>AE$7+AE$8</f>
        <v/>
      </c>
      <c r="AF9" s="62">
        <f>AF$7+AF$8</f>
        <v/>
      </c>
      <c r="AG9" s="62">
        <f>AG$7+AG$8</f>
        <v/>
      </c>
      <c r="AH9" s="62">
        <f>AH$7+AH$8</f>
        <v/>
      </c>
      <c r="AI9" s="62">
        <f>AI$7+AI$8</f>
        <v/>
      </c>
      <c r="AJ9" s="62">
        <f>AJ$7+AJ$8</f>
        <v/>
      </c>
      <c r="AK9" s="62">
        <f>AK$7+AK$8</f>
        <v/>
      </c>
      <c r="AL9" s="62">
        <f>AL$7+AL$8</f>
        <v/>
      </c>
      <c r="AM9" s="62">
        <f>AM$7+AM$8</f>
        <v/>
      </c>
      <c r="AN9" s="62">
        <f>AN$7+AN$8</f>
        <v/>
      </c>
      <c r="AO9" s="62">
        <f>AO$7+AO$8</f>
        <v/>
      </c>
      <c r="AP9" s="62">
        <f>AP$7+AP$8</f>
        <v/>
      </c>
      <c r="AQ9" s="62">
        <f>AQ$7+AQ$8</f>
        <v/>
      </c>
      <c r="AR9" s="62">
        <f>AR$7+AR$8</f>
        <v/>
      </c>
      <c r="AS9" s="62">
        <f>AS$7+AS$8</f>
        <v/>
      </c>
      <c r="AT9" s="62">
        <f>AT$7+AT$8</f>
        <v/>
      </c>
      <c r="AU9" s="62">
        <f>AU$7+AU$8</f>
        <v/>
      </c>
      <c r="AV9" s="62">
        <f>AV$7+AV$8</f>
        <v/>
      </c>
      <c r="AW9" s="62">
        <f>AW$7+AW$8</f>
        <v/>
      </c>
      <c r="AX9" s="62">
        <f>AX$7+AX$8</f>
        <v/>
      </c>
      <c r="AY9" s="62">
        <f>AY$7+AY$8</f>
        <v/>
      </c>
      <c r="AZ9" s="62">
        <f>AZ$7+AZ$8</f>
        <v/>
      </c>
      <c r="BA9" s="62">
        <f>BA$7+BA$8</f>
        <v/>
      </c>
      <c r="BB9" s="62">
        <f>BB$7+BB$8</f>
        <v/>
      </c>
      <c r="BC9" s="62">
        <f>BC$7+BC$8</f>
        <v/>
      </c>
      <c r="BD9" s="62">
        <f>BD$7+BD$8</f>
        <v/>
      </c>
      <c r="BE9" s="62">
        <f>BE$7+BE$8</f>
        <v/>
      </c>
      <c r="BF9" s="62">
        <f>BF$7+BF$8</f>
        <v/>
      </c>
      <c r="BG9" s="62">
        <f>BG$7+BG$8</f>
        <v/>
      </c>
      <c r="BH9" s="62">
        <f>BH$7+BH$8</f>
        <v/>
      </c>
      <c r="BI9" s="62">
        <f>BI$7+BI$8</f>
        <v/>
      </c>
      <c r="BJ9" s="62">
        <f>BJ$7+BJ$8</f>
        <v/>
      </c>
      <c r="BK9" s="62">
        <f>BK$7+BK$8</f>
        <v/>
      </c>
      <c r="BL9" s="62">
        <f>BL$7+BL$8</f>
        <v/>
      </c>
      <c r="BM9" s="62">
        <f>BM$7+BM$8</f>
        <v/>
      </c>
      <c r="BN9" s="62">
        <f>BN$7+BN$8</f>
        <v/>
      </c>
      <c r="BO9" s="62">
        <f>BO$7+BO$8</f>
        <v/>
      </c>
      <c r="BP9" s="62">
        <f>BP$7+BP$8</f>
        <v/>
      </c>
      <c r="BQ9" s="62">
        <f>BQ$7+BQ$8</f>
        <v/>
      </c>
      <c r="BR9" s="62">
        <f>BR$7+BR$8</f>
        <v/>
      </c>
      <c r="BS9" s="62">
        <f>BS$7+BS$8</f>
        <v/>
      </c>
      <c r="BT9" s="62">
        <f>BT$7+BT$8</f>
        <v/>
      </c>
      <c r="BU9" s="62">
        <f>BU$7+BU$8</f>
        <v/>
      </c>
      <c r="BV9" s="62">
        <f>BV$7+BV$8</f>
        <v/>
      </c>
      <c r="BW9" s="62">
        <f>BW$7+BW$8</f>
        <v/>
      </c>
      <c r="BX9" s="62">
        <f>BX$7+BX$8</f>
        <v/>
      </c>
      <c r="BY9" s="62">
        <f>BY$7+BY$8</f>
        <v/>
      </c>
      <c r="BZ9" s="62">
        <f>BZ$7+BZ$8</f>
        <v/>
      </c>
      <c r="CA9" s="62">
        <f>CA$7+CA$8</f>
        <v/>
      </c>
      <c r="CB9" s="62">
        <f>CB$7+CB$8</f>
        <v/>
      </c>
      <c r="CC9" s="62">
        <f>CC$7+CC$8</f>
        <v/>
      </c>
      <c r="CD9" s="62">
        <f>CD$7+CD$8</f>
        <v/>
      </c>
      <c r="CE9" s="62">
        <f>CE$7+CE$8</f>
        <v/>
      </c>
      <c r="CF9" s="62">
        <f>CF$7+CF$8</f>
        <v/>
      </c>
      <c r="CG9" s="62">
        <f>CG$7+CG$8</f>
        <v/>
      </c>
      <c r="CH9" s="62">
        <f>CH$7+CH$8</f>
        <v/>
      </c>
      <c r="CI9" s="62">
        <f>CI$7+CI$8</f>
        <v/>
      </c>
      <c r="CJ9" s="62">
        <f>CJ$7+CJ$8</f>
        <v/>
      </c>
      <c r="CK9" s="62">
        <f>CK$7+CK$8</f>
        <v/>
      </c>
      <c r="CL9" s="62">
        <f>CL$7+CL$8</f>
        <v/>
      </c>
      <c r="CM9" s="62">
        <f>CM$7+CM$8</f>
        <v/>
      </c>
      <c r="CN9" s="62">
        <f>CN$7+CN$8</f>
        <v/>
      </c>
      <c r="CO9" s="62">
        <f>CO$7+CO$8</f>
        <v/>
      </c>
      <c r="CP9" s="62">
        <f>CP$7+CP$8</f>
        <v/>
      </c>
      <c r="CQ9" s="62">
        <f>CQ$7+CQ$8</f>
        <v/>
      </c>
      <c r="CR9" s="62">
        <f>CR$7+CR$8</f>
        <v/>
      </c>
      <c r="CS9" s="62">
        <f>CS$7+CS$8</f>
        <v/>
      </c>
      <c r="CT9" s="62">
        <f>CT$7+CT$8</f>
        <v/>
      </c>
      <c r="CU9" s="62">
        <f>CU$7+CU$8</f>
        <v/>
      </c>
      <c r="CV9" s="62">
        <f>CV$7+CV$8</f>
        <v/>
      </c>
      <c r="CW9" s="62">
        <f>CW$7+CW$8</f>
        <v/>
      </c>
      <c r="CX9" s="62">
        <f>CX$7+CX$8</f>
        <v/>
      </c>
      <c r="CY9" s="62">
        <f>CY$7+CY$8</f>
        <v/>
      </c>
      <c r="CZ9" s="62">
        <f>CZ$7+CZ$8</f>
        <v/>
      </c>
      <c r="DA9" s="62">
        <f>DA$7+DA$8</f>
        <v/>
      </c>
      <c r="DB9" s="62">
        <f>DB$7+DB$8</f>
        <v/>
      </c>
      <c r="DC9" s="62">
        <f>DC$7+DC$8</f>
        <v/>
      </c>
      <c r="DD9" s="62">
        <f>DD$7+DD$8</f>
        <v/>
      </c>
      <c r="DE9" s="62">
        <f>DE$7+DE$8</f>
        <v/>
      </c>
      <c r="DF9" s="62">
        <f>DF$7+DF$8</f>
        <v/>
      </c>
      <c r="DG9" s="62">
        <f>DG$7+DG$8</f>
        <v/>
      </c>
      <c r="DH9" s="62">
        <f>DH$7+DH$8</f>
        <v/>
      </c>
      <c r="DI9" s="62">
        <f>DI$7+DI$8</f>
        <v/>
      </c>
      <c r="DJ9" s="62">
        <f>DJ$7+DJ$8</f>
        <v/>
      </c>
      <c r="DK9" s="62">
        <f>DK$7+DK$8</f>
        <v/>
      </c>
      <c r="DL9" s="62">
        <f>DL$7+DL$8</f>
        <v/>
      </c>
      <c r="DM9" s="62">
        <f>DM$7+DM$8</f>
        <v/>
      </c>
      <c r="DN9" s="62">
        <f>DN$7+DN$8</f>
        <v/>
      </c>
      <c r="DO9" s="62">
        <f>DO$7+DO$8</f>
        <v/>
      </c>
      <c r="DP9" s="62">
        <f>DP$7+DP$8</f>
        <v/>
      </c>
      <c r="DQ9" s="62">
        <f>DQ$7+DQ$8</f>
        <v/>
      </c>
      <c r="DR9" s="62">
        <f>DR$7+DR$8</f>
        <v/>
      </c>
      <c r="DS9" s="62">
        <f>DS$7+DS$8</f>
        <v/>
      </c>
      <c r="DT9" s="62">
        <f>DT$7+DT$8</f>
        <v/>
      </c>
    </row>
    <row r="10">
      <c r="A10" s="10" t="inlineStr">
        <is>
          <t>OpEx (excl. taxes)</t>
        </is>
      </c>
      <c r="E10" s="50">
        <f>OpEx!E$19</f>
        <v/>
      </c>
      <c r="F10" s="50">
        <f>OpEx!F$19</f>
        <v/>
      </c>
      <c r="G10" s="50">
        <f>OpEx!G$19</f>
        <v/>
      </c>
      <c r="H10" s="50">
        <f>OpEx!H$19</f>
        <v/>
      </c>
      <c r="I10" s="50">
        <f>OpEx!I$19</f>
        <v/>
      </c>
      <c r="J10" s="50">
        <f>OpEx!J$19</f>
        <v/>
      </c>
      <c r="K10" s="50">
        <f>OpEx!K$19</f>
        <v/>
      </c>
      <c r="L10" s="50">
        <f>OpEx!L$19</f>
        <v/>
      </c>
      <c r="M10" s="50">
        <f>OpEx!M$19</f>
        <v/>
      </c>
      <c r="N10" s="50">
        <f>OpEx!N$19</f>
        <v/>
      </c>
      <c r="O10" s="50">
        <f>OpEx!O$19</f>
        <v/>
      </c>
      <c r="P10" s="50">
        <f>OpEx!P$19</f>
        <v/>
      </c>
      <c r="Q10" s="50">
        <f>OpEx!Q$19</f>
        <v/>
      </c>
      <c r="R10" s="50">
        <f>OpEx!R$19</f>
        <v/>
      </c>
      <c r="S10" s="50">
        <f>OpEx!S$19</f>
        <v/>
      </c>
      <c r="T10" s="50">
        <f>OpEx!T$19</f>
        <v/>
      </c>
      <c r="U10" s="50">
        <f>OpEx!U$19</f>
        <v/>
      </c>
      <c r="V10" s="50">
        <f>OpEx!V$19</f>
        <v/>
      </c>
      <c r="W10" s="50">
        <f>OpEx!W$19</f>
        <v/>
      </c>
      <c r="X10" s="50">
        <f>OpEx!X$19</f>
        <v/>
      </c>
      <c r="Y10" s="50">
        <f>OpEx!Y$19</f>
        <v/>
      </c>
      <c r="Z10" s="50">
        <f>OpEx!Z$19</f>
        <v/>
      </c>
      <c r="AA10" s="50">
        <f>OpEx!AA$19</f>
        <v/>
      </c>
      <c r="AB10" s="50">
        <f>OpEx!AB$19</f>
        <v/>
      </c>
      <c r="AC10" s="50">
        <f>OpEx!AC$19</f>
        <v/>
      </c>
      <c r="AD10" s="50">
        <f>OpEx!AD$19</f>
        <v/>
      </c>
      <c r="AE10" s="50">
        <f>OpEx!AE$19</f>
        <v/>
      </c>
      <c r="AF10" s="50">
        <f>OpEx!AF$19</f>
        <v/>
      </c>
      <c r="AG10" s="50">
        <f>OpEx!AG$19</f>
        <v/>
      </c>
      <c r="AH10" s="50">
        <f>OpEx!AH$19</f>
        <v/>
      </c>
      <c r="AI10" s="50">
        <f>OpEx!AI$19</f>
        <v/>
      </c>
      <c r="AJ10" s="50">
        <f>OpEx!AJ$19</f>
        <v/>
      </c>
      <c r="AK10" s="50">
        <f>OpEx!AK$19</f>
        <v/>
      </c>
      <c r="AL10" s="50">
        <f>OpEx!AL$19</f>
        <v/>
      </c>
      <c r="AM10" s="50">
        <f>OpEx!AM$19</f>
        <v/>
      </c>
      <c r="AN10" s="50">
        <f>OpEx!AN$19</f>
        <v/>
      </c>
      <c r="AO10" s="50">
        <f>OpEx!AO$19</f>
        <v/>
      </c>
      <c r="AP10" s="50">
        <f>OpEx!AP$19</f>
        <v/>
      </c>
      <c r="AQ10" s="50">
        <f>OpEx!AQ$19</f>
        <v/>
      </c>
      <c r="AR10" s="50">
        <f>OpEx!AR$19</f>
        <v/>
      </c>
      <c r="AS10" s="50">
        <f>OpEx!AS$19</f>
        <v/>
      </c>
      <c r="AT10" s="50">
        <f>OpEx!AT$19</f>
        <v/>
      </c>
      <c r="AU10" s="50">
        <f>OpEx!AU$19</f>
        <v/>
      </c>
      <c r="AV10" s="50">
        <f>OpEx!AV$19</f>
        <v/>
      </c>
      <c r="AW10" s="50">
        <f>OpEx!AW$19</f>
        <v/>
      </c>
      <c r="AX10" s="50">
        <f>OpEx!AX$19</f>
        <v/>
      </c>
      <c r="AY10" s="50">
        <f>OpEx!AY$19</f>
        <v/>
      </c>
      <c r="AZ10" s="50">
        <f>OpEx!AZ$19</f>
        <v/>
      </c>
      <c r="BA10" s="50">
        <f>OpEx!BA$19</f>
        <v/>
      </c>
      <c r="BB10" s="50">
        <f>OpEx!BB$19</f>
        <v/>
      </c>
      <c r="BC10" s="50">
        <f>OpEx!BC$19</f>
        <v/>
      </c>
      <c r="BD10" s="50">
        <f>OpEx!BD$19</f>
        <v/>
      </c>
      <c r="BE10" s="50">
        <f>OpEx!BE$19</f>
        <v/>
      </c>
      <c r="BF10" s="50">
        <f>OpEx!BF$19</f>
        <v/>
      </c>
      <c r="BG10" s="50">
        <f>OpEx!BG$19</f>
        <v/>
      </c>
      <c r="BH10" s="50">
        <f>OpEx!BH$19</f>
        <v/>
      </c>
      <c r="BI10" s="50">
        <f>OpEx!BI$19</f>
        <v/>
      </c>
      <c r="BJ10" s="50">
        <f>OpEx!BJ$19</f>
        <v/>
      </c>
      <c r="BK10" s="50">
        <f>OpEx!BK$19</f>
        <v/>
      </c>
      <c r="BL10" s="50">
        <f>OpEx!BL$19</f>
        <v/>
      </c>
      <c r="BM10" s="50">
        <f>OpEx!BM$19</f>
        <v/>
      </c>
      <c r="BN10" s="50">
        <f>OpEx!BN$19</f>
        <v/>
      </c>
      <c r="BO10" s="50">
        <f>OpEx!BO$19</f>
        <v/>
      </c>
      <c r="BP10" s="50">
        <f>OpEx!BP$19</f>
        <v/>
      </c>
      <c r="BQ10" s="50">
        <f>OpEx!BQ$19</f>
        <v/>
      </c>
      <c r="BR10" s="50">
        <f>OpEx!BR$19</f>
        <v/>
      </c>
      <c r="BS10" s="50">
        <f>OpEx!BS$19</f>
        <v/>
      </c>
      <c r="BT10" s="50">
        <f>OpEx!BT$19</f>
        <v/>
      </c>
      <c r="BU10" s="50">
        <f>OpEx!BU$19</f>
        <v/>
      </c>
      <c r="BV10" s="50">
        <f>OpEx!BV$19</f>
        <v/>
      </c>
      <c r="BW10" s="50">
        <f>OpEx!BW$19</f>
        <v/>
      </c>
      <c r="BX10" s="50">
        <f>OpEx!BX$19</f>
        <v/>
      </c>
      <c r="BY10" s="50">
        <f>OpEx!BY$19</f>
        <v/>
      </c>
      <c r="BZ10" s="50">
        <f>OpEx!BZ$19</f>
        <v/>
      </c>
      <c r="CA10" s="50">
        <f>OpEx!CA$19</f>
        <v/>
      </c>
      <c r="CB10" s="50">
        <f>OpEx!CB$19</f>
        <v/>
      </c>
      <c r="CC10" s="50">
        <f>OpEx!CC$19</f>
        <v/>
      </c>
      <c r="CD10" s="50">
        <f>OpEx!CD$19</f>
        <v/>
      </c>
      <c r="CE10" s="50">
        <f>OpEx!CE$19</f>
        <v/>
      </c>
      <c r="CF10" s="50">
        <f>OpEx!CF$19</f>
        <v/>
      </c>
      <c r="CG10" s="50">
        <f>OpEx!CG$19</f>
        <v/>
      </c>
      <c r="CH10" s="50">
        <f>OpEx!CH$19</f>
        <v/>
      </c>
      <c r="CI10" s="50">
        <f>OpEx!CI$19</f>
        <v/>
      </c>
      <c r="CJ10" s="50">
        <f>OpEx!CJ$19</f>
        <v/>
      </c>
      <c r="CK10" s="50">
        <f>OpEx!CK$19</f>
        <v/>
      </c>
      <c r="CL10" s="50">
        <f>OpEx!CL$19</f>
        <v/>
      </c>
      <c r="CM10" s="50">
        <f>OpEx!CM$19</f>
        <v/>
      </c>
      <c r="CN10" s="50">
        <f>OpEx!CN$19</f>
        <v/>
      </c>
      <c r="CO10" s="50">
        <f>OpEx!CO$19</f>
        <v/>
      </c>
      <c r="CP10" s="50">
        <f>OpEx!CP$19</f>
        <v/>
      </c>
      <c r="CQ10" s="50">
        <f>OpEx!CQ$19</f>
        <v/>
      </c>
      <c r="CR10" s="50">
        <f>OpEx!CR$19</f>
        <v/>
      </c>
      <c r="CS10" s="50">
        <f>OpEx!CS$19</f>
        <v/>
      </c>
      <c r="CT10" s="50">
        <f>OpEx!CT$19</f>
        <v/>
      </c>
      <c r="CU10" s="50">
        <f>OpEx!CU$19</f>
        <v/>
      </c>
      <c r="CV10" s="50">
        <f>OpEx!CV$19</f>
        <v/>
      </c>
      <c r="CW10" s="50">
        <f>OpEx!CW$19</f>
        <v/>
      </c>
      <c r="CX10" s="50">
        <f>OpEx!CX$19</f>
        <v/>
      </c>
      <c r="CY10" s="50">
        <f>OpEx!CY$19</f>
        <v/>
      </c>
      <c r="CZ10" s="50">
        <f>OpEx!CZ$19</f>
        <v/>
      </c>
      <c r="DA10" s="50">
        <f>OpEx!DA$19</f>
        <v/>
      </c>
      <c r="DB10" s="50">
        <f>OpEx!DB$19</f>
        <v/>
      </c>
      <c r="DC10" s="50">
        <f>OpEx!DC$19</f>
        <v/>
      </c>
      <c r="DD10" s="50">
        <f>OpEx!DD$19</f>
        <v/>
      </c>
      <c r="DE10" s="50">
        <f>OpEx!DE$19</f>
        <v/>
      </c>
      <c r="DF10" s="50">
        <f>OpEx!DF$19</f>
        <v/>
      </c>
      <c r="DG10" s="50">
        <f>OpEx!DG$19</f>
        <v/>
      </c>
      <c r="DH10" s="50">
        <f>OpEx!DH$19</f>
        <v/>
      </c>
      <c r="DI10" s="50">
        <f>OpEx!DI$19</f>
        <v/>
      </c>
      <c r="DJ10" s="50">
        <f>OpEx!DJ$19</f>
        <v/>
      </c>
      <c r="DK10" s="50">
        <f>OpEx!DK$19</f>
        <v/>
      </c>
      <c r="DL10" s="50">
        <f>OpEx!DL$19</f>
        <v/>
      </c>
      <c r="DM10" s="50">
        <f>OpEx!DM$19</f>
        <v/>
      </c>
      <c r="DN10" s="50">
        <f>OpEx!DN$19</f>
        <v/>
      </c>
      <c r="DO10" s="50">
        <f>OpEx!DO$19</f>
        <v/>
      </c>
      <c r="DP10" s="50">
        <f>OpEx!DP$19</f>
        <v/>
      </c>
      <c r="DQ10" s="50">
        <f>OpEx!DQ$19</f>
        <v/>
      </c>
      <c r="DR10" s="50">
        <f>OpEx!DR$19</f>
        <v/>
      </c>
      <c r="DS10" s="50">
        <f>OpEx!DS$19</f>
        <v/>
      </c>
      <c r="DT10" s="50">
        <f>OpEx!DT$19</f>
        <v/>
      </c>
    </row>
    <row r="11">
      <c r="A11" s="10" t="inlineStr">
        <is>
          <t>Taxes</t>
        </is>
      </c>
      <c r="E11" s="50">
        <f>Taxes!E$12</f>
        <v/>
      </c>
      <c r="F11" s="50">
        <f>Taxes!F$12</f>
        <v/>
      </c>
      <c r="G11" s="50">
        <f>Taxes!G$12</f>
        <v/>
      </c>
      <c r="H11" s="50">
        <f>Taxes!H$12</f>
        <v/>
      </c>
      <c r="I11" s="50">
        <f>Taxes!I$12</f>
        <v/>
      </c>
      <c r="J11" s="50">
        <f>Taxes!J$12</f>
        <v/>
      </c>
      <c r="K11" s="50">
        <f>Taxes!K$12</f>
        <v/>
      </c>
      <c r="L11" s="50">
        <f>Taxes!L$12</f>
        <v/>
      </c>
      <c r="M11" s="50">
        <f>Taxes!M$12</f>
        <v/>
      </c>
      <c r="N11" s="50">
        <f>Taxes!N$12</f>
        <v/>
      </c>
      <c r="O11" s="50">
        <f>Taxes!O$12</f>
        <v/>
      </c>
      <c r="P11" s="50">
        <f>Taxes!P$12</f>
        <v/>
      </c>
      <c r="Q11" s="50">
        <f>Taxes!Q$12</f>
        <v/>
      </c>
      <c r="R11" s="50">
        <f>Taxes!R$12</f>
        <v/>
      </c>
      <c r="S11" s="50">
        <f>Taxes!S$12</f>
        <v/>
      </c>
      <c r="T11" s="50">
        <f>Taxes!T$12</f>
        <v/>
      </c>
      <c r="U11" s="50">
        <f>Taxes!U$12</f>
        <v/>
      </c>
      <c r="V11" s="50">
        <f>Taxes!V$12</f>
        <v/>
      </c>
      <c r="W11" s="50">
        <f>Taxes!W$12</f>
        <v/>
      </c>
      <c r="X11" s="50">
        <f>Taxes!X$12</f>
        <v/>
      </c>
      <c r="Y11" s="50">
        <f>Taxes!Y$12</f>
        <v/>
      </c>
      <c r="Z11" s="50">
        <f>Taxes!Z$12</f>
        <v/>
      </c>
      <c r="AA11" s="50">
        <f>Taxes!AA$12</f>
        <v/>
      </c>
      <c r="AB11" s="50">
        <f>Taxes!AB$12</f>
        <v/>
      </c>
      <c r="AC11" s="50">
        <f>Taxes!AC$12</f>
        <v/>
      </c>
      <c r="AD11" s="50">
        <f>Taxes!AD$12</f>
        <v/>
      </c>
      <c r="AE11" s="50">
        <f>Taxes!AE$12</f>
        <v/>
      </c>
      <c r="AF11" s="50">
        <f>Taxes!AF$12</f>
        <v/>
      </c>
      <c r="AG11" s="50">
        <f>Taxes!AG$12</f>
        <v/>
      </c>
      <c r="AH11" s="50">
        <f>Taxes!AH$12</f>
        <v/>
      </c>
      <c r="AI11" s="50">
        <f>Taxes!AI$12</f>
        <v/>
      </c>
      <c r="AJ11" s="50">
        <f>Taxes!AJ$12</f>
        <v/>
      </c>
      <c r="AK11" s="50">
        <f>Taxes!AK$12</f>
        <v/>
      </c>
      <c r="AL11" s="50">
        <f>Taxes!AL$12</f>
        <v/>
      </c>
      <c r="AM11" s="50">
        <f>Taxes!AM$12</f>
        <v/>
      </c>
      <c r="AN11" s="50">
        <f>Taxes!AN$12</f>
        <v/>
      </c>
      <c r="AO11" s="50">
        <f>Taxes!AO$12</f>
        <v/>
      </c>
      <c r="AP11" s="50">
        <f>Taxes!AP$12</f>
        <v/>
      </c>
      <c r="AQ11" s="50">
        <f>Taxes!AQ$12</f>
        <v/>
      </c>
      <c r="AR11" s="50">
        <f>Taxes!AR$12</f>
        <v/>
      </c>
      <c r="AS11" s="50">
        <f>Taxes!AS$12</f>
        <v/>
      </c>
      <c r="AT11" s="50">
        <f>Taxes!AT$12</f>
        <v/>
      </c>
      <c r="AU11" s="50">
        <f>Taxes!AU$12</f>
        <v/>
      </c>
      <c r="AV11" s="50">
        <f>Taxes!AV$12</f>
        <v/>
      </c>
      <c r="AW11" s="50">
        <f>Taxes!AW$12</f>
        <v/>
      </c>
      <c r="AX11" s="50">
        <f>Taxes!AX$12</f>
        <v/>
      </c>
      <c r="AY11" s="50">
        <f>Taxes!AY$12</f>
        <v/>
      </c>
      <c r="AZ11" s="50">
        <f>Taxes!AZ$12</f>
        <v/>
      </c>
      <c r="BA11" s="50">
        <f>Taxes!BA$12</f>
        <v/>
      </c>
      <c r="BB11" s="50">
        <f>Taxes!BB$12</f>
        <v/>
      </c>
      <c r="BC11" s="50">
        <f>Taxes!BC$12</f>
        <v/>
      </c>
      <c r="BD11" s="50">
        <f>Taxes!BD$12</f>
        <v/>
      </c>
      <c r="BE11" s="50">
        <f>Taxes!BE$12</f>
        <v/>
      </c>
      <c r="BF11" s="50">
        <f>Taxes!BF$12</f>
        <v/>
      </c>
      <c r="BG11" s="50">
        <f>Taxes!BG$12</f>
        <v/>
      </c>
      <c r="BH11" s="50">
        <f>Taxes!BH$12</f>
        <v/>
      </c>
      <c r="BI11" s="50">
        <f>Taxes!BI$12</f>
        <v/>
      </c>
      <c r="BJ11" s="50">
        <f>Taxes!BJ$12</f>
        <v/>
      </c>
      <c r="BK11" s="50">
        <f>Taxes!BK$12</f>
        <v/>
      </c>
      <c r="BL11" s="50">
        <f>Taxes!BL$12</f>
        <v/>
      </c>
      <c r="BM11" s="50">
        <f>Taxes!BM$12</f>
        <v/>
      </c>
      <c r="BN11" s="50">
        <f>Taxes!BN$12</f>
        <v/>
      </c>
      <c r="BO11" s="50">
        <f>Taxes!BO$12</f>
        <v/>
      </c>
      <c r="BP11" s="50">
        <f>Taxes!BP$12</f>
        <v/>
      </c>
      <c r="BQ11" s="50">
        <f>Taxes!BQ$12</f>
        <v/>
      </c>
      <c r="BR11" s="50">
        <f>Taxes!BR$12</f>
        <v/>
      </c>
      <c r="BS11" s="50">
        <f>Taxes!BS$12</f>
        <v/>
      </c>
      <c r="BT11" s="50">
        <f>Taxes!BT$12</f>
        <v/>
      </c>
      <c r="BU11" s="50">
        <f>Taxes!BU$12</f>
        <v/>
      </c>
      <c r="BV11" s="50">
        <f>Taxes!BV$12</f>
        <v/>
      </c>
      <c r="BW11" s="50">
        <f>Taxes!BW$12</f>
        <v/>
      </c>
      <c r="BX11" s="50">
        <f>Taxes!BX$12</f>
        <v/>
      </c>
      <c r="BY11" s="50">
        <f>Taxes!BY$12</f>
        <v/>
      </c>
      <c r="BZ11" s="50">
        <f>Taxes!BZ$12</f>
        <v/>
      </c>
      <c r="CA11" s="50">
        <f>Taxes!CA$12</f>
        <v/>
      </c>
      <c r="CB11" s="50">
        <f>Taxes!CB$12</f>
        <v/>
      </c>
      <c r="CC11" s="50">
        <f>Taxes!CC$12</f>
        <v/>
      </c>
      <c r="CD11" s="50">
        <f>Taxes!CD$12</f>
        <v/>
      </c>
      <c r="CE11" s="50">
        <f>Taxes!CE$12</f>
        <v/>
      </c>
      <c r="CF11" s="50">
        <f>Taxes!CF$12</f>
        <v/>
      </c>
      <c r="CG11" s="50">
        <f>Taxes!CG$12</f>
        <v/>
      </c>
      <c r="CH11" s="50">
        <f>Taxes!CH$12</f>
        <v/>
      </c>
      <c r="CI11" s="50">
        <f>Taxes!CI$12</f>
        <v/>
      </c>
      <c r="CJ11" s="50">
        <f>Taxes!CJ$12</f>
        <v/>
      </c>
      <c r="CK11" s="50">
        <f>Taxes!CK$12</f>
        <v/>
      </c>
      <c r="CL11" s="50">
        <f>Taxes!CL$12</f>
        <v/>
      </c>
      <c r="CM11" s="50">
        <f>Taxes!CM$12</f>
        <v/>
      </c>
      <c r="CN11" s="50">
        <f>Taxes!CN$12</f>
        <v/>
      </c>
      <c r="CO11" s="50">
        <f>Taxes!CO$12</f>
        <v/>
      </c>
      <c r="CP11" s="50">
        <f>Taxes!CP$12</f>
        <v/>
      </c>
      <c r="CQ11" s="50">
        <f>Taxes!CQ$12</f>
        <v/>
      </c>
      <c r="CR11" s="50">
        <f>Taxes!CR$12</f>
        <v/>
      </c>
      <c r="CS11" s="50">
        <f>Taxes!CS$12</f>
        <v/>
      </c>
      <c r="CT11" s="50">
        <f>Taxes!CT$12</f>
        <v/>
      </c>
      <c r="CU11" s="50">
        <f>Taxes!CU$12</f>
        <v/>
      </c>
      <c r="CV11" s="50">
        <f>Taxes!CV$12</f>
        <v/>
      </c>
      <c r="CW11" s="50">
        <f>Taxes!CW$12</f>
        <v/>
      </c>
      <c r="CX11" s="50">
        <f>Taxes!CX$12</f>
        <v/>
      </c>
      <c r="CY11" s="50">
        <f>Taxes!CY$12</f>
        <v/>
      </c>
      <c r="CZ11" s="50">
        <f>Taxes!CZ$12</f>
        <v/>
      </c>
      <c r="DA11" s="50">
        <f>Taxes!DA$12</f>
        <v/>
      </c>
      <c r="DB11" s="50">
        <f>Taxes!DB$12</f>
        <v/>
      </c>
      <c r="DC11" s="50">
        <f>Taxes!DC$12</f>
        <v/>
      </c>
      <c r="DD11" s="50">
        <f>Taxes!DD$12</f>
        <v/>
      </c>
      <c r="DE11" s="50">
        <f>Taxes!DE$12</f>
        <v/>
      </c>
      <c r="DF11" s="50">
        <f>Taxes!DF$12</f>
        <v/>
      </c>
      <c r="DG11" s="50">
        <f>Taxes!DG$12</f>
        <v/>
      </c>
      <c r="DH11" s="50">
        <f>Taxes!DH$12</f>
        <v/>
      </c>
      <c r="DI11" s="50">
        <f>Taxes!DI$12</f>
        <v/>
      </c>
      <c r="DJ11" s="50">
        <f>Taxes!DJ$12</f>
        <v/>
      </c>
      <c r="DK11" s="50">
        <f>Taxes!DK$12</f>
        <v/>
      </c>
      <c r="DL11" s="50">
        <f>Taxes!DL$12</f>
        <v/>
      </c>
      <c r="DM11" s="50">
        <f>Taxes!DM$12</f>
        <v/>
      </c>
      <c r="DN11" s="50">
        <f>Taxes!DN$12</f>
        <v/>
      </c>
      <c r="DO11" s="50">
        <f>Taxes!DO$12</f>
        <v/>
      </c>
      <c r="DP11" s="50">
        <f>Taxes!DP$12</f>
        <v/>
      </c>
      <c r="DQ11" s="50">
        <f>Taxes!DQ$12</f>
        <v/>
      </c>
      <c r="DR11" s="50">
        <f>Taxes!DR$12</f>
        <v/>
      </c>
      <c r="DS11" s="50">
        <f>Taxes!DS$12</f>
        <v/>
      </c>
      <c r="DT11" s="50">
        <f>Taxes!DT$12</f>
        <v/>
      </c>
    </row>
    <row r="12">
      <c r="A12" s="3" t="inlineStr">
        <is>
          <t>NOI</t>
        </is>
      </c>
      <c r="E12" s="62">
        <f>E$9+E$10+E$11</f>
        <v/>
      </c>
      <c r="F12" s="62">
        <f>F$9+F$10+F$11</f>
        <v/>
      </c>
      <c r="G12" s="62">
        <f>G$9+G$10+G$11</f>
        <v/>
      </c>
      <c r="H12" s="62">
        <f>H$9+H$10+H$11</f>
        <v/>
      </c>
      <c r="I12" s="62">
        <f>I$9+I$10+I$11</f>
        <v/>
      </c>
      <c r="J12" s="62">
        <f>J$9+J$10+J$11</f>
        <v/>
      </c>
      <c r="K12" s="62">
        <f>K$9+K$10+K$11</f>
        <v/>
      </c>
      <c r="L12" s="62">
        <f>L$9+L$10+L$11</f>
        <v/>
      </c>
      <c r="M12" s="62">
        <f>M$9+M$10+M$11</f>
        <v/>
      </c>
      <c r="N12" s="62">
        <f>N$9+N$10+N$11</f>
        <v/>
      </c>
      <c r="O12" s="62">
        <f>O$9+O$10+O$11</f>
        <v/>
      </c>
      <c r="P12" s="62">
        <f>P$9+P$10+P$11</f>
        <v/>
      </c>
      <c r="Q12" s="62">
        <f>Q$9+Q$10+Q$11</f>
        <v/>
      </c>
      <c r="R12" s="62">
        <f>R$9+R$10+R$11</f>
        <v/>
      </c>
      <c r="S12" s="62">
        <f>S$9+S$10+S$11</f>
        <v/>
      </c>
      <c r="T12" s="62">
        <f>T$9+T$10+T$11</f>
        <v/>
      </c>
      <c r="U12" s="62">
        <f>U$9+U$10+U$11</f>
        <v/>
      </c>
      <c r="V12" s="62">
        <f>V$9+V$10+V$11</f>
        <v/>
      </c>
      <c r="W12" s="62">
        <f>W$9+W$10+W$11</f>
        <v/>
      </c>
      <c r="X12" s="62">
        <f>X$9+X$10+X$11</f>
        <v/>
      </c>
      <c r="Y12" s="62">
        <f>Y$9+Y$10+Y$11</f>
        <v/>
      </c>
      <c r="Z12" s="62">
        <f>Z$9+Z$10+Z$11</f>
        <v/>
      </c>
      <c r="AA12" s="62">
        <f>AA$9+AA$10+AA$11</f>
        <v/>
      </c>
      <c r="AB12" s="62">
        <f>AB$9+AB$10+AB$11</f>
        <v/>
      </c>
      <c r="AC12" s="62">
        <f>AC$9+AC$10+AC$11</f>
        <v/>
      </c>
      <c r="AD12" s="62">
        <f>AD$9+AD$10+AD$11</f>
        <v/>
      </c>
      <c r="AE12" s="62">
        <f>AE$9+AE$10+AE$11</f>
        <v/>
      </c>
      <c r="AF12" s="62">
        <f>AF$9+AF$10+AF$11</f>
        <v/>
      </c>
      <c r="AG12" s="62">
        <f>AG$9+AG$10+AG$11</f>
        <v/>
      </c>
      <c r="AH12" s="62">
        <f>AH$9+AH$10+AH$11</f>
        <v/>
      </c>
      <c r="AI12" s="62">
        <f>AI$9+AI$10+AI$11</f>
        <v/>
      </c>
      <c r="AJ12" s="62">
        <f>AJ$9+AJ$10+AJ$11</f>
        <v/>
      </c>
      <c r="AK12" s="62">
        <f>AK$9+AK$10+AK$11</f>
        <v/>
      </c>
      <c r="AL12" s="62">
        <f>AL$9+AL$10+AL$11</f>
        <v/>
      </c>
      <c r="AM12" s="62">
        <f>AM$9+AM$10+AM$11</f>
        <v/>
      </c>
      <c r="AN12" s="62">
        <f>AN$9+AN$10+AN$11</f>
        <v/>
      </c>
      <c r="AO12" s="62">
        <f>AO$9+AO$10+AO$11</f>
        <v/>
      </c>
      <c r="AP12" s="62">
        <f>AP$9+AP$10+AP$11</f>
        <v/>
      </c>
      <c r="AQ12" s="62">
        <f>AQ$9+AQ$10+AQ$11</f>
        <v/>
      </c>
      <c r="AR12" s="62">
        <f>AR$9+AR$10+AR$11</f>
        <v/>
      </c>
      <c r="AS12" s="62">
        <f>AS$9+AS$10+AS$11</f>
        <v/>
      </c>
      <c r="AT12" s="62">
        <f>AT$9+AT$10+AT$11</f>
        <v/>
      </c>
      <c r="AU12" s="62">
        <f>AU$9+AU$10+AU$11</f>
        <v/>
      </c>
      <c r="AV12" s="62">
        <f>AV$9+AV$10+AV$11</f>
        <v/>
      </c>
      <c r="AW12" s="62">
        <f>AW$9+AW$10+AW$11</f>
        <v/>
      </c>
      <c r="AX12" s="62">
        <f>AX$9+AX$10+AX$11</f>
        <v/>
      </c>
      <c r="AY12" s="62">
        <f>AY$9+AY$10+AY$11</f>
        <v/>
      </c>
      <c r="AZ12" s="62">
        <f>AZ$9+AZ$10+AZ$11</f>
        <v/>
      </c>
      <c r="BA12" s="62">
        <f>BA$9+BA$10+BA$11</f>
        <v/>
      </c>
      <c r="BB12" s="62">
        <f>BB$9+BB$10+BB$11</f>
        <v/>
      </c>
      <c r="BC12" s="62">
        <f>BC$9+BC$10+BC$11</f>
        <v/>
      </c>
      <c r="BD12" s="62">
        <f>BD$9+BD$10+BD$11</f>
        <v/>
      </c>
      <c r="BE12" s="62">
        <f>BE$9+BE$10+BE$11</f>
        <v/>
      </c>
      <c r="BF12" s="62">
        <f>BF$9+BF$10+BF$11</f>
        <v/>
      </c>
      <c r="BG12" s="62">
        <f>BG$9+BG$10+BG$11</f>
        <v/>
      </c>
      <c r="BH12" s="62">
        <f>BH$9+BH$10+BH$11</f>
        <v/>
      </c>
      <c r="BI12" s="62">
        <f>BI$9+BI$10+BI$11</f>
        <v/>
      </c>
      <c r="BJ12" s="62">
        <f>BJ$9+BJ$10+BJ$11</f>
        <v/>
      </c>
      <c r="BK12" s="62">
        <f>BK$9+BK$10+BK$11</f>
        <v/>
      </c>
      <c r="BL12" s="62">
        <f>BL$9+BL$10+BL$11</f>
        <v/>
      </c>
      <c r="BM12" s="62">
        <f>BM$9+BM$10+BM$11</f>
        <v/>
      </c>
      <c r="BN12" s="62">
        <f>BN$9+BN$10+BN$11</f>
        <v/>
      </c>
      <c r="BO12" s="62">
        <f>BO$9+BO$10+BO$11</f>
        <v/>
      </c>
      <c r="BP12" s="62">
        <f>BP$9+BP$10+BP$11</f>
        <v/>
      </c>
      <c r="BQ12" s="62">
        <f>BQ$9+BQ$10+BQ$11</f>
        <v/>
      </c>
      <c r="BR12" s="62">
        <f>BR$9+BR$10+BR$11</f>
        <v/>
      </c>
      <c r="BS12" s="62">
        <f>BS$9+BS$10+BS$11</f>
        <v/>
      </c>
      <c r="BT12" s="62">
        <f>BT$9+BT$10+BT$11</f>
        <v/>
      </c>
      <c r="BU12" s="62">
        <f>BU$9+BU$10+BU$11</f>
        <v/>
      </c>
      <c r="BV12" s="62">
        <f>BV$9+BV$10+BV$11</f>
        <v/>
      </c>
      <c r="BW12" s="62">
        <f>BW$9+BW$10+BW$11</f>
        <v/>
      </c>
      <c r="BX12" s="62">
        <f>BX$9+BX$10+BX$11</f>
        <v/>
      </c>
      <c r="BY12" s="62">
        <f>BY$9+BY$10+BY$11</f>
        <v/>
      </c>
      <c r="BZ12" s="62">
        <f>BZ$9+BZ$10+BZ$11</f>
        <v/>
      </c>
      <c r="CA12" s="62">
        <f>CA$9+CA$10+CA$11</f>
        <v/>
      </c>
      <c r="CB12" s="62">
        <f>CB$9+CB$10+CB$11</f>
        <v/>
      </c>
      <c r="CC12" s="62">
        <f>CC$9+CC$10+CC$11</f>
        <v/>
      </c>
      <c r="CD12" s="62">
        <f>CD$9+CD$10+CD$11</f>
        <v/>
      </c>
      <c r="CE12" s="62">
        <f>CE$9+CE$10+CE$11</f>
        <v/>
      </c>
      <c r="CF12" s="62">
        <f>CF$9+CF$10+CF$11</f>
        <v/>
      </c>
      <c r="CG12" s="62">
        <f>CG$9+CG$10+CG$11</f>
        <v/>
      </c>
      <c r="CH12" s="62">
        <f>CH$9+CH$10+CH$11</f>
        <v/>
      </c>
      <c r="CI12" s="62">
        <f>CI$9+CI$10+CI$11</f>
        <v/>
      </c>
      <c r="CJ12" s="62">
        <f>CJ$9+CJ$10+CJ$11</f>
        <v/>
      </c>
      <c r="CK12" s="62">
        <f>CK$9+CK$10+CK$11</f>
        <v/>
      </c>
      <c r="CL12" s="62">
        <f>CL$9+CL$10+CL$11</f>
        <v/>
      </c>
      <c r="CM12" s="62">
        <f>CM$9+CM$10+CM$11</f>
        <v/>
      </c>
      <c r="CN12" s="62">
        <f>CN$9+CN$10+CN$11</f>
        <v/>
      </c>
      <c r="CO12" s="62">
        <f>CO$9+CO$10+CO$11</f>
        <v/>
      </c>
      <c r="CP12" s="62">
        <f>CP$9+CP$10+CP$11</f>
        <v/>
      </c>
      <c r="CQ12" s="62">
        <f>CQ$9+CQ$10+CQ$11</f>
        <v/>
      </c>
      <c r="CR12" s="62">
        <f>CR$9+CR$10+CR$11</f>
        <v/>
      </c>
      <c r="CS12" s="62">
        <f>CS$9+CS$10+CS$11</f>
        <v/>
      </c>
      <c r="CT12" s="62">
        <f>CT$9+CT$10+CT$11</f>
        <v/>
      </c>
      <c r="CU12" s="62">
        <f>CU$9+CU$10+CU$11</f>
        <v/>
      </c>
      <c r="CV12" s="62">
        <f>CV$9+CV$10+CV$11</f>
        <v/>
      </c>
      <c r="CW12" s="62">
        <f>CW$9+CW$10+CW$11</f>
        <v/>
      </c>
      <c r="CX12" s="62">
        <f>CX$9+CX$10+CX$11</f>
        <v/>
      </c>
      <c r="CY12" s="62">
        <f>CY$9+CY$10+CY$11</f>
        <v/>
      </c>
      <c r="CZ12" s="62">
        <f>CZ$9+CZ$10+CZ$11</f>
        <v/>
      </c>
      <c r="DA12" s="62">
        <f>DA$9+DA$10+DA$11</f>
        <v/>
      </c>
      <c r="DB12" s="62">
        <f>DB$9+DB$10+DB$11</f>
        <v/>
      </c>
      <c r="DC12" s="62">
        <f>DC$9+DC$10+DC$11</f>
        <v/>
      </c>
      <c r="DD12" s="62">
        <f>DD$9+DD$10+DD$11</f>
        <v/>
      </c>
      <c r="DE12" s="62">
        <f>DE$9+DE$10+DE$11</f>
        <v/>
      </c>
      <c r="DF12" s="62">
        <f>DF$9+DF$10+DF$11</f>
        <v/>
      </c>
      <c r="DG12" s="62">
        <f>DG$9+DG$10+DG$11</f>
        <v/>
      </c>
      <c r="DH12" s="62">
        <f>DH$9+DH$10+DH$11</f>
        <v/>
      </c>
      <c r="DI12" s="62">
        <f>DI$9+DI$10+DI$11</f>
        <v/>
      </c>
      <c r="DJ12" s="62">
        <f>DJ$9+DJ$10+DJ$11</f>
        <v/>
      </c>
      <c r="DK12" s="62">
        <f>DK$9+DK$10+DK$11</f>
        <v/>
      </c>
      <c r="DL12" s="62">
        <f>DL$9+DL$10+DL$11</f>
        <v/>
      </c>
      <c r="DM12" s="62">
        <f>DM$9+DM$10+DM$11</f>
        <v/>
      </c>
      <c r="DN12" s="62">
        <f>DN$9+DN$10+DN$11</f>
        <v/>
      </c>
      <c r="DO12" s="62">
        <f>DO$9+DO$10+DO$11</f>
        <v/>
      </c>
      <c r="DP12" s="62">
        <f>DP$9+DP$10+DP$11</f>
        <v/>
      </c>
      <c r="DQ12" s="62">
        <f>DQ$9+DQ$10+DQ$11</f>
        <v/>
      </c>
      <c r="DR12" s="62">
        <f>DR$9+DR$10+DR$11</f>
        <v/>
      </c>
      <c r="DS12" s="62">
        <f>DS$9+DS$10+DS$11</f>
        <v/>
      </c>
      <c r="DT12" s="62">
        <f>DT$9+DT$10+DT$11</f>
        <v/>
      </c>
    </row>
    <row r="13">
      <c r="A13" s="10" t="inlineStr">
        <is>
          <t xml:space="preserve">  MF NOI (allocated)</t>
        </is>
      </c>
      <c r="E13" s="52">
        <f>E$7+(E$10+E$11)*IFERROR(E$7/(E$7+E$8),0)</f>
        <v/>
      </c>
      <c r="F13" s="52">
        <f>F$7+(F$10+F$11)*IFERROR(F$7/(F$7+F$8),0)</f>
        <v/>
      </c>
      <c r="G13" s="52">
        <f>G$7+(G$10+G$11)*IFERROR(G$7/(G$7+G$8),0)</f>
        <v/>
      </c>
      <c r="H13" s="52">
        <f>H$7+(H$10+H$11)*IFERROR(H$7/(H$7+H$8),0)</f>
        <v/>
      </c>
      <c r="I13" s="52">
        <f>I$7+(I$10+I$11)*IFERROR(I$7/(I$7+I$8),0)</f>
        <v/>
      </c>
      <c r="J13" s="52">
        <f>J$7+(J$10+J$11)*IFERROR(J$7/(J$7+J$8),0)</f>
        <v/>
      </c>
      <c r="K13" s="52">
        <f>K$7+(K$10+K$11)*IFERROR(K$7/(K$7+K$8),0)</f>
        <v/>
      </c>
      <c r="L13" s="52">
        <f>L$7+(L$10+L$11)*IFERROR(L$7/(L$7+L$8),0)</f>
        <v/>
      </c>
      <c r="M13" s="52">
        <f>M$7+(M$10+M$11)*IFERROR(M$7/(M$7+M$8),0)</f>
        <v/>
      </c>
      <c r="N13" s="52">
        <f>N$7+(N$10+N$11)*IFERROR(N$7/(N$7+N$8),0)</f>
        <v/>
      </c>
      <c r="O13" s="52">
        <f>O$7+(O$10+O$11)*IFERROR(O$7/(O$7+O$8),0)</f>
        <v/>
      </c>
      <c r="P13" s="52">
        <f>P$7+(P$10+P$11)*IFERROR(P$7/(P$7+P$8),0)</f>
        <v/>
      </c>
      <c r="Q13" s="52">
        <f>Q$7+(Q$10+Q$11)*IFERROR(Q$7/(Q$7+Q$8),0)</f>
        <v/>
      </c>
      <c r="R13" s="52">
        <f>R$7+(R$10+R$11)*IFERROR(R$7/(R$7+R$8),0)</f>
        <v/>
      </c>
      <c r="S13" s="52">
        <f>S$7+(S$10+S$11)*IFERROR(S$7/(S$7+S$8),0)</f>
        <v/>
      </c>
      <c r="T13" s="52">
        <f>T$7+(T$10+T$11)*IFERROR(T$7/(T$7+T$8),0)</f>
        <v/>
      </c>
      <c r="U13" s="52">
        <f>U$7+(U$10+U$11)*IFERROR(U$7/(U$7+U$8),0)</f>
        <v/>
      </c>
      <c r="V13" s="52">
        <f>V$7+(V$10+V$11)*IFERROR(V$7/(V$7+V$8),0)</f>
        <v/>
      </c>
      <c r="W13" s="52">
        <f>W$7+(W$10+W$11)*IFERROR(W$7/(W$7+W$8),0)</f>
        <v/>
      </c>
      <c r="X13" s="52">
        <f>X$7+(X$10+X$11)*IFERROR(X$7/(X$7+X$8),0)</f>
        <v/>
      </c>
      <c r="Y13" s="52">
        <f>Y$7+(Y$10+Y$11)*IFERROR(Y$7/(Y$7+Y$8),0)</f>
        <v/>
      </c>
      <c r="Z13" s="52">
        <f>Z$7+(Z$10+Z$11)*IFERROR(Z$7/(Z$7+Z$8),0)</f>
        <v/>
      </c>
      <c r="AA13" s="52">
        <f>AA$7+(AA$10+AA$11)*IFERROR(AA$7/(AA$7+AA$8),0)</f>
        <v/>
      </c>
      <c r="AB13" s="52">
        <f>AB$7+(AB$10+AB$11)*IFERROR(AB$7/(AB$7+AB$8),0)</f>
        <v/>
      </c>
      <c r="AC13" s="52">
        <f>AC$7+(AC$10+AC$11)*IFERROR(AC$7/(AC$7+AC$8),0)</f>
        <v/>
      </c>
      <c r="AD13" s="52">
        <f>AD$7+(AD$10+AD$11)*IFERROR(AD$7/(AD$7+AD$8),0)</f>
        <v/>
      </c>
      <c r="AE13" s="52">
        <f>AE$7+(AE$10+AE$11)*IFERROR(AE$7/(AE$7+AE$8),0)</f>
        <v/>
      </c>
      <c r="AF13" s="52">
        <f>AF$7+(AF$10+AF$11)*IFERROR(AF$7/(AF$7+AF$8),0)</f>
        <v/>
      </c>
      <c r="AG13" s="52">
        <f>AG$7+(AG$10+AG$11)*IFERROR(AG$7/(AG$7+AG$8),0)</f>
        <v/>
      </c>
      <c r="AH13" s="52">
        <f>AH$7+(AH$10+AH$11)*IFERROR(AH$7/(AH$7+AH$8),0)</f>
        <v/>
      </c>
      <c r="AI13" s="52">
        <f>AI$7+(AI$10+AI$11)*IFERROR(AI$7/(AI$7+AI$8),0)</f>
        <v/>
      </c>
      <c r="AJ13" s="52">
        <f>AJ$7+(AJ$10+AJ$11)*IFERROR(AJ$7/(AJ$7+AJ$8),0)</f>
        <v/>
      </c>
      <c r="AK13" s="52">
        <f>AK$7+(AK$10+AK$11)*IFERROR(AK$7/(AK$7+AK$8),0)</f>
        <v/>
      </c>
      <c r="AL13" s="52">
        <f>AL$7+(AL$10+AL$11)*IFERROR(AL$7/(AL$7+AL$8),0)</f>
        <v/>
      </c>
      <c r="AM13" s="52">
        <f>AM$7+(AM$10+AM$11)*IFERROR(AM$7/(AM$7+AM$8),0)</f>
        <v/>
      </c>
      <c r="AN13" s="52">
        <f>AN$7+(AN$10+AN$11)*IFERROR(AN$7/(AN$7+AN$8),0)</f>
        <v/>
      </c>
      <c r="AO13" s="52">
        <f>AO$7+(AO$10+AO$11)*IFERROR(AO$7/(AO$7+AO$8),0)</f>
        <v/>
      </c>
      <c r="AP13" s="52">
        <f>AP$7+(AP$10+AP$11)*IFERROR(AP$7/(AP$7+AP$8),0)</f>
        <v/>
      </c>
      <c r="AQ13" s="52">
        <f>AQ$7+(AQ$10+AQ$11)*IFERROR(AQ$7/(AQ$7+AQ$8),0)</f>
        <v/>
      </c>
      <c r="AR13" s="52">
        <f>AR$7+(AR$10+AR$11)*IFERROR(AR$7/(AR$7+AR$8),0)</f>
        <v/>
      </c>
      <c r="AS13" s="52">
        <f>AS$7+(AS$10+AS$11)*IFERROR(AS$7/(AS$7+AS$8),0)</f>
        <v/>
      </c>
      <c r="AT13" s="52">
        <f>AT$7+(AT$10+AT$11)*IFERROR(AT$7/(AT$7+AT$8),0)</f>
        <v/>
      </c>
      <c r="AU13" s="52">
        <f>AU$7+(AU$10+AU$11)*IFERROR(AU$7/(AU$7+AU$8),0)</f>
        <v/>
      </c>
      <c r="AV13" s="52">
        <f>AV$7+(AV$10+AV$11)*IFERROR(AV$7/(AV$7+AV$8),0)</f>
        <v/>
      </c>
      <c r="AW13" s="52">
        <f>AW$7+(AW$10+AW$11)*IFERROR(AW$7/(AW$7+AW$8),0)</f>
        <v/>
      </c>
      <c r="AX13" s="52">
        <f>AX$7+(AX$10+AX$11)*IFERROR(AX$7/(AX$7+AX$8),0)</f>
        <v/>
      </c>
      <c r="AY13" s="52">
        <f>AY$7+(AY$10+AY$11)*IFERROR(AY$7/(AY$7+AY$8),0)</f>
        <v/>
      </c>
      <c r="AZ13" s="52">
        <f>AZ$7+(AZ$10+AZ$11)*IFERROR(AZ$7/(AZ$7+AZ$8),0)</f>
        <v/>
      </c>
      <c r="BA13" s="52">
        <f>BA$7+(BA$10+BA$11)*IFERROR(BA$7/(BA$7+BA$8),0)</f>
        <v/>
      </c>
      <c r="BB13" s="52">
        <f>BB$7+(BB$10+BB$11)*IFERROR(BB$7/(BB$7+BB$8),0)</f>
        <v/>
      </c>
      <c r="BC13" s="52">
        <f>BC$7+(BC$10+BC$11)*IFERROR(BC$7/(BC$7+BC$8),0)</f>
        <v/>
      </c>
      <c r="BD13" s="52">
        <f>BD$7+(BD$10+BD$11)*IFERROR(BD$7/(BD$7+BD$8),0)</f>
        <v/>
      </c>
      <c r="BE13" s="52">
        <f>BE$7+(BE$10+BE$11)*IFERROR(BE$7/(BE$7+BE$8),0)</f>
        <v/>
      </c>
      <c r="BF13" s="52">
        <f>BF$7+(BF$10+BF$11)*IFERROR(BF$7/(BF$7+BF$8),0)</f>
        <v/>
      </c>
      <c r="BG13" s="52">
        <f>BG$7+(BG$10+BG$11)*IFERROR(BG$7/(BG$7+BG$8),0)</f>
        <v/>
      </c>
      <c r="BH13" s="52">
        <f>BH$7+(BH$10+BH$11)*IFERROR(BH$7/(BH$7+BH$8),0)</f>
        <v/>
      </c>
      <c r="BI13" s="52">
        <f>BI$7+(BI$10+BI$11)*IFERROR(BI$7/(BI$7+BI$8),0)</f>
        <v/>
      </c>
      <c r="BJ13" s="52">
        <f>BJ$7+(BJ$10+BJ$11)*IFERROR(BJ$7/(BJ$7+BJ$8),0)</f>
        <v/>
      </c>
      <c r="BK13" s="52">
        <f>BK$7+(BK$10+BK$11)*IFERROR(BK$7/(BK$7+BK$8),0)</f>
        <v/>
      </c>
      <c r="BL13" s="52">
        <f>BL$7+(BL$10+BL$11)*IFERROR(BL$7/(BL$7+BL$8),0)</f>
        <v/>
      </c>
      <c r="BM13" s="52">
        <f>BM$7+(BM$10+BM$11)*IFERROR(BM$7/(BM$7+BM$8),0)</f>
        <v/>
      </c>
      <c r="BN13" s="52">
        <f>BN$7+(BN$10+BN$11)*IFERROR(BN$7/(BN$7+BN$8),0)</f>
        <v/>
      </c>
      <c r="BO13" s="52">
        <f>BO$7+(BO$10+BO$11)*IFERROR(BO$7/(BO$7+BO$8),0)</f>
        <v/>
      </c>
      <c r="BP13" s="52">
        <f>BP$7+(BP$10+BP$11)*IFERROR(BP$7/(BP$7+BP$8),0)</f>
        <v/>
      </c>
      <c r="BQ13" s="52">
        <f>BQ$7+(BQ$10+BQ$11)*IFERROR(BQ$7/(BQ$7+BQ$8),0)</f>
        <v/>
      </c>
      <c r="BR13" s="52">
        <f>BR$7+(BR$10+BR$11)*IFERROR(BR$7/(BR$7+BR$8),0)</f>
        <v/>
      </c>
      <c r="BS13" s="52">
        <f>BS$7+(BS$10+BS$11)*IFERROR(BS$7/(BS$7+BS$8),0)</f>
        <v/>
      </c>
      <c r="BT13" s="52">
        <f>BT$7+(BT$10+BT$11)*IFERROR(BT$7/(BT$7+BT$8),0)</f>
        <v/>
      </c>
      <c r="BU13" s="52">
        <f>BU$7+(BU$10+BU$11)*IFERROR(BU$7/(BU$7+BU$8),0)</f>
        <v/>
      </c>
      <c r="BV13" s="52">
        <f>BV$7+(BV$10+BV$11)*IFERROR(BV$7/(BV$7+BV$8),0)</f>
        <v/>
      </c>
      <c r="BW13" s="52">
        <f>BW$7+(BW$10+BW$11)*IFERROR(BW$7/(BW$7+BW$8),0)</f>
        <v/>
      </c>
      <c r="BX13" s="52">
        <f>BX$7+(BX$10+BX$11)*IFERROR(BX$7/(BX$7+BX$8),0)</f>
        <v/>
      </c>
      <c r="BY13" s="52">
        <f>BY$7+(BY$10+BY$11)*IFERROR(BY$7/(BY$7+BY$8),0)</f>
        <v/>
      </c>
      <c r="BZ13" s="52">
        <f>BZ$7+(BZ$10+BZ$11)*IFERROR(BZ$7/(BZ$7+BZ$8),0)</f>
        <v/>
      </c>
      <c r="CA13" s="52">
        <f>CA$7+(CA$10+CA$11)*IFERROR(CA$7/(CA$7+CA$8),0)</f>
        <v/>
      </c>
      <c r="CB13" s="52">
        <f>CB$7+(CB$10+CB$11)*IFERROR(CB$7/(CB$7+CB$8),0)</f>
        <v/>
      </c>
      <c r="CC13" s="52">
        <f>CC$7+(CC$10+CC$11)*IFERROR(CC$7/(CC$7+CC$8),0)</f>
        <v/>
      </c>
      <c r="CD13" s="52">
        <f>CD$7+(CD$10+CD$11)*IFERROR(CD$7/(CD$7+CD$8),0)</f>
        <v/>
      </c>
      <c r="CE13" s="52">
        <f>CE$7+(CE$10+CE$11)*IFERROR(CE$7/(CE$7+CE$8),0)</f>
        <v/>
      </c>
      <c r="CF13" s="52">
        <f>CF$7+(CF$10+CF$11)*IFERROR(CF$7/(CF$7+CF$8),0)</f>
        <v/>
      </c>
      <c r="CG13" s="52">
        <f>CG$7+(CG$10+CG$11)*IFERROR(CG$7/(CG$7+CG$8),0)</f>
        <v/>
      </c>
      <c r="CH13" s="52">
        <f>CH$7+(CH$10+CH$11)*IFERROR(CH$7/(CH$7+CH$8),0)</f>
        <v/>
      </c>
      <c r="CI13" s="52">
        <f>CI$7+(CI$10+CI$11)*IFERROR(CI$7/(CI$7+CI$8),0)</f>
        <v/>
      </c>
      <c r="CJ13" s="52">
        <f>CJ$7+(CJ$10+CJ$11)*IFERROR(CJ$7/(CJ$7+CJ$8),0)</f>
        <v/>
      </c>
      <c r="CK13" s="52">
        <f>CK$7+(CK$10+CK$11)*IFERROR(CK$7/(CK$7+CK$8),0)</f>
        <v/>
      </c>
      <c r="CL13" s="52">
        <f>CL$7+(CL$10+CL$11)*IFERROR(CL$7/(CL$7+CL$8),0)</f>
        <v/>
      </c>
      <c r="CM13" s="52">
        <f>CM$7+(CM$10+CM$11)*IFERROR(CM$7/(CM$7+CM$8),0)</f>
        <v/>
      </c>
      <c r="CN13" s="52">
        <f>CN$7+(CN$10+CN$11)*IFERROR(CN$7/(CN$7+CN$8),0)</f>
        <v/>
      </c>
      <c r="CO13" s="52">
        <f>CO$7+(CO$10+CO$11)*IFERROR(CO$7/(CO$7+CO$8),0)</f>
        <v/>
      </c>
      <c r="CP13" s="52">
        <f>CP$7+(CP$10+CP$11)*IFERROR(CP$7/(CP$7+CP$8),0)</f>
        <v/>
      </c>
      <c r="CQ13" s="52">
        <f>CQ$7+(CQ$10+CQ$11)*IFERROR(CQ$7/(CQ$7+CQ$8),0)</f>
        <v/>
      </c>
      <c r="CR13" s="52">
        <f>CR$7+(CR$10+CR$11)*IFERROR(CR$7/(CR$7+CR$8),0)</f>
        <v/>
      </c>
      <c r="CS13" s="52">
        <f>CS$7+(CS$10+CS$11)*IFERROR(CS$7/(CS$7+CS$8),0)</f>
        <v/>
      </c>
      <c r="CT13" s="52">
        <f>CT$7+(CT$10+CT$11)*IFERROR(CT$7/(CT$7+CT$8),0)</f>
        <v/>
      </c>
      <c r="CU13" s="52">
        <f>CU$7+(CU$10+CU$11)*IFERROR(CU$7/(CU$7+CU$8),0)</f>
        <v/>
      </c>
      <c r="CV13" s="52">
        <f>CV$7+(CV$10+CV$11)*IFERROR(CV$7/(CV$7+CV$8),0)</f>
        <v/>
      </c>
      <c r="CW13" s="52">
        <f>CW$7+(CW$10+CW$11)*IFERROR(CW$7/(CW$7+CW$8),0)</f>
        <v/>
      </c>
      <c r="CX13" s="52">
        <f>CX$7+(CX$10+CX$11)*IFERROR(CX$7/(CX$7+CX$8),0)</f>
        <v/>
      </c>
      <c r="CY13" s="52">
        <f>CY$7+(CY$10+CY$11)*IFERROR(CY$7/(CY$7+CY$8),0)</f>
        <v/>
      </c>
      <c r="CZ13" s="52">
        <f>CZ$7+(CZ$10+CZ$11)*IFERROR(CZ$7/(CZ$7+CZ$8),0)</f>
        <v/>
      </c>
      <c r="DA13" s="52">
        <f>DA$7+(DA$10+DA$11)*IFERROR(DA$7/(DA$7+DA$8),0)</f>
        <v/>
      </c>
      <c r="DB13" s="52">
        <f>DB$7+(DB$10+DB$11)*IFERROR(DB$7/(DB$7+DB$8),0)</f>
        <v/>
      </c>
      <c r="DC13" s="52">
        <f>DC$7+(DC$10+DC$11)*IFERROR(DC$7/(DC$7+DC$8),0)</f>
        <v/>
      </c>
      <c r="DD13" s="52">
        <f>DD$7+(DD$10+DD$11)*IFERROR(DD$7/(DD$7+DD$8),0)</f>
        <v/>
      </c>
      <c r="DE13" s="52">
        <f>DE$7+(DE$10+DE$11)*IFERROR(DE$7/(DE$7+DE$8),0)</f>
        <v/>
      </c>
      <c r="DF13" s="52">
        <f>DF$7+(DF$10+DF$11)*IFERROR(DF$7/(DF$7+DF$8),0)</f>
        <v/>
      </c>
      <c r="DG13" s="52">
        <f>DG$7+(DG$10+DG$11)*IFERROR(DG$7/(DG$7+DG$8),0)</f>
        <v/>
      </c>
      <c r="DH13" s="52">
        <f>DH$7+(DH$10+DH$11)*IFERROR(DH$7/(DH$7+DH$8),0)</f>
        <v/>
      </c>
      <c r="DI13" s="52">
        <f>DI$7+(DI$10+DI$11)*IFERROR(DI$7/(DI$7+DI$8),0)</f>
        <v/>
      </c>
      <c r="DJ13" s="52">
        <f>DJ$7+(DJ$10+DJ$11)*IFERROR(DJ$7/(DJ$7+DJ$8),0)</f>
        <v/>
      </c>
      <c r="DK13" s="52">
        <f>DK$7+(DK$10+DK$11)*IFERROR(DK$7/(DK$7+DK$8),0)</f>
        <v/>
      </c>
      <c r="DL13" s="52">
        <f>DL$7+(DL$10+DL$11)*IFERROR(DL$7/(DL$7+DL$8),0)</f>
        <v/>
      </c>
      <c r="DM13" s="52">
        <f>DM$7+(DM$10+DM$11)*IFERROR(DM$7/(DM$7+DM$8),0)</f>
        <v/>
      </c>
      <c r="DN13" s="52">
        <f>DN$7+(DN$10+DN$11)*IFERROR(DN$7/(DN$7+DN$8),0)</f>
        <v/>
      </c>
      <c r="DO13" s="52">
        <f>DO$7+(DO$10+DO$11)*IFERROR(DO$7/(DO$7+DO$8),0)</f>
        <v/>
      </c>
      <c r="DP13" s="52">
        <f>DP$7+(DP$10+DP$11)*IFERROR(DP$7/(DP$7+DP$8),0)</f>
        <v/>
      </c>
      <c r="DQ13" s="52">
        <f>DQ$7+(DQ$10+DQ$11)*IFERROR(DQ$7/(DQ$7+DQ$8),0)</f>
        <v/>
      </c>
      <c r="DR13" s="52">
        <f>DR$7+(DR$10+DR$11)*IFERROR(DR$7/(DR$7+DR$8),0)</f>
        <v/>
      </c>
      <c r="DS13" s="52">
        <f>DS$7+(DS$10+DS$11)*IFERROR(DS$7/(DS$7+DS$8),0)</f>
        <v/>
      </c>
      <c r="DT13" s="52">
        <f>DT$7+(DT$10+DT$11)*IFERROR(DT$7/(DT$7+DT$8),0)</f>
        <v/>
      </c>
    </row>
    <row r="14">
      <c r="A14" s="10" t="inlineStr">
        <is>
          <t xml:space="preserve">  Retail NOI (allocated)</t>
        </is>
      </c>
      <c r="E14" s="52">
        <f>E$8+(E$10+E$11)*IFERROR(E$8/(E$7+E$8),0)</f>
        <v/>
      </c>
      <c r="F14" s="52">
        <f>F$8+(F$10+F$11)*IFERROR(F$8/(F$7+F$8),0)</f>
        <v/>
      </c>
      <c r="G14" s="52">
        <f>G$8+(G$10+G$11)*IFERROR(G$8/(G$7+G$8),0)</f>
        <v/>
      </c>
      <c r="H14" s="52">
        <f>H$8+(H$10+H$11)*IFERROR(H$8/(H$7+H$8),0)</f>
        <v/>
      </c>
      <c r="I14" s="52">
        <f>I$8+(I$10+I$11)*IFERROR(I$8/(I$7+I$8),0)</f>
        <v/>
      </c>
      <c r="J14" s="52">
        <f>J$8+(J$10+J$11)*IFERROR(J$8/(J$7+J$8),0)</f>
        <v/>
      </c>
      <c r="K14" s="52">
        <f>K$8+(K$10+K$11)*IFERROR(K$8/(K$7+K$8),0)</f>
        <v/>
      </c>
      <c r="L14" s="52">
        <f>L$8+(L$10+L$11)*IFERROR(L$8/(L$7+L$8),0)</f>
        <v/>
      </c>
      <c r="M14" s="52">
        <f>M$8+(M$10+M$11)*IFERROR(M$8/(M$7+M$8),0)</f>
        <v/>
      </c>
      <c r="N14" s="52">
        <f>N$8+(N$10+N$11)*IFERROR(N$8/(N$7+N$8),0)</f>
        <v/>
      </c>
      <c r="O14" s="52">
        <f>O$8+(O$10+O$11)*IFERROR(O$8/(O$7+O$8),0)</f>
        <v/>
      </c>
      <c r="P14" s="52">
        <f>P$8+(P$10+P$11)*IFERROR(P$8/(P$7+P$8),0)</f>
        <v/>
      </c>
      <c r="Q14" s="52">
        <f>Q$8+(Q$10+Q$11)*IFERROR(Q$8/(Q$7+Q$8),0)</f>
        <v/>
      </c>
      <c r="R14" s="52">
        <f>R$8+(R$10+R$11)*IFERROR(R$8/(R$7+R$8),0)</f>
        <v/>
      </c>
      <c r="S14" s="52">
        <f>S$8+(S$10+S$11)*IFERROR(S$8/(S$7+S$8),0)</f>
        <v/>
      </c>
      <c r="T14" s="52">
        <f>T$8+(T$10+T$11)*IFERROR(T$8/(T$7+T$8),0)</f>
        <v/>
      </c>
      <c r="U14" s="52">
        <f>U$8+(U$10+U$11)*IFERROR(U$8/(U$7+U$8),0)</f>
        <v/>
      </c>
      <c r="V14" s="52">
        <f>V$8+(V$10+V$11)*IFERROR(V$8/(V$7+V$8),0)</f>
        <v/>
      </c>
      <c r="W14" s="52">
        <f>W$8+(W$10+W$11)*IFERROR(W$8/(W$7+W$8),0)</f>
        <v/>
      </c>
      <c r="X14" s="52">
        <f>X$8+(X$10+X$11)*IFERROR(X$8/(X$7+X$8),0)</f>
        <v/>
      </c>
      <c r="Y14" s="52">
        <f>Y$8+(Y$10+Y$11)*IFERROR(Y$8/(Y$7+Y$8),0)</f>
        <v/>
      </c>
      <c r="Z14" s="52">
        <f>Z$8+(Z$10+Z$11)*IFERROR(Z$8/(Z$7+Z$8),0)</f>
        <v/>
      </c>
      <c r="AA14" s="52">
        <f>AA$8+(AA$10+AA$11)*IFERROR(AA$8/(AA$7+AA$8),0)</f>
        <v/>
      </c>
      <c r="AB14" s="52">
        <f>AB$8+(AB$10+AB$11)*IFERROR(AB$8/(AB$7+AB$8),0)</f>
        <v/>
      </c>
      <c r="AC14" s="52">
        <f>AC$8+(AC$10+AC$11)*IFERROR(AC$8/(AC$7+AC$8),0)</f>
        <v/>
      </c>
      <c r="AD14" s="52">
        <f>AD$8+(AD$10+AD$11)*IFERROR(AD$8/(AD$7+AD$8),0)</f>
        <v/>
      </c>
      <c r="AE14" s="52">
        <f>AE$8+(AE$10+AE$11)*IFERROR(AE$8/(AE$7+AE$8),0)</f>
        <v/>
      </c>
      <c r="AF14" s="52">
        <f>AF$8+(AF$10+AF$11)*IFERROR(AF$8/(AF$7+AF$8),0)</f>
        <v/>
      </c>
      <c r="AG14" s="52">
        <f>AG$8+(AG$10+AG$11)*IFERROR(AG$8/(AG$7+AG$8),0)</f>
        <v/>
      </c>
      <c r="AH14" s="52">
        <f>AH$8+(AH$10+AH$11)*IFERROR(AH$8/(AH$7+AH$8),0)</f>
        <v/>
      </c>
      <c r="AI14" s="52">
        <f>AI$8+(AI$10+AI$11)*IFERROR(AI$8/(AI$7+AI$8),0)</f>
        <v/>
      </c>
      <c r="AJ14" s="52">
        <f>AJ$8+(AJ$10+AJ$11)*IFERROR(AJ$8/(AJ$7+AJ$8),0)</f>
        <v/>
      </c>
      <c r="AK14" s="52">
        <f>AK$8+(AK$10+AK$11)*IFERROR(AK$8/(AK$7+AK$8),0)</f>
        <v/>
      </c>
      <c r="AL14" s="52">
        <f>AL$8+(AL$10+AL$11)*IFERROR(AL$8/(AL$7+AL$8),0)</f>
        <v/>
      </c>
      <c r="AM14" s="52">
        <f>AM$8+(AM$10+AM$11)*IFERROR(AM$8/(AM$7+AM$8),0)</f>
        <v/>
      </c>
      <c r="AN14" s="52">
        <f>AN$8+(AN$10+AN$11)*IFERROR(AN$8/(AN$7+AN$8),0)</f>
        <v/>
      </c>
      <c r="AO14" s="52">
        <f>AO$8+(AO$10+AO$11)*IFERROR(AO$8/(AO$7+AO$8),0)</f>
        <v/>
      </c>
      <c r="AP14" s="52">
        <f>AP$8+(AP$10+AP$11)*IFERROR(AP$8/(AP$7+AP$8),0)</f>
        <v/>
      </c>
      <c r="AQ14" s="52">
        <f>AQ$8+(AQ$10+AQ$11)*IFERROR(AQ$8/(AQ$7+AQ$8),0)</f>
        <v/>
      </c>
      <c r="AR14" s="52">
        <f>AR$8+(AR$10+AR$11)*IFERROR(AR$8/(AR$7+AR$8),0)</f>
        <v/>
      </c>
      <c r="AS14" s="52">
        <f>AS$8+(AS$10+AS$11)*IFERROR(AS$8/(AS$7+AS$8),0)</f>
        <v/>
      </c>
      <c r="AT14" s="52">
        <f>AT$8+(AT$10+AT$11)*IFERROR(AT$8/(AT$7+AT$8),0)</f>
        <v/>
      </c>
      <c r="AU14" s="52">
        <f>AU$8+(AU$10+AU$11)*IFERROR(AU$8/(AU$7+AU$8),0)</f>
        <v/>
      </c>
      <c r="AV14" s="52">
        <f>AV$8+(AV$10+AV$11)*IFERROR(AV$8/(AV$7+AV$8),0)</f>
        <v/>
      </c>
      <c r="AW14" s="52">
        <f>AW$8+(AW$10+AW$11)*IFERROR(AW$8/(AW$7+AW$8),0)</f>
        <v/>
      </c>
      <c r="AX14" s="52">
        <f>AX$8+(AX$10+AX$11)*IFERROR(AX$8/(AX$7+AX$8),0)</f>
        <v/>
      </c>
      <c r="AY14" s="52">
        <f>AY$8+(AY$10+AY$11)*IFERROR(AY$8/(AY$7+AY$8),0)</f>
        <v/>
      </c>
      <c r="AZ14" s="52">
        <f>AZ$8+(AZ$10+AZ$11)*IFERROR(AZ$8/(AZ$7+AZ$8),0)</f>
        <v/>
      </c>
      <c r="BA14" s="52">
        <f>BA$8+(BA$10+BA$11)*IFERROR(BA$8/(BA$7+BA$8),0)</f>
        <v/>
      </c>
      <c r="BB14" s="52">
        <f>BB$8+(BB$10+BB$11)*IFERROR(BB$8/(BB$7+BB$8),0)</f>
        <v/>
      </c>
      <c r="BC14" s="52">
        <f>BC$8+(BC$10+BC$11)*IFERROR(BC$8/(BC$7+BC$8),0)</f>
        <v/>
      </c>
      <c r="BD14" s="52">
        <f>BD$8+(BD$10+BD$11)*IFERROR(BD$8/(BD$7+BD$8),0)</f>
        <v/>
      </c>
      <c r="BE14" s="52">
        <f>BE$8+(BE$10+BE$11)*IFERROR(BE$8/(BE$7+BE$8),0)</f>
        <v/>
      </c>
      <c r="BF14" s="52">
        <f>BF$8+(BF$10+BF$11)*IFERROR(BF$8/(BF$7+BF$8),0)</f>
        <v/>
      </c>
      <c r="BG14" s="52">
        <f>BG$8+(BG$10+BG$11)*IFERROR(BG$8/(BG$7+BG$8),0)</f>
        <v/>
      </c>
      <c r="BH14" s="52">
        <f>BH$8+(BH$10+BH$11)*IFERROR(BH$8/(BH$7+BH$8),0)</f>
        <v/>
      </c>
      <c r="BI14" s="52">
        <f>BI$8+(BI$10+BI$11)*IFERROR(BI$8/(BI$7+BI$8),0)</f>
        <v/>
      </c>
      <c r="BJ14" s="52">
        <f>BJ$8+(BJ$10+BJ$11)*IFERROR(BJ$8/(BJ$7+BJ$8),0)</f>
        <v/>
      </c>
      <c r="BK14" s="52">
        <f>BK$8+(BK$10+BK$11)*IFERROR(BK$8/(BK$7+BK$8),0)</f>
        <v/>
      </c>
      <c r="BL14" s="52">
        <f>BL$8+(BL$10+BL$11)*IFERROR(BL$8/(BL$7+BL$8),0)</f>
        <v/>
      </c>
      <c r="BM14" s="52">
        <f>BM$8+(BM$10+BM$11)*IFERROR(BM$8/(BM$7+BM$8),0)</f>
        <v/>
      </c>
      <c r="BN14" s="52">
        <f>BN$8+(BN$10+BN$11)*IFERROR(BN$8/(BN$7+BN$8),0)</f>
        <v/>
      </c>
      <c r="BO14" s="52">
        <f>BO$8+(BO$10+BO$11)*IFERROR(BO$8/(BO$7+BO$8),0)</f>
        <v/>
      </c>
      <c r="BP14" s="52">
        <f>BP$8+(BP$10+BP$11)*IFERROR(BP$8/(BP$7+BP$8),0)</f>
        <v/>
      </c>
      <c r="BQ14" s="52">
        <f>BQ$8+(BQ$10+BQ$11)*IFERROR(BQ$8/(BQ$7+BQ$8),0)</f>
        <v/>
      </c>
      <c r="BR14" s="52">
        <f>BR$8+(BR$10+BR$11)*IFERROR(BR$8/(BR$7+BR$8),0)</f>
        <v/>
      </c>
      <c r="BS14" s="52">
        <f>BS$8+(BS$10+BS$11)*IFERROR(BS$8/(BS$7+BS$8),0)</f>
        <v/>
      </c>
      <c r="BT14" s="52">
        <f>BT$8+(BT$10+BT$11)*IFERROR(BT$8/(BT$7+BT$8),0)</f>
        <v/>
      </c>
      <c r="BU14" s="52">
        <f>BU$8+(BU$10+BU$11)*IFERROR(BU$8/(BU$7+BU$8),0)</f>
        <v/>
      </c>
      <c r="BV14" s="52">
        <f>BV$8+(BV$10+BV$11)*IFERROR(BV$8/(BV$7+BV$8),0)</f>
        <v/>
      </c>
      <c r="BW14" s="52">
        <f>BW$8+(BW$10+BW$11)*IFERROR(BW$8/(BW$7+BW$8),0)</f>
        <v/>
      </c>
      <c r="BX14" s="52">
        <f>BX$8+(BX$10+BX$11)*IFERROR(BX$8/(BX$7+BX$8),0)</f>
        <v/>
      </c>
      <c r="BY14" s="52">
        <f>BY$8+(BY$10+BY$11)*IFERROR(BY$8/(BY$7+BY$8),0)</f>
        <v/>
      </c>
      <c r="BZ14" s="52">
        <f>BZ$8+(BZ$10+BZ$11)*IFERROR(BZ$8/(BZ$7+BZ$8),0)</f>
        <v/>
      </c>
      <c r="CA14" s="52">
        <f>CA$8+(CA$10+CA$11)*IFERROR(CA$8/(CA$7+CA$8),0)</f>
        <v/>
      </c>
      <c r="CB14" s="52">
        <f>CB$8+(CB$10+CB$11)*IFERROR(CB$8/(CB$7+CB$8),0)</f>
        <v/>
      </c>
      <c r="CC14" s="52">
        <f>CC$8+(CC$10+CC$11)*IFERROR(CC$8/(CC$7+CC$8),0)</f>
        <v/>
      </c>
      <c r="CD14" s="52">
        <f>CD$8+(CD$10+CD$11)*IFERROR(CD$8/(CD$7+CD$8),0)</f>
        <v/>
      </c>
      <c r="CE14" s="52">
        <f>CE$8+(CE$10+CE$11)*IFERROR(CE$8/(CE$7+CE$8),0)</f>
        <v/>
      </c>
      <c r="CF14" s="52">
        <f>CF$8+(CF$10+CF$11)*IFERROR(CF$8/(CF$7+CF$8),0)</f>
        <v/>
      </c>
      <c r="CG14" s="52">
        <f>CG$8+(CG$10+CG$11)*IFERROR(CG$8/(CG$7+CG$8),0)</f>
        <v/>
      </c>
      <c r="CH14" s="52">
        <f>CH$8+(CH$10+CH$11)*IFERROR(CH$8/(CH$7+CH$8),0)</f>
        <v/>
      </c>
      <c r="CI14" s="52">
        <f>CI$8+(CI$10+CI$11)*IFERROR(CI$8/(CI$7+CI$8),0)</f>
        <v/>
      </c>
      <c r="CJ14" s="52">
        <f>CJ$8+(CJ$10+CJ$11)*IFERROR(CJ$8/(CJ$7+CJ$8),0)</f>
        <v/>
      </c>
      <c r="CK14" s="52">
        <f>CK$8+(CK$10+CK$11)*IFERROR(CK$8/(CK$7+CK$8),0)</f>
        <v/>
      </c>
      <c r="CL14" s="52">
        <f>CL$8+(CL$10+CL$11)*IFERROR(CL$8/(CL$7+CL$8),0)</f>
        <v/>
      </c>
      <c r="CM14" s="52">
        <f>CM$8+(CM$10+CM$11)*IFERROR(CM$8/(CM$7+CM$8),0)</f>
        <v/>
      </c>
      <c r="CN14" s="52">
        <f>CN$8+(CN$10+CN$11)*IFERROR(CN$8/(CN$7+CN$8),0)</f>
        <v/>
      </c>
      <c r="CO14" s="52">
        <f>CO$8+(CO$10+CO$11)*IFERROR(CO$8/(CO$7+CO$8),0)</f>
        <v/>
      </c>
      <c r="CP14" s="52">
        <f>CP$8+(CP$10+CP$11)*IFERROR(CP$8/(CP$7+CP$8),0)</f>
        <v/>
      </c>
      <c r="CQ14" s="52">
        <f>CQ$8+(CQ$10+CQ$11)*IFERROR(CQ$8/(CQ$7+CQ$8),0)</f>
        <v/>
      </c>
      <c r="CR14" s="52">
        <f>CR$8+(CR$10+CR$11)*IFERROR(CR$8/(CR$7+CR$8),0)</f>
        <v/>
      </c>
      <c r="CS14" s="52">
        <f>CS$8+(CS$10+CS$11)*IFERROR(CS$8/(CS$7+CS$8),0)</f>
        <v/>
      </c>
      <c r="CT14" s="52">
        <f>CT$8+(CT$10+CT$11)*IFERROR(CT$8/(CT$7+CT$8),0)</f>
        <v/>
      </c>
      <c r="CU14" s="52">
        <f>CU$8+(CU$10+CU$11)*IFERROR(CU$8/(CU$7+CU$8),0)</f>
        <v/>
      </c>
      <c r="CV14" s="52">
        <f>CV$8+(CV$10+CV$11)*IFERROR(CV$8/(CV$7+CV$8),0)</f>
        <v/>
      </c>
      <c r="CW14" s="52">
        <f>CW$8+(CW$10+CW$11)*IFERROR(CW$8/(CW$7+CW$8),0)</f>
        <v/>
      </c>
      <c r="CX14" s="52">
        <f>CX$8+(CX$10+CX$11)*IFERROR(CX$8/(CX$7+CX$8),0)</f>
        <v/>
      </c>
      <c r="CY14" s="52">
        <f>CY$8+(CY$10+CY$11)*IFERROR(CY$8/(CY$7+CY$8),0)</f>
        <v/>
      </c>
      <c r="CZ14" s="52">
        <f>CZ$8+(CZ$10+CZ$11)*IFERROR(CZ$8/(CZ$7+CZ$8),0)</f>
        <v/>
      </c>
      <c r="DA14" s="52">
        <f>DA$8+(DA$10+DA$11)*IFERROR(DA$8/(DA$7+DA$8),0)</f>
        <v/>
      </c>
      <c r="DB14" s="52">
        <f>DB$8+(DB$10+DB$11)*IFERROR(DB$8/(DB$7+DB$8),0)</f>
        <v/>
      </c>
      <c r="DC14" s="52">
        <f>DC$8+(DC$10+DC$11)*IFERROR(DC$8/(DC$7+DC$8),0)</f>
        <v/>
      </c>
      <c r="DD14" s="52">
        <f>DD$8+(DD$10+DD$11)*IFERROR(DD$8/(DD$7+DD$8),0)</f>
        <v/>
      </c>
      <c r="DE14" s="52">
        <f>DE$8+(DE$10+DE$11)*IFERROR(DE$8/(DE$7+DE$8),0)</f>
        <v/>
      </c>
      <c r="DF14" s="52">
        <f>DF$8+(DF$10+DF$11)*IFERROR(DF$8/(DF$7+DF$8),0)</f>
        <v/>
      </c>
      <c r="DG14" s="52">
        <f>DG$8+(DG$10+DG$11)*IFERROR(DG$8/(DG$7+DG$8),0)</f>
        <v/>
      </c>
      <c r="DH14" s="52">
        <f>DH$8+(DH$10+DH$11)*IFERROR(DH$8/(DH$7+DH$8),0)</f>
        <v/>
      </c>
      <c r="DI14" s="52">
        <f>DI$8+(DI$10+DI$11)*IFERROR(DI$8/(DI$7+DI$8),0)</f>
        <v/>
      </c>
      <c r="DJ14" s="52">
        <f>DJ$8+(DJ$10+DJ$11)*IFERROR(DJ$8/(DJ$7+DJ$8),0)</f>
        <v/>
      </c>
      <c r="DK14" s="52">
        <f>DK$8+(DK$10+DK$11)*IFERROR(DK$8/(DK$7+DK$8),0)</f>
        <v/>
      </c>
      <c r="DL14" s="52">
        <f>DL$8+(DL$10+DL$11)*IFERROR(DL$8/(DL$7+DL$8),0)</f>
        <v/>
      </c>
      <c r="DM14" s="52">
        <f>DM$8+(DM$10+DM$11)*IFERROR(DM$8/(DM$7+DM$8),0)</f>
        <v/>
      </c>
      <c r="DN14" s="52">
        <f>DN$8+(DN$10+DN$11)*IFERROR(DN$8/(DN$7+DN$8),0)</f>
        <v/>
      </c>
      <c r="DO14" s="52">
        <f>DO$8+(DO$10+DO$11)*IFERROR(DO$8/(DO$7+DO$8),0)</f>
        <v/>
      </c>
      <c r="DP14" s="52">
        <f>DP$8+(DP$10+DP$11)*IFERROR(DP$8/(DP$7+DP$8),0)</f>
        <v/>
      </c>
      <c r="DQ14" s="52">
        <f>DQ$8+(DQ$10+DQ$11)*IFERROR(DQ$8/(DQ$7+DQ$8),0)</f>
        <v/>
      </c>
      <c r="DR14" s="52">
        <f>DR$8+(DR$10+DR$11)*IFERROR(DR$8/(DR$7+DR$8),0)</f>
        <v/>
      </c>
      <c r="DS14" s="52">
        <f>DS$8+(DS$10+DS$11)*IFERROR(DS$8/(DS$7+DS$8),0)</f>
        <v/>
      </c>
      <c r="DT14" s="52">
        <f>DT$8+(DT$10+DT$11)*IFERROR(DT$8/(DT$7+DT$8),0)</f>
        <v/>
      </c>
    </row>
    <row r="15">
      <c r="A15" s="10" t="inlineStr">
        <is>
          <t>Replacement reserves</t>
        </is>
      </c>
      <c r="E15" s="50">
        <f>OpEx!E$18</f>
        <v/>
      </c>
      <c r="F15" s="50">
        <f>OpEx!F$18</f>
        <v/>
      </c>
      <c r="G15" s="50">
        <f>OpEx!G$18</f>
        <v/>
      </c>
      <c r="H15" s="50">
        <f>OpEx!H$18</f>
        <v/>
      </c>
      <c r="I15" s="50">
        <f>OpEx!I$18</f>
        <v/>
      </c>
      <c r="J15" s="50">
        <f>OpEx!J$18</f>
        <v/>
      </c>
      <c r="K15" s="50">
        <f>OpEx!K$18</f>
        <v/>
      </c>
      <c r="L15" s="50">
        <f>OpEx!L$18</f>
        <v/>
      </c>
      <c r="M15" s="50">
        <f>OpEx!M$18</f>
        <v/>
      </c>
      <c r="N15" s="50">
        <f>OpEx!N$18</f>
        <v/>
      </c>
      <c r="O15" s="50">
        <f>OpEx!O$18</f>
        <v/>
      </c>
      <c r="P15" s="50">
        <f>OpEx!P$18</f>
        <v/>
      </c>
      <c r="Q15" s="50">
        <f>OpEx!Q$18</f>
        <v/>
      </c>
      <c r="R15" s="50">
        <f>OpEx!R$18</f>
        <v/>
      </c>
      <c r="S15" s="50">
        <f>OpEx!S$18</f>
        <v/>
      </c>
      <c r="T15" s="50">
        <f>OpEx!T$18</f>
        <v/>
      </c>
      <c r="U15" s="50">
        <f>OpEx!U$18</f>
        <v/>
      </c>
      <c r="V15" s="50">
        <f>OpEx!V$18</f>
        <v/>
      </c>
      <c r="W15" s="50">
        <f>OpEx!W$18</f>
        <v/>
      </c>
      <c r="X15" s="50">
        <f>OpEx!X$18</f>
        <v/>
      </c>
      <c r="Y15" s="50">
        <f>OpEx!Y$18</f>
        <v/>
      </c>
      <c r="Z15" s="50">
        <f>OpEx!Z$18</f>
        <v/>
      </c>
      <c r="AA15" s="50">
        <f>OpEx!AA$18</f>
        <v/>
      </c>
      <c r="AB15" s="50">
        <f>OpEx!AB$18</f>
        <v/>
      </c>
      <c r="AC15" s="50">
        <f>OpEx!AC$18</f>
        <v/>
      </c>
      <c r="AD15" s="50">
        <f>OpEx!AD$18</f>
        <v/>
      </c>
      <c r="AE15" s="50">
        <f>OpEx!AE$18</f>
        <v/>
      </c>
      <c r="AF15" s="50">
        <f>OpEx!AF$18</f>
        <v/>
      </c>
      <c r="AG15" s="50">
        <f>OpEx!AG$18</f>
        <v/>
      </c>
      <c r="AH15" s="50">
        <f>OpEx!AH$18</f>
        <v/>
      </c>
      <c r="AI15" s="50">
        <f>OpEx!AI$18</f>
        <v/>
      </c>
      <c r="AJ15" s="50">
        <f>OpEx!AJ$18</f>
        <v/>
      </c>
      <c r="AK15" s="50">
        <f>OpEx!AK$18</f>
        <v/>
      </c>
      <c r="AL15" s="50">
        <f>OpEx!AL$18</f>
        <v/>
      </c>
      <c r="AM15" s="50">
        <f>OpEx!AM$18</f>
        <v/>
      </c>
      <c r="AN15" s="50">
        <f>OpEx!AN$18</f>
        <v/>
      </c>
      <c r="AO15" s="50">
        <f>OpEx!AO$18</f>
        <v/>
      </c>
      <c r="AP15" s="50">
        <f>OpEx!AP$18</f>
        <v/>
      </c>
      <c r="AQ15" s="50">
        <f>OpEx!AQ$18</f>
        <v/>
      </c>
      <c r="AR15" s="50">
        <f>OpEx!AR$18</f>
        <v/>
      </c>
      <c r="AS15" s="50">
        <f>OpEx!AS$18</f>
        <v/>
      </c>
      <c r="AT15" s="50">
        <f>OpEx!AT$18</f>
        <v/>
      </c>
      <c r="AU15" s="50">
        <f>OpEx!AU$18</f>
        <v/>
      </c>
      <c r="AV15" s="50">
        <f>OpEx!AV$18</f>
        <v/>
      </c>
      <c r="AW15" s="50">
        <f>OpEx!AW$18</f>
        <v/>
      </c>
      <c r="AX15" s="50">
        <f>OpEx!AX$18</f>
        <v/>
      </c>
      <c r="AY15" s="50">
        <f>OpEx!AY$18</f>
        <v/>
      </c>
      <c r="AZ15" s="50">
        <f>OpEx!AZ$18</f>
        <v/>
      </c>
      <c r="BA15" s="50">
        <f>OpEx!BA$18</f>
        <v/>
      </c>
      <c r="BB15" s="50">
        <f>OpEx!BB$18</f>
        <v/>
      </c>
      <c r="BC15" s="50">
        <f>OpEx!BC$18</f>
        <v/>
      </c>
      <c r="BD15" s="50">
        <f>OpEx!BD$18</f>
        <v/>
      </c>
      <c r="BE15" s="50">
        <f>OpEx!BE$18</f>
        <v/>
      </c>
      <c r="BF15" s="50">
        <f>OpEx!BF$18</f>
        <v/>
      </c>
      <c r="BG15" s="50">
        <f>OpEx!BG$18</f>
        <v/>
      </c>
      <c r="BH15" s="50">
        <f>OpEx!BH$18</f>
        <v/>
      </c>
      <c r="BI15" s="50">
        <f>OpEx!BI$18</f>
        <v/>
      </c>
      <c r="BJ15" s="50">
        <f>OpEx!BJ$18</f>
        <v/>
      </c>
      <c r="BK15" s="50">
        <f>OpEx!BK$18</f>
        <v/>
      </c>
      <c r="BL15" s="50">
        <f>OpEx!BL$18</f>
        <v/>
      </c>
      <c r="BM15" s="50">
        <f>OpEx!BM$18</f>
        <v/>
      </c>
      <c r="BN15" s="50">
        <f>OpEx!BN$18</f>
        <v/>
      </c>
      <c r="BO15" s="50">
        <f>OpEx!BO$18</f>
        <v/>
      </c>
      <c r="BP15" s="50">
        <f>OpEx!BP$18</f>
        <v/>
      </c>
      <c r="BQ15" s="50">
        <f>OpEx!BQ$18</f>
        <v/>
      </c>
      <c r="BR15" s="50">
        <f>OpEx!BR$18</f>
        <v/>
      </c>
      <c r="BS15" s="50">
        <f>OpEx!BS$18</f>
        <v/>
      </c>
      <c r="BT15" s="50">
        <f>OpEx!BT$18</f>
        <v/>
      </c>
      <c r="BU15" s="50">
        <f>OpEx!BU$18</f>
        <v/>
      </c>
      <c r="BV15" s="50">
        <f>OpEx!BV$18</f>
        <v/>
      </c>
      <c r="BW15" s="50">
        <f>OpEx!BW$18</f>
        <v/>
      </c>
      <c r="BX15" s="50">
        <f>OpEx!BX$18</f>
        <v/>
      </c>
      <c r="BY15" s="50">
        <f>OpEx!BY$18</f>
        <v/>
      </c>
      <c r="BZ15" s="50">
        <f>OpEx!BZ$18</f>
        <v/>
      </c>
      <c r="CA15" s="50">
        <f>OpEx!CA$18</f>
        <v/>
      </c>
      <c r="CB15" s="50">
        <f>OpEx!CB$18</f>
        <v/>
      </c>
      <c r="CC15" s="50">
        <f>OpEx!CC$18</f>
        <v/>
      </c>
      <c r="CD15" s="50">
        <f>OpEx!CD$18</f>
        <v/>
      </c>
      <c r="CE15" s="50">
        <f>OpEx!CE$18</f>
        <v/>
      </c>
      <c r="CF15" s="50">
        <f>OpEx!CF$18</f>
        <v/>
      </c>
      <c r="CG15" s="50">
        <f>OpEx!CG$18</f>
        <v/>
      </c>
      <c r="CH15" s="50">
        <f>OpEx!CH$18</f>
        <v/>
      </c>
      <c r="CI15" s="50">
        <f>OpEx!CI$18</f>
        <v/>
      </c>
      <c r="CJ15" s="50">
        <f>OpEx!CJ$18</f>
        <v/>
      </c>
      <c r="CK15" s="50">
        <f>OpEx!CK$18</f>
        <v/>
      </c>
      <c r="CL15" s="50">
        <f>OpEx!CL$18</f>
        <v/>
      </c>
      <c r="CM15" s="50">
        <f>OpEx!CM$18</f>
        <v/>
      </c>
      <c r="CN15" s="50">
        <f>OpEx!CN$18</f>
        <v/>
      </c>
      <c r="CO15" s="50">
        <f>OpEx!CO$18</f>
        <v/>
      </c>
      <c r="CP15" s="50">
        <f>OpEx!CP$18</f>
        <v/>
      </c>
      <c r="CQ15" s="50">
        <f>OpEx!CQ$18</f>
        <v/>
      </c>
      <c r="CR15" s="50">
        <f>OpEx!CR$18</f>
        <v/>
      </c>
      <c r="CS15" s="50">
        <f>OpEx!CS$18</f>
        <v/>
      </c>
      <c r="CT15" s="50">
        <f>OpEx!CT$18</f>
        <v/>
      </c>
      <c r="CU15" s="50">
        <f>OpEx!CU$18</f>
        <v/>
      </c>
      <c r="CV15" s="50">
        <f>OpEx!CV$18</f>
        <v/>
      </c>
      <c r="CW15" s="50">
        <f>OpEx!CW$18</f>
        <v/>
      </c>
      <c r="CX15" s="50">
        <f>OpEx!CX$18</f>
        <v/>
      </c>
      <c r="CY15" s="50">
        <f>OpEx!CY$18</f>
        <v/>
      </c>
      <c r="CZ15" s="50">
        <f>OpEx!CZ$18</f>
        <v/>
      </c>
      <c r="DA15" s="50">
        <f>OpEx!DA$18</f>
        <v/>
      </c>
      <c r="DB15" s="50">
        <f>OpEx!DB$18</f>
        <v/>
      </c>
      <c r="DC15" s="50">
        <f>OpEx!DC$18</f>
        <v/>
      </c>
      <c r="DD15" s="50">
        <f>OpEx!DD$18</f>
        <v/>
      </c>
      <c r="DE15" s="50">
        <f>OpEx!DE$18</f>
        <v/>
      </c>
      <c r="DF15" s="50">
        <f>OpEx!DF$18</f>
        <v/>
      </c>
      <c r="DG15" s="50">
        <f>OpEx!DG$18</f>
        <v/>
      </c>
      <c r="DH15" s="50">
        <f>OpEx!DH$18</f>
        <v/>
      </c>
      <c r="DI15" s="50">
        <f>OpEx!DI$18</f>
        <v/>
      </c>
      <c r="DJ15" s="50">
        <f>OpEx!DJ$18</f>
        <v/>
      </c>
      <c r="DK15" s="50">
        <f>OpEx!DK$18</f>
        <v/>
      </c>
      <c r="DL15" s="50">
        <f>OpEx!DL$18</f>
        <v/>
      </c>
      <c r="DM15" s="50">
        <f>OpEx!DM$18</f>
        <v/>
      </c>
      <c r="DN15" s="50">
        <f>OpEx!DN$18</f>
        <v/>
      </c>
      <c r="DO15" s="50">
        <f>OpEx!DO$18</f>
        <v/>
      </c>
      <c r="DP15" s="50">
        <f>OpEx!DP$18</f>
        <v/>
      </c>
      <c r="DQ15" s="50">
        <f>OpEx!DQ$18</f>
        <v/>
      </c>
      <c r="DR15" s="50">
        <f>OpEx!DR$18</f>
        <v/>
      </c>
      <c r="DS15" s="50">
        <f>OpEx!DS$18</f>
        <v/>
      </c>
      <c r="DT15" s="50">
        <f>OpEx!DT$18</f>
        <v/>
      </c>
    </row>
    <row r="16">
      <c r="A16" s="10" t="inlineStr">
        <is>
          <t>CapEx / TI/LC</t>
        </is>
      </c>
      <c r="E16" s="50">
        <f>CapEx!E$20</f>
        <v/>
      </c>
      <c r="F16" s="50">
        <f>CapEx!F$20</f>
        <v/>
      </c>
      <c r="G16" s="50">
        <f>CapEx!G$20</f>
        <v/>
      </c>
      <c r="H16" s="50">
        <f>CapEx!H$20</f>
        <v/>
      </c>
      <c r="I16" s="50">
        <f>CapEx!I$20</f>
        <v/>
      </c>
      <c r="J16" s="50">
        <f>CapEx!J$20</f>
        <v/>
      </c>
      <c r="K16" s="50">
        <f>CapEx!K$20</f>
        <v/>
      </c>
      <c r="L16" s="50">
        <f>CapEx!L$20</f>
        <v/>
      </c>
      <c r="M16" s="50">
        <f>CapEx!M$20</f>
        <v/>
      </c>
      <c r="N16" s="50">
        <f>CapEx!N$20</f>
        <v/>
      </c>
      <c r="O16" s="50">
        <f>CapEx!O$20</f>
        <v/>
      </c>
      <c r="P16" s="50">
        <f>CapEx!P$20</f>
        <v/>
      </c>
      <c r="Q16" s="50">
        <f>CapEx!Q$20</f>
        <v/>
      </c>
      <c r="R16" s="50">
        <f>CapEx!R$20</f>
        <v/>
      </c>
      <c r="S16" s="50">
        <f>CapEx!S$20</f>
        <v/>
      </c>
      <c r="T16" s="50">
        <f>CapEx!T$20</f>
        <v/>
      </c>
      <c r="U16" s="50">
        <f>CapEx!U$20</f>
        <v/>
      </c>
      <c r="V16" s="50">
        <f>CapEx!V$20</f>
        <v/>
      </c>
      <c r="W16" s="50">
        <f>CapEx!W$20</f>
        <v/>
      </c>
      <c r="X16" s="50">
        <f>CapEx!X$20</f>
        <v/>
      </c>
      <c r="Y16" s="50">
        <f>CapEx!Y$20</f>
        <v/>
      </c>
      <c r="Z16" s="50">
        <f>CapEx!Z$20</f>
        <v/>
      </c>
      <c r="AA16" s="50">
        <f>CapEx!AA$20</f>
        <v/>
      </c>
      <c r="AB16" s="50">
        <f>CapEx!AB$20</f>
        <v/>
      </c>
      <c r="AC16" s="50">
        <f>CapEx!AC$20</f>
        <v/>
      </c>
      <c r="AD16" s="50">
        <f>CapEx!AD$20</f>
        <v/>
      </c>
      <c r="AE16" s="50">
        <f>CapEx!AE$20</f>
        <v/>
      </c>
      <c r="AF16" s="50">
        <f>CapEx!AF$20</f>
        <v/>
      </c>
      <c r="AG16" s="50">
        <f>CapEx!AG$20</f>
        <v/>
      </c>
      <c r="AH16" s="50">
        <f>CapEx!AH$20</f>
        <v/>
      </c>
      <c r="AI16" s="50">
        <f>CapEx!AI$20</f>
        <v/>
      </c>
      <c r="AJ16" s="50">
        <f>CapEx!AJ$20</f>
        <v/>
      </c>
      <c r="AK16" s="50">
        <f>CapEx!AK$20</f>
        <v/>
      </c>
      <c r="AL16" s="50">
        <f>CapEx!AL$20</f>
        <v/>
      </c>
      <c r="AM16" s="50">
        <f>CapEx!AM$20</f>
        <v/>
      </c>
      <c r="AN16" s="50">
        <f>CapEx!AN$20</f>
        <v/>
      </c>
      <c r="AO16" s="50">
        <f>CapEx!AO$20</f>
        <v/>
      </c>
      <c r="AP16" s="50">
        <f>CapEx!AP$20</f>
        <v/>
      </c>
      <c r="AQ16" s="50">
        <f>CapEx!AQ$20</f>
        <v/>
      </c>
      <c r="AR16" s="50">
        <f>CapEx!AR$20</f>
        <v/>
      </c>
      <c r="AS16" s="50">
        <f>CapEx!AS$20</f>
        <v/>
      </c>
      <c r="AT16" s="50">
        <f>CapEx!AT$20</f>
        <v/>
      </c>
      <c r="AU16" s="50">
        <f>CapEx!AU$20</f>
        <v/>
      </c>
      <c r="AV16" s="50">
        <f>CapEx!AV$20</f>
        <v/>
      </c>
      <c r="AW16" s="50">
        <f>CapEx!AW$20</f>
        <v/>
      </c>
      <c r="AX16" s="50">
        <f>CapEx!AX$20</f>
        <v/>
      </c>
      <c r="AY16" s="50">
        <f>CapEx!AY$20</f>
        <v/>
      </c>
      <c r="AZ16" s="50">
        <f>CapEx!AZ$20</f>
        <v/>
      </c>
      <c r="BA16" s="50">
        <f>CapEx!BA$20</f>
        <v/>
      </c>
      <c r="BB16" s="50">
        <f>CapEx!BB$20</f>
        <v/>
      </c>
      <c r="BC16" s="50">
        <f>CapEx!BC$20</f>
        <v/>
      </c>
      <c r="BD16" s="50">
        <f>CapEx!BD$20</f>
        <v/>
      </c>
      <c r="BE16" s="50">
        <f>CapEx!BE$20</f>
        <v/>
      </c>
      <c r="BF16" s="50">
        <f>CapEx!BF$20</f>
        <v/>
      </c>
      <c r="BG16" s="50">
        <f>CapEx!BG$20</f>
        <v/>
      </c>
      <c r="BH16" s="50">
        <f>CapEx!BH$20</f>
        <v/>
      </c>
      <c r="BI16" s="50">
        <f>CapEx!BI$20</f>
        <v/>
      </c>
      <c r="BJ16" s="50">
        <f>CapEx!BJ$20</f>
        <v/>
      </c>
      <c r="BK16" s="50">
        <f>CapEx!BK$20</f>
        <v/>
      </c>
      <c r="BL16" s="50">
        <f>CapEx!BL$20</f>
        <v/>
      </c>
      <c r="BM16" s="50">
        <f>CapEx!BM$20</f>
        <v/>
      </c>
      <c r="BN16" s="50">
        <f>CapEx!BN$20</f>
        <v/>
      </c>
      <c r="BO16" s="50">
        <f>CapEx!BO$20</f>
        <v/>
      </c>
      <c r="BP16" s="50">
        <f>CapEx!BP$20</f>
        <v/>
      </c>
      <c r="BQ16" s="50">
        <f>CapEx!BQ$20</f>
        <v/>
      </c>
      <c r="BR16" s="50">
        <f>CapEx!BR$20</f>
        <v/>
      </c>
      <c r="BS16" s="50">
        <f>CapEx!BS$20</f>
        <v/>
      </c>
      <c r="BT16" s="50">
        <f>CapEx!BT$20</f>
        <v/>
      </c>
      <c r="BU16" s="50">
        <f>CapEx!BU$20</f>
        <v/>
      </c>
      <c r="BV16" s="50">
        <f>CapEx!BV$20</f>
        <v/>
      </c>
      <c r="BW16" s="50">
        <f>CapEx!BW$20</f>
        <v/>
      </c>
      <c r="BX16" s="50">
        <f>CapEx!BX$20</f>
        <v/>
      </c>
      <c r="BY16" s="50">
        <f>CapEx!BY$20</f>
        <v/>
      </c>
      <c r="BZ16" s="50">
        <f>CapEx!BZ$20</f>
        <v/>
      </c>
      <c r="CA16" s="50">
        <f>CapEx!CA$20</f>
        <v/>
      </c>
      <c r="CB16" s="50">
        <f>CapEx!CB$20</f>
        <v/>
      </c>
      <c r="CC16" s="50">
        <f>CapEx!CC$20</f>
        <v/>
      </c>
      <c r="CD16" s="50">
        <f>CapEx!CD$20</f>
        <v/>
      </c>
      <c r="CE16" s="50">
        <f>CapEx!CE$20</f>
        <v/>
      </c>
      <c r="CF16" s="50">
        <f>CapEx!CF$20</f>
        <v/>
      </c>
      <c r="CG16" s="50">
        <f>CapEx!CG$20</f>
        <v/>
      </c>
      <c r="CH16" s="50">
        <f>CapEx!CH$20</f>
        <v/>
      </c>
      <c r="CI16" s="50">
        <f>CapEx!CI$20</f>
        <v/>
      </c>
      <c r="CJ16" s="50">
        <f>CapEx!CJ$20</f>
        <v/>
      </c>
      <c r="CK16" s="50">
        <f>CapEx!CK$20</f>
        <v/>
      </c>
      <c r="CL16" s="50">
        <f>CapEx!CL$20</f>
        <v/>
      </c>
      <c r="CM16" s="50">
        <f>CapEx!CM$20</f>
        <v/>
      </c>
      <c r="CN16" s="50">
        <f>CapEx!CN$20</f>
        <v/>
      </c>
      <c r="CO16" s="50">
        <f>CapEx!CO$20</f>
        <v/>
      </c>
      <c r="CP16" s="50">
        <f>CapEx!CP$20</f>
        <v/>
      </c>
      <c r="CQ16" s="50">
        <f>CapEx!CQ$20</f>
        <v/>
      </c>
      <c r="CR16" s="50">
        <f>CapEx!CR$20</f>
        <v/>
      </c>
      <c r="CS16" s="50">
        <f>CapEx!CS$20</f>
        <v/>
      </c>
      <c r="CT16" s="50">
        <f>CapEx!CT$20</f>
        <v/>
      </c>
      <c r="CU16" s="50">
        <f>CapEx!CU$20</f>
        <v/>
      </c>
      <c r="CV16" s="50">
        <f>CapEx!CV$20</f>
        <v/>
      </c>
      <c r="CW16" s="50">
        <f>CapEx!CW$20</f>
        <v/>
      </c>
      <c r="CX16" s="50">
        <f>CapEx!CX$20</f>
        <v/>
      </c>
      <c r="CY16" s="50">
        <f>CapEx!CY$20</f>
        <v/>
      </c>
      <c r="CZ16" s="50">
        <f>CapEx!CZ$20</f>
        <v/>
      </c>
      <c r="DA16" s="50">
        <f>CapEx!DA$20</f>
        <v/>
      </c>
      <c r="DB16" s="50">
        <f>CapEx!DB$20</f>
        <v/>
      </c>
      <c r="DC16" s="50">
        <f>CapEx!DC$20</f>
        <v/>
      </c>
      <c r="DD16" s="50">
        <f>CapEx!DD$20</f>
        <v/>
      </c>
      <c r="DE16" s="50">
        <f>CapEx!DE$20</f>
        <v/>
      </c>
      <c r="DF16" s="50">
        <f>CapEx!DF$20</f>
        <v/>
      </c>
      <c r="DG16" s="50">
        <f>CapEx!DG$20</f>
        <v/>
      </c>
      <c r="DH16" s="50">
        <f>CapEx!DH$20</f>
        <v/>
      </c>
      <c r="DI16" s="50">
        <f>CapEx!DI$20</f>
        <v/>
      </c>
      <c r="DJ16" s="50">
        <f>CapEx!DJ$20</f>
        <v/>
      </c>
      <c r="DK16" s="50">
        <f>CapEx!DK$20</f>
        <v/>
      </c>
      <c r="DL16" s="50">
        <f>CapEx!DL$20</f>
        <v/>
      </c>
      <c r="DM16" s="50">
        <f>CapEx!DM$20</f>
        <v/>
      </c>
      <c r="DN16" s="50">
        <f>CapEx!DN$20</f>
        <v/>
      </c>
      <c r="DO16" s="50">
        <f>CapEx!DO$20</f>
        <v/>
      </c>
      <c r="DP16" s="50">
        <f>CapEx!DP$20</f>
        <v/>
      </c>
      <c r="DQ16" s="50">
        <f>CapEx!DQ$20</f>
        <v/>
      </c>
      <c r="DR16" s="50">
        <f>CapEx!DR$20</f>
        <v/>
      </c>
      <c r="DS16" s="50">
        <f>CapEx!DS$20</f>
        <v/>
      </c>
      <c r="DT16" s="50">
        <f>CapEx!DT$20</f>
        <v/>
      </c>
    </row>
    <row r="17">
      <c r="A17" s="3" t="inlineStr">
        <is>
          <t>Unlevered cash flow (ops)</t>
        </is>
      </c>
      <c r="E17" s="62">
        <f>E$12+E$15+E$16</f>
        <v/>
      </c>
      <c r="F17" s="62">
        <f>F$12+F$15+F$16</f>
        <v/>
      </c>
      <c r="G17" s="62">
        <f>G$12+G$15+G$16</f>
        <v/>
      </c>
      <c r="H17" s="62">
        <f>H$12+H$15+H$16</f>
        <v/>
      </c>
      <c r="I17" s="62">
        <f>I$12+I$15+I$16</f>
        <v/>
      </c>
      <c r="J17" s="62">
        <f>J$12+J$15+J$16</f>
        <v/>
      </c>
      <c r="K17" s="62">
        <f>K$12+K$15+K$16</f>
        <v/>
      </c>
      <c r="L17" s="62">
        <f>L$12+L$15+L$16</f>
        <v/>
      </c>
      <c r="M17" s="62">
        <f>M$12+M$15+M$16</f>
        <v/>
      </c>
      <c r="N17" s="62">
        <f>N$12+N$15+N$16</f>
        <v/>
      </c>
      <c r="O17" s="62">
        <f>O$12+O$15+O$16</f>
        <v/>
      </c>
      <c r="P17" s="62">
        <f>P$12+P$15+P$16</f>
        <v/>
      </c>
      <c r="Q17" s="62">
        <f>Q$12+Q$15+Q$16</f>
        <v/>
      </c>
      <c r="R17" s="62">
        <f>R$12+R$15+R$16</f>
        <v/>
      </c>
      <c r="S17" s="62">
        <f>S$12+S$15+S$16</f>
        <v/>
      </c>
      <c r="T17" s="62">
        <f>T$12+T$15+T$16</f>
        <v/>
      </c>
      <c r="U17" s="62">
        <f>U$12+U$15+U$16</f>
        <v/>
      </c>
      <c r="V17" s="62">
        <f>V$12+V$15+V$16</f>
        <v/>
      </c>
      <c r="W17" s="62">
        <f>W$12+W$15+W$16</f>
        <v/>
      </c>
      <c r="X17" s="62">
        <f>X$12+X$15+X$16</f>
        <v/>
      </c>
      <c r="Y17" s="62">
        <f>Y$12+Y$15+Y$16</f>
        <v/>
      </c>
      <c r="Z17" s="62">
        <f>Z$12+Z$15+Z$16</f>
        <v/>
      </c>
      <c r="AA17" s="62">
        <f>AA$12+AA$15+AA$16</f>
        <v/>
      </c>
      <c r="AB17" s="62">
        <f>AB$12+AB$15+AB$16</f>
        <v/>
      </c>
      <c r="AC17" s="62">
        <f>AC$12+AC$15+AC$16</f>
        <v/>
      </c>
      <c r="AD17" s="62">
        <f>AD$12+AD$15+AD$16</f>
        <v/>
      </c>
      <c r="AE17" s="62">
        <f>AE$12+AE$15+AE$16</f>
        <v/>
      </c>
      <c r="AF17" s="62">
        <f>AF$12+AF$15+AF$16</f>
        <v/>
      </c>
      <c r="AG17" s="62">
        <f>AG$12+AG$15+AG$16</f>
        <v/>
      </c>
      <c r="AH17" s="62">
        <f>AH$12+AH$15+AH$16</f>
        <v/>
      </c>
      <c r="AI17" s="62">
        <f>AI$12+AI$15+AI$16</f>
        <v/>
      </c>
      <c r="AJ17" s="62">
        <f>AJ$12+AJ$15+AJ$16</f>
        <v/>
      </c>
      <c r="AK17" s="62">
        <f>AK$12+AK$15+AK$16</f>
        <v/>
      </c>
      <c r="AL17" s="62">
        <f>AL$12+AL$15+AL$16</f>
        <v/>
      </c>
      <c r="AM17" s="62">
        <f>AM$12+AM$15+AM$16</f>
        <v/>
      </c>
      <c r="AN17" s="62">
        <f>AN$12+AN$15+AN$16</f>
        <v/>
      </c>
      <c r="AO17" s="62">
        <f>AO$12+AO$15+AO$16</f>
        <v/>
      </c>
      <c r="AP17" s="62">
        <f>AP$12+AP$15+AP$16</f>
        <v/>
      </c>
      <c r="AQ17" s="62">
        <f>AQ$12+AQ$15+AQ$16</f>
        <v/>
      </c>
      <c r="AR17" s="62">
        <f>AR$12+AR$15+AR$16</f>
        <v/>
      </c>
      <c r="AS17" s="62">
        <f>AS$12+AS$15+AS$16</f>
        <v/>
      </c>
      <c r="AT17" s="62">
        <f>AT$12+AT$15+AT$16</f>
        <v/>
      </c>
      <c r="AU17" s="62">
        <f>AU$12+AU$15+AU$16</f>
        <v/>
      </c>
      <c r="AV17" s="62">
        <f>AV$12+AV$15+AV$16</f>
        <v/>
      </c>
      <c r="AW17" s="62">
        <f>AW$12+AW$15+AW$16</f>
        <v/>
      </c>
      <c r="AX17" s="62">
        <f>AX$12+AX$15+AX$16</f>
        <v/>
      </c>
      <c r="AY17" s="62">
        <f>AY$12+AY$15+AY$16</f>
        <v/>
      </c>
      <c r="AZ17" s="62">
        <f>AZ$12+AZ$15+AZ$16</f>
        <v/>
      </c>
      <c r="BA17" s="62">
        <f>BA$12+BA$15+BA$16</f>
        <v/>
      </c>
      <c r="BB17" s="62">
        <f>BB$12+BB$15+BB$16</f>
        <v/>
      </c>
      <c r="BC17" s="62">
        <f>BC$12+BC$15+BC$16</f>
        <v/>
      </c>
      <c r="BD17" s="62">
        <f>BD$12+BD$15+BD$16</f>
        <v/>
      </c>
      <c r="BE17" s="62">
        <f>BE$12+BE$15+BE$16</f>
        <v/>
      </c>
      <c r="BF17" s="62">
        <f>BF$12+BF$15+BF$16</f>
        <v/>
      </c>
      <c r="BG17" s="62">
        <f>BG$12+BG$15+BG$16</f>
        <v/>
      </c>
      <c r="BH17" s="62">
        <f>BH$12+BH$15+BH$16</f>
        <v/>
      </c>
      <c r="BI17" s="62">
        <f>BI$12+BI$15+BI$16</f>
        <v/>
      </c>
      <c r="BJ17" s="62">
        <f>BJ$12+BJ$15+BJ$16</f>
        <v/>
      </c>
      <c r="BK17" s="62">
        <f>BK$12+BK$15+BK$16</f>
        <v/>
      </c>
      <c r="BL17" s="62">
        <f>BL$12+BL$15+BL$16</f>
        <v/>
      </c>
      <c r="BM17" s="62">
        <f>BM$12+BM$15+BM$16</f>
        <v/>
      </c>
      <c r="BN17" s="62">
        <f>BN$12+BN$15+BN$16</f>
        <v/>
      </c>
      <c r="BO17" s="62">
        <f>BO$12+BO$15+BO$16</f>
        <v/>
      </c>
      <c r="BP17" s="62">
        <f>BP$12+BP$15+BP$16</f>
        <v/>
      </c>
      <c r="BQ17" s="62">
        <f>BQ$12+BQ$15+BQ$16</f>
        <v/>
      </c>
      <c r="BR17" s="62">
        <f>BR$12+BR$15+BR$16</f>
        <v/>
      </c>
      <c r="BS17" s="62">
        <f>BS$12+BS$15+BS$16</f>
        <v/>
      </c>
      <c r="BT17" s="62">
        <f>BT$12+BT$15+BT$16</f>
        <v/>
      </c>
      <c r="BU17" s="62">
        <f>BU$12+BU$15+BU$16</f>
        <v/>
      </c>
      <c r="BV17" s="62">
        <f>BV$12+BV$15+BV$16</f>
        <v/>
      </c>
      <c r="BW17" s="62">
        <f>BW$12+BW$15+BW$16</f>
        <v/>
      </c>
      <c r="BX17" s="62">
        <f>BX$12+BX$15+BX$16</f>
        <v/>
      </c>
      <c r="BY17" s="62">
        <f>BY$12+BY$15+BY$16</f>
        <v/>
      </c>
      <c r="BZ17" s="62">
        <f>BZ$12+BZ$15+BZ$16</f>
        <v/>
      </c>
      <c r="CA17" s="62">
        <f>CA$12+CA$15+CA$16</f>
        <v/>
      </c>
      <c r="CB17" s="62">
        <f>CB$12+CB$15+CB$16</f>
        <v/>
      </c>
      <c r="CC17" s="62">
        <f>CC$12+CC$15+CC$16</f>
        <v/>
      </c>
      <c r="CD17" s="62">
        <f>CD$12+CD$15+CD$16</f>
        <v/>
      </c>
      <c r="CE17" s="62">
        <f>CE$12+CE$15+CE$16</f>
        <v/>
      </c>
      <c r="CF17" s="62">
        <f>CF$12+CF$15+CF$16</f>
        <v/>
      </c>
      <c r="CG17" s="62">
        <f>CG$12+CG$15+CG$16</f>
        <v/>
      </c>
      <c r="CH17" s="62">
        <f>CH$12+CH$15+CH$16</f>
        <v/>
      </c>
      <c r="CI17" s="62">
        <f>CI$12+CI$15+CI$16</f>
        <v/>
      </c>
      <c r="CJ17" s="62">
        <f>CJ$12+CJ$15+CJ$16</f>
        <v/>
      </c>
      <c r="CK17" s="62">
        <f>CK$12+CK$15+CK$16</f>
        <v/>
      </c>
      <c r="CL17" s="62">
        <f>CL$12+CL$15+CL$16</f>
        <v/>
      </c>
      <c r="CM17" s="62">
        <f>CM$12+CM$15+CM$16</f>
        <v/>
      </c>
      <c r="CN17" s="62">
        <f>CN$12+CN$15+CN$16</f>
        <v/>
      </c>
      <c r="CO17" s="62">
        <f>CO$12+CO$15+CO$16</f>
        <v/>
      </c>
      <c r="CP17" s="62">
        <f>CP$12+CP$15+CP$16</f>
        <v/>
      </c>
      <c r="CQ17" s="62">
        <f>CQ$12+CQ$15+CQ$16</f>
        <v/>
      </c>
      <c r="CR17" s="62">
        <f>CR$12+CR$15+CR$16</f>
        <v/>
      </c>
      <c r="CS17" s="62">
        <f>CS$12+CS$15+CS$16</f>
        <v/>
      </c>
      <c r="CT17" s="62">
        <f>CT$12+CT$15+CT$16</f>
        <v/>
      </c>
      <c r="CU17" s="62">
        <f>CU$12+CU$15+CU$16</f>
        <v/>
      </c>
      <c r="CV17" s="62">
        <f>CV$12+CV$15+CV$16</f>
        <v/>
      </c>
      <c r="CW17" s="62">
        <f>CW$12+CW$15+CW$16</f>
        <v/>
      </c>
      <c r="CX17" s="62">
        <f>CX$12+CX$15+CX$16</f>
        <v/>
      </c>
      <c r="CY17" s="62">
        <f>CY$12+CY$15+CY$16</f>
        <v/>
      </c>
      <c r="CZ17" s="62">
        <f>CZ$12+CZ$15+CZ$16</f>
        <v/>
      </c>
      <c r="DA17" s="62">
        <f>DA$12+DA$15+DA$16</f>
        <v/>
      </c>
      <c r="DB17" s="62">
        <f>DB$12+DB$15+DB$16</f>
        <v/>
      </c>
      <c r="DC17" s="62">
        <f>DC$12+DC$15+DC$16</f>
        <v/>
      </c>
      <c r="DD17" s="62">
        <f>DD$12+DD$15+DD$16</f>
        <v/>
      </c>
      <c r="DE17" s="62">
        <f>DE$12+DE$15+DE$16</f>
        <v/>
      </c>
      <c r="DF17" s="62">
        <f>DF$12+DF$15+DF$16</f>
        <v/>
      </c>
      <c r="DG17" s="62">
        <f>DG$12+DG$15+DG$16</f>
        <v/>
      </c>
      <c r="DH17" s="62">
        <f>DH$12+DH$15+DH$16</f>
        <v/>
      </c>
      <c r="DI17" s="62">
        <f>DI$12+DI$15+DI$16</f>
        <v/>
      </c>
      <c r="DJ17" s="62">
        <f>DJ$12+DJ$15+DJ$16</f>
        <v/>
      </c>
      <c r="DK17" s="62">
        <f>DK$12+DK$15+DK$16</f>
        <v/>
      </c>
      <c r="DL17" s="62">
        <f>DL$12+DL$15+DL$16</f>
        <v/>
      </c>
      <c r="DM17" s="62">
        <f>DM$12+DM$15+DM$16</f>
        <v/>
      </c>
      <c r="DN17" s="62">
        <f>DN$12+DN$15+DN$16</f>
        <v/>
      </c>
      <c r="DO17" s="62">
        <f>DO$12+DO$15+DO$16</f>
        <v/>
      </c>
      <c r="DP17" s="62">
        <f>DP$12+DP$15+DP$16</f>
        <v/>
      </c>
      <c r="DQ17" s="62">
        <f>DQ$12+DQ$15+DQ$16</f>
        <v/>
      </c>
      <c r="DR17" s="62">
        <f>DR$12+DR$15+DR$16</f>
        <v/>
      </c>
      <c r="DS17" s="62">
        <f>DS$12+DS$15+DS$16</f>
        <v/>
      </c>
      <c r="DT17" s="62">
        <f>DT$12+DT$15+DT$16</f>
        <v/>
      </c>
    </row>
    <row r="18">
      <c r="A18" s="10" t="inlineStr">
        <is>
          <t>Debt service</t>
        </is>
      </c>
      <c r="E18" s="50">
        <f>-Debt!E$126</f>
        <v/>
      </c>
      <c r="F18" s="50">
        <f>-Debt!F$126</f>
        <v/>
      </c>
      <c r="G18" s="50">
        <f>-Debt!G$126</f>
        <v/>
      </c>
      <c r="H18" s="50">
        <f>-Debt!H$126</f>
        <v/>
      </c>
      <c r="I18" s="50">
        <f>-Debt!I$126</f>
        <v/>
      </c>
      <c r="J18" s="50">
        <f>-Debt!J$126</f>
        <v/>
      </c>
      <c r="K18" s="50">
        <f>-Debt!K$126</f>
        <v/>
      </c>
      <c r="L18" s="50">
        <f>-Debt!L$126</f>
        <v/>
      </c>
      <c r="M18" s="50">
        <f>-Debt!M$126</f>
        <v/>
      </c>
      <c r="N18" s="50">
        <f>-Debt!N$126</f>
        <v/>
      </c>
      <c r="O18" s="50">
        <f>-Debt!O$126</f>
        <v/>
      </c>
      <c r="P18" s="50">
        <f>-Debt!P$126</f>
        <v/>
      </c>
      <c r="Q18" s="50">
        <f>-Debt!Q$126</f>
        <v/>
      </c>
      <c r="R18" s="50">
        <f>-Debt!R$126</f>
        <v/>
      </c>
      <c r="S18" s="50">
        <f>-Debt!S$126</f>
        <v/>
      </c>
      <c r="T18" s="50">
        <f>-Debt!T$126</f>
        <v/>
      </c>
      <c r="U18" s="50">
        <f>-Debt!U$126</f>
        <v/>
      </c>
      <c r="V18" s="50">
        <f>-Debt!V$126</f>
        <v/>
      </c>
      <c r="W18" s="50">
        <f>-Debt!W$126</f>
        <v/>
      </c>
      <c r="X18" s="50">
        <f>-Debt!X$126</f>
        <v/>
      </c>
      <c r="Y18" s="50">
        <f>-Debt!Y$126</f>
        <v/>
      </c>
      <c r="Z18" s="50">
        <f>-Debt!Z$126</f>
        <v/>
      </c>
      <c r="AA18" s="50">
        <f>-Debt!AA$126</f>
        <v/>
      </c>
      <c r="AB18" s="50">
        <f>-Debt!AB$126</f>
        <v/>
      </c>
      <c r="AC18" s="50">
        <f>-Debt!AC$126</f>
        <v/>
      </c>
      <c r="AD18" s="50">
        <f>-Debt!AD$126</f>
        <v/>
      </c>
      <c r="AE18" s="50">
        <f>-Debt!AE$126</f>
        <v/>
      </c>
      <c r="AF18" s="50">
        <f>-Debt!AF$126</f>
        <v/>
      </c>
      <c r="AG18" s="50">
        <f>-Debt!AG$126</f>
        <v/>
      </c>
      <c r="AH18" s="50">
        <f>-Debt!AH$126</f>
        <v/>
      </c>
      <c r="AI18" s="50">
        <f>-Debt!AI$126</f>
        <v/>
      </c>
      <c r="AJ18" s="50">
        <f>-Debt!AJ$126</f>
        <v/>
      </c>
      <c r="AK18" s="50">
        <f>-Debt!AK$126</f>
        <v/>
      </c>
      <c r="AL18" s="50">
        <f>-Debt!AL$126</f>
        <v/>
      </c>
      <c r="AM18" s="50">
        <f>-Debt!AM$126</f>
        <v/>
      </c>
      <c r="AN18" s="50">
        <f>-Debt!AN$126</f>
        <v/>
      </c>
      <c r="AO18" s="50">
        <f>-Debt!AO$126</f>
        <v/>
      </c>
      <c r="AP18" s="50">
        <f>-Debt!AP$126</f>
        <v/>
      </c>
      <c r="AQ18" s="50">
        <f>-Debt!AQ$126</f>
        <v/>
      </c>
      <c r="AR18" s="50">
        <f>-Debt!AR$126</f>
        <v/>
      </c>
      <c r="AS18" s="50">
        <f>-Debt!AS$126</f>
        <v/>
      </c>
      <c r="AT18" s="50">
        <f>-Debt!AT$126</f>
        <v/>
      </c>
      <c r="AU18" s="50">
        <f>-Debt!AU$126</f>
        <v/>
      </c>
      <c r="AV18" s="50">
        <f>-Debt!AV$126</f>
        <v/>
      </c>
      <c r="AW18" s="50">
        <f>-Debt!AW$126</f>
        <v/>
      </c>
      <c r="AX18" s="50">
        <f>-Debt!AX$126</f>
        <v/>
      </c>
      <c r="AY18" s="50">
        <f>-Debt!AY$126</f>
        <v/>
      </c>
      <c r="AZ18" s="50">
        <f>-Debt!AZ$126</f>
        <v/>
      </c>
      <c r="BA18" s="50">
        <f>-Debt!BA$126</f>
        <v/>
      </c>
      <c r="BB18" s="50">
        <f>-Debt!BB$126</f>
        <v/>
      </c>
      <c r="BC18" s="50">
        <f>-Debt!BC$126</f>
        <v/>
      </c>
      <c r="BD18" s="50">
        <f>-Debt!BD$126</f>
        <v/>
      </c>
      <c r="BE18" s="50">
        <f>-Debt!BE$126</f>
        <v/>
      </c>
      <c r="BF18" s="50">
        <f>-Debt!BF$126</f>
        <v/>
      </c>
      <c r="BG18" s="50">
        <f>-Debt!BG$126</f>
        <v/>
      </c>
      <c r="BH18" s="50">
        <f>-Debt!BH$126</f>
        <v/>
      </c>
      <c r="BI18" s="50">
        <f>-Debt!BI$126</f>
        <v/>
      </c>
      <c r="BJ18" s="50">
        <f>-Debt!BJ$126</f>
        <v/>
      </c>
      <c r="BK18" s="50">
        <f>-Debt!BK$126</f>
        <v/>
      </c>
      <c r="BL18" s="50">
        <f>-Debt!BL$126</f>
        <v/>
      </c>
      <c r="BM18" s="50">
        <f>-Debt!BM$126</f>
        <v/>
      </c>
      <c r="BN18" s="50">
        <f>-Debt!BN$126</f>
        <v/>
      </c>
      <c r="BO18" s="50">
        <f>-Debt!BO$126</f>
        <v/>
      </c>
      <c r="BP18" s="50">
        <f>-Debt!BP$126</f>
        <v/>
      </c>
      <c r="BQ18" s="50">
        <f>-Debt!BQ$126</f>
        <v/>
      </c>
      <c r="BR18" s="50">
        <f>-Debt!BR$126</f>
        <v/>
      </c>
      <c r="BS18" s="50">
        <f>-Debt!BS$126</f>
        <v/>
      </c>
      <c r="BT18" s="50">
        <f>-Debt!BT$126</f>
        <v/>
      </c>
      <c r="BU18" s="50">
        <f>-Debt!BU$126</f>
        <v/>
      </c>
      <c r="BV18" s="50">
        <f>-Debt!BV$126</f>
        <v/>
      </c>
      <c r="BW18" s="50">
        <f>-Debt!BW$126</f>
        <v/>
      </c>
      <c r="BX18" s="50">
        <f>-Debt!BX$126</f>
        <v/>
      </c>
      <c r="BY18" s="50">
        <f>-Debt!BY$126</f>
        <v/>
      </c>
      <c r="BZ18" s="50">
        <f>-Debt!BZ$126</f>
        <v/>
      </c>
      <c r="CA18" s="50">
        <f>-Debt!CA$126</f>
        <v/>
      </c>
      <c r="CB18" s="50">
        <f>-Debt!CB$126</f>
        <v/>
      </c>
      <c r="CC18" s="50">
        <f>-Debt!CC$126</f>
        <v/>
      </c>
      <c r="CD18" s="50">
        <f>-Debt!CD$126</f>
        <v/>
      </c>
      <c r="CE18" s="50">
        <f>-Debt!CE$126</f>
        <v/>
      </c>
      <c r="CF18" s="50">
        <f>-Debt!CF$126</f>
        <v/>
      </c>
      <c r="CG18" s="50">
        <f>-Debt!CG$126</f>
        <v/>
      </c>
      <c r="CH18" s="50">
        <f>-Debt!CH$126</f>
        <v/>
      </c>
      <c r="CI18" s="50">
        <f>-Debt!CI$126</f>
        <v/>
      </c>
      <c r="CJ18" s="50">
        <f>-Debt!CJ$126</f>
        <v/>
      </c>
      <c r="CK18" s="50">
        <f>-Debt!CK$126</f>
        <v/>
      </c>
      <c r="CL18" s="50">
        <f>-Debt!CL$126</f>
        <v/>
      </c>
      <c r="CM18" s="50">
        <f>-Debt!CM$126</f>
        <v/>
      </c>
      <c r="CN18" s="50">
        <f>-Debt!CN$126</f>
        <v/>
      </c>
      <c r="CO18" s="50">
        <f>-Debt!CO$126</f>
        <v/>
      </c>
      <c r="CP18" s="50">
        <f>-Debt!CP$126</f>
        <v/>
      </c>
      <c r="CQ18" s="50">
        <f>-Debt!CQ$126</f>
        <v/>
      </c>
      <c r="CR18" s="50">
        <f>-Debt!CR$126</f>
        <v/>
      </c>
      <c r="CS18" s="50">
        <f>-Debt!CS$126</f>
        <v/>
      </c>
      <c r="CT18" s="50">
        <f>-Debt!CT$126</f>
        <v/>
      </c>
      <c r="CU18" s="50">
        <f>-Debt!CU$126</f>
        <v/>
      </c>
      <c r="CV18" s="50">
        <f>-Debt!CV$126</f>
        <v/>
      </c>
      <c r="CW18" s="50">
        <f>-Debt!CW$126</f>
        <v/>
      </c>
      <c r="CX18" s="50">
        <f>-Debt!CX$126</f>
        <v/>
      </c>
      <c r="CY18" s="50">
        <f>-Debt!CY$126</f>
        <v/>
      </c>
      <c r="CZ18" s="50">
        <f>-Debt!CZ$126</f>
        <v/>
      </c>
      <c r="DA18" s="50">
        <f>-Debt!DA$126</f>
        <v/>
      </c>
      <c r="DB18" s="50">
        <f>-Debt!DB$126</f>
        <v/>
      </c>
      <c r="DC18" s="50">
        <f>-Debt!DC$126</f>
        <v/>
      </c>
      <c r="DD18" s="50">
        <f>-Debt!DD$126</f>
        <v/>
      </c>
      <c r="DE18" s="50">
        <f>-Debt!DE$126</f>
        <v/>
      </c>
      <c r="DF18" s="50">
        <f>-Debt!DF$126</f>
        <v/>
      </c>
      <c r="DG18" s="50">
        <f>-Debt!DG$126</f>
        <v/>
      </c>
      <c r="DH18" s="50">
        <f>-Debt!DH$126</f>
        <v/>
      </c>
      <c r="DI18" s="50">
        <f>-Debt!DI$126</f>
        <v/>
      </c>
      <c r="DJ18" s="50">
        <f>-Debt!DJ$126</f>
        <v/>
      </c>
      <c r="DK18" s="50">
        <f>-Debt!DK$126</f>
        <v/>
      </c>
      <c r="DL18" s="50">
        <f>-Debt!DL$126</f>
        <v/>
      </c>
      <c r="DM18" s="50">
        <f>-Debt!DM$126</f>
        <v/>
      </c>
      <c r="DN18" s="50">
        <f>-Debt!DN$126</f>
        <v/>
      </c>
      <c r="DO18" s="50">
        <f>-Debt!DO$126</f>
        <v/>
      </c>
      <c r="DP18" s="50">
        <f>-Debt!DP$126</f>
        <v/>
      </c>
      <c r="DQ18" s="50">
        <f>-Debt!DQ$126</f>
        <v/>
      </c>
      <c r="DR18" s="50">
        <f>-Debt!DR$126</f>
        <v/>
      </c>
      <c r="DS18" s="50">
        <f>-Debt!DS$126</f>
        <v/>
      </c>
      <c r="DT18" s="50">
        <f>-Debt!DT$126</f>
        <v/>
      </c>
    </row>
    <row r="19">
      <c r="A19" s="10" t="inlineStr">
        <is>
          <t>Loan draws / refi events</t>
        </is>
      </c>
      <c r="E19" s="50">
        <f>Debt!E$127+Debt!E$128</f>
        <v/>
      </c>
      <c r="F19" s="50">
        <f>Debt!F$127+Debt!F$128</f>
        <v/>
      </c>
      <c r="G19" s="50">
        <f>Debt!G$127+Debt!G$128</f>
        <v/>
      </c>
      <c r="H19" s="50">
        <f>Debt!H$127+Debt!H$128</f>
        <v/>
      </c>
      <c r="I19" s="50">
        <f>Debt!I$127+Debt!I$128</f>
        <v/>
      </c>
      <c r="J19" s="50">
        <f>Debt!J$127+Debt!J$128</f>
        <v/>
      </c>
      <c r="K19" s="50">
        <f>Debt!K$127+Debt!K$128</f>
        <v/>
      </c>
      <c r="L19" s="50">
        <f>Debt!L$127+Debt!L$128</f>
        <v/>
      </c>
      <c r="M19" s="50">
        <f>Debt!M$127+Debt!M$128</f>
        <v/>
      </c>
      <c r="N19" s="50">
        <f>Debt!N$127+Debt!N$128</f>
        <v/>
      </c>
      <c r="O19" s="50">
        <f>Debt!O$127+Debt!O$128</f>
        <v/>
      </c>
      <c r="P19" s="50">
        <f>Debt!P$127+Debt!P$128</f>
        <v/>
      </c>
      <c r="Q19" s="50">
        <f>Debt!Q$127+Debt!Q$128</f>
        <v/>
      </c>
      <c r="R19" s="50">
        <f>Debt!R$127+Debt!R$128</f>
        <v/>
      </c>
      <c r="S19" s="50">
        <f>Debt!S$127+Debt!S$128</f>
        <v/>
      </c>
      <c r="T19" s="50">
        <f>Debt!T$127+Debt!T$128</f>
        <v/>
      </c>
      <c r="U19" s="50">
        <f>Debt!U$127+Debt!U$128</f>
        <v/>
      </c>
      <c r="V19" s="50">
        <f>Debt!V$127+Debt!V$128</f>
        <v/>
      </c>
      <c r="W19" s="50">
        <f>Debt!W$127+Debt!W$128</f>
        <v/>
      </c>
      <c r="X19" s="50">
        <f>Debt!X$127+Debt!X$128</f>
        <v/>
      </c>
      <c r="Y19" s="50">
        <f>Debt!Y$127+Debt!Y$128</f>
        <v/>
      </c>
      <c r="Z19" s="50">
        <f>Debt!Z$127+Debt!Z$128</f>
        <v/>
      </c>
      <c r="AA19" s="50">
        <f>Debt!AA$127+Debt!AA$128</f>
        <v/>
      </c>
      <c r="AB19" s="50">
        <f>Debt!AB$127+Debt!AB$128</f>
        <v/>
      </c>
      <c r="AC19" s="50">
        <f>Debt!AC$127+Debt!AC$128</f>
        <v/>
      </c>
      <c r="AD19" s="50">
        <f>Debt!AD$127+Debt!AD$128</f>
        <v/>
      </c>
      <c r="AE19" s="50">
        <f>Debt!AE$127+Debt!AE$128</f>
        <v/>
      </c>
      <c r="AF19" s="50">
        <f>Debt!AF$127+Debt!AF$128</f>
        <v/>
      </c>
      <c r="AG19" s="50">
        <f>Debt!AG$127+Debt!AG$128</f>
        <v/>
      </c>
      <c r="AH19" s="50">
        <f>Debt!AH$127+Debt!AH$128</f>
        <v/>
      </c>
      <c r="AI19" s="50">
        <f>Debt!AI$127+Debt!AI$128</f>
        <v/>
      </c>
      <c r="AJ19" s="50">
        <f>Debt!AJ$127+Debt!AJ$128</f>
        <v/>
      </c>
      <c r="AK19" s="50">
        <f>Debt!AK$127+Debt!AK$128</f>
        <v/>
      </c>
      <c r="AL19" s="50">
        <f>Debt!AL$127+Debt!AL$128</f>
        <v/>
      </c>
      <c r="AM19" s="50">
        <f>Debt!AM$127+Debt!AM$128</f>
        <v/>
      </c>
      <c r="AN19" s="50">
        <f>Debt!AN$127+Debt!AN$128</f>
        <v/>
      </c>
      <c r="AO19" s="50">
        <f>Debt!AO$127+Debt!AO$128</f>
        <v/>
      </c>
      <c r="AP19" s="50">
        <f>Debt!AP$127+Debt!AP$128</f>
        <v/>
      </c>
      <c r="AQ19" s="50">
        <f>Debt!AQ$127+Debt!AQ$128</f>
        <v/>
      </c>
      <c r="AR19" s="50">
        <f>Debt!AR$127+Debt!AR$128</f>
        <v/>
      </c>
      <c r="AS19" s="50">
        <f>Debt!AS$127+Debt!AS$128</f>
        <v/>
      </c>
      <c r="AT19" s="50">
        <f>Debt!AT$127+Debt!AT$128</f>
        <v/>
      </c>
      <c r="AU19" s="50">
        <f>Debt!AU$127+Debt!AU$128</f>
        <v/>
      </c>
      <c r="AV19" s="50">
        <f>Debt!AV$127+Debt!AV$128</f>
        <v/>
      </c>
      <c r="AW19" s="50">
        <f>Debt!AW$127+Debt!AW$128</f>
        <v/>
      </c>
      <c r="AX19" s="50">
        <f>Debt!AX$127+Debt!AX$128</f>
        <v/>
      </c>
      <c r="AY19" s="50">
        <f>Debt!AY$127+Debt!AY$128</f>
        <v/>
      </c>
      <c r="AZ19" s="50">
        <f>Debt!AZ$127+Debt!AZ$128</f>
        <v/>
      </c>
      <c r="BA19" s="50">
        <f>Debt!BA$127+Debt!BA$128</f>
        <v/>
      </c>
      <c r="BB19" s="50">
        <f>Debt!BB$127+Debt!BB$128</f>
        <v/>
      </c>
      <c r="BC19" s="50">
        <f>Debt!BC$127+Debt!BC$128</f>
        <v/>
      </c>
      <c r="BD19" s="50">
        <f>Debt!BD$127+Debt!BD$128</f>
        <v/>
      </c>
      <c r="BE19" s="50">
        <f>Debt!BE$127+Debt!BE$128</f>
        <v/>
      </c>
      <c r="BF19" s="50">
        <f>Debt!BF$127+Debt!BF$128</f>
        <v/>
      </c>
      <c r="BG19" s="50">
        <f>Debt!BG$127+Debt!BG$128</f>
        <v/>
      </c>
      <c r="BH19" s="50">
        <f>Debt!BH$127+Debt!BH$128</f>
        <v/>
      </c>
      <c r="BI19" s="50">
        <f>Debt!BI$127+Debt!BI$128</f>
        <v/>
      </c>
      <c r="BJ19" s="50">
        <f>Debt!BJ$127+Debt!BJ$128</f>
        <v/>
      </c>
      <c r="BK19" s="50">
        <f>Debt!BK$127+Debt!BK$128</f>
        <v/>
      </c>
      <c r="BL19" s="50">
        <f>Debt!BL$127+Debt!BL$128</f>
        <v/>
      </c>
      <c r="BM19" s="50">
        <f>Debt!BM$127+Debt!BM$128</f>
        <v/>
      </c>
      <c r="BN19" s="50">
        <f>Debt!BN$127+Debt!BN$128</f>
        <v/>
      </c>
      <c r="BO19" s="50">
        <f>Debt!BO$127+Debt!BO$128</f>
        <v/>
      </c>
      <c r="BP19" s="50">
        <f>Debt!BP$127+Debt!BP$128</f>
        <v/>
      </c>
      <c r="BQ19" s="50">
        <f>Debt!BQ$127+Debt!BQ$128</f>
        <v/>
      </c>
      <c r="BR19" s="50">
        <f>Debt!BR$127+Debt!BR$128</f>
        <v/>
      </c>
      <c r="BS19" s="50">
        <f>Debt!BS$127+Debt!BS$128</f>
        <v/>
      </c>
      <c r="BT19" s="50">
        <f>Debt!BT$127+Debt!BT$128</f>
        <v/>
      </c>
      <c r="BU19" s="50">
        <f>Debt!BU$127+Debt!BU$128</f>
        <v/>
      </c>
      <c r="BV19" s="50">
        <f>Debt!BV$127+Debt!BV$128</f>
        <v/>
      </c>
      <c r="BW19" s="50">
        <f>Debt!BW$127+Debt!BW$128</f>
        <v/>
      </c>
      <c r="BX19" s="50">
        <f>Debt!BX$127+Debt!BX$128</f>
        <v/>
      </c>
      <c r="BY19" s="50">
        <f>Debt!BY$127+Debt!BY$128</f>
        <v/>
      </c>
      <c r="BZ19" s="50">
        <f>Debt!BZ$127+Debt!BZ$128</f>
        <v/>
      </c>
      <c r="CA19" s="50">
        <f>Debt!CA$127+Debt!CA$128</f>
        <v/>
      </c>
      <c r="CB19" s="50">
        <f>Debt!CB$127+Debt!CB$128</f>
        <v/>
      </c>
      <c r="CC19" s="50">
        <f>Debt!CC$127+Debt!CC$128</f>
        <v/>
      </c>
      <c r="CD19" s="50">
        <f>Debt!CD$127+Debt!CD$128</f>
        <v/>
      </c>
      <c r="CE19" s="50">
        <f>Debt!CE$127+Debt!CE$128</f>
        <v/>
      </c>
      <c r="CF19" s="50">
        <f>Debt!CF$127+Debt!CF$128</f>
        <v/>
      </c>
      <c r="CG19" s="50">
        <f>Debt!CG$127+Debt!CG$128</f>
        <v/>
      </c>
      <c r="CH19" s="50">
        <f>Debt!CH$127+Debt!CH$128</f>
        <v/>
      </c>
      <c r="CI19" s="50">
        <f>Debt!CI$127+Debt!CI$128</f>
        <v/>
      </c>
      <c r="CJ19" s="50">
        <f>Debt!CJ$127+Debt!CJ$128</f>
        <v/>
      </c>
      <c r="CK19" s="50">
        <f>Debt!CK$127+Debt!CK$128</f>
        <v/>
      </c>
      <c r="CL19" s="50">
        <f>Debt!CL$127+Debt!CL$128</f>
        <v/>
      </c>
      <c r="CM19" s="50">
        <f>Debt!CM$127+Debt!CM$128</f>
        <v/>
      </c>
      <c r="CN19" s="50">
        <f>Debt!CN$127+Debt!CN$128</f>
        <v/>
      </c>
      <c r="CO19" s="50">
        <f>Debt!CO$127+Debt!CO$128</f>
        <v/>
      </c>
      <c r="CP19" s="50">
        <f>Debt!CP$127+Debt!CP$128</f>
        <v/>
      </c>
      <c r="CQ19" s="50">
        <f>Debt!CQ$127+Debt!CQ$128</f>
        <v/>
      </c>
      <c r="CR19" s="50">
        <f>Debt!CR$127+Debt!CR$128</f>
        <v/>
      </c>
      <c r="CS19" s="50">
        <f>Debt!CS$127+Debt!CS$128</f>
        <v/>
      </c>
      <c r="CT19" s="50">
        <f>Debt!CT$127+Debt!CT$128</f>
        <v/>
      </c>
      <c r="CU19" s="50">
        <f>Debt!CU$127+Debt!CU$128</f>
        <v/>
      </c>
      <c r="CV19" s="50">
        <f>Debt!CV$127+Debt!CV$128</f>
        <v/>
      </c>
      <c r="CW19" s="50">
        <f>Debt!CW$127+Debt!CW$128</f>
        <v/>
      </c>
      <c r="CX19" s="50">
        <f>Debt!CX$127+Debt!CX$128</f>
        <v/>
      </c>
      <c r="CY19" s="50">
        <f>Debt!CY$127+Debt!CY$128</f>
        <v/>
      </c>
      <c r="CZ19" s="50">
        <f>Debt!CZ$127+Debt!CZ$128</f>
        <v/>
      </c>
      <c r="DA19" s="50">
        <f>Debt!DA$127+Debt!DA$128</f>
        <v/>
      </c>
      <c r="DB19" s="50">
        <f>Debt!DB$127+Debt!DB$128</f>
        <v/>
      </c>
      <c r="DC19" s="50">
        <f>Debt!DC$127+Debt!DC$128</f>
        <v/>
      </c>
      <c r="DD19" s="50">
        <f>Debt!DD$127+Debt!DD$128</f>
        <v/>
      </c>
      <c r="DE19" s="50">
        <f>Debt!DE$127+Debt!DE$128</f>
        <v/>
      </c>
      <c r="DF19" s="50">
        <f>Debt!DF$127+Debt!DF$128</f>
        <v/>
      </c>
      <c r="DG19" s="50">
        <f>Debt!DG$127+Debt!DG$128</f>
        <v/>
      </c>
      <c r="DH19" s="50">
        <f>Debt!DH$127+Debt!DH$128</f>
        <v/>
      </c>
      <c r="DI19" s="50">
        <f>Debt!DI$127+Debt!DI$128</f>
        <v/>
      </c>
      <c r="DJ19" s="50">
        <f>Debt!DJ$127+Debt!DJ$128</f>
        <v/>
      </c>
      <c r="DK19" s="50">
        <f>Debt!DK$127+Debt!DK$128</f>
        <v/>
      </c>
      <c r="DL19" s="50">
        <f>Debt!DL$127+Debt!DL$128</f>
        <v/>
      </c>
      <c r="DM19" s="50">
        <f>Debt!DM$127+Debt!DM$128</f>
        <v/>
      </c>
      <c r="DN19" s="50">
        <f>Debt!DN$127+Debt!DN$128</f>
        <v/>
      </c>
      <c r="DO19" s="50">
        <f>Debt!DO$127+Debt!DO$128</f>
        <v/>
      </c>
      <c r="DP19" s="50">
        <f>Debt!DP$127+Debt!DP$128</f>
        <v/>
      </c>
      <c r="DQ19" s="50">
        <f>Debt!DQ$127+Debt!DQ$128</f>
        <v/>
      </c>
      <c r="DR19" s="50">
        <f>Debt!DR$127+Debt!DR$128</f>
        <v/>
      </c>
      <c r="DS19" s="50">
        <f>Debt!DS$127+Debt!DS$128</f>
        <v/>
      </c>
      <c r="DT19" s="50">
        <f>Debt!DT$127+Debt!DT$128</f>
        <v/>
      </c>
    </row>
    <row r="20">
      <c r="A20" s="10" t="inlineStr">
        <is>
          <t>Acquisition outflow (equity &amp; price, mo 0)</t>
        </is>
      </c>
      <c r="E20" s="52">
        <f>-(PurchasePrice+PurchasePrice*ClosingCostPct+FinancingCosts)</f>
        <v/>
      </c>
      <c r="F20" s="52">
        <f>0</f>
        <v/>
      </c>
      <c r="G20" s="52">
        <f>0</f>
        <v/>
      </c>
      <c r="H20" s="52">
        <f>0</f>
        <v/>
      </c>
      <c r="I20" s="52">
        <f>0</f>
        <v/>
      </c>
      <c r="J20" s="52">
        <f>0</f>
        <v/>
      </c>
      <c r="K20" s="52">
        <f>0</f>
        <v/>
      </c>
      <c r="L20" s="52">
        <f>0</f>
        <v/>
      </c>
      <c r="M20" s="52">
        <f>0</f>
        <v/>
      </c>
      <c r="N20" s="52">
        <f>0</f>
        <v/>
      </c>
      <c r="O20" s="52">
        <f>0</f>
        <v/>
      </c>
      <c r="P20" s="52">
        <f>0</f>
        <v/>
      </c>
      <c r="Q20" s="52">
        <f>0</f>
        <v/>
      </c>
      <c r="R20" s="52">
        <f>0</f>
        <v/>
      </c>
      <c r="S20" s="52">
        <f>0</f>
        <v/>
      </c>
      <c r="T20" s="52">
        <f>0</f>
        <v/>
      </c>
      <c r="U20" s="52">
        <f>0</f>
        <v/>
      </c>
      <c r="V20" s="52">
        <f>0</f>
        <v/>
      </c>
      <c r="W20" s="52">
        <f>0</f>
        <v/>
      </c>
      <c r="X20" s="52">
        <f>0</f>
        <v/>
      </c>
      <c r="Y20" s="52">
        <f>0</f>
        <v/>
      </c>
      <c r="Z20" s="52">
        <f>0</f>
        <v/>
      </c>
      <c r="AA20" s="52">
        <f>0</f>
        <v/>
      </c>
      <c r="AB20" s="52">
        <f>0</f>
        <v/>
      </c>
      <c r="AC20" s="52">
        <f>0</f>
        <v/>
      </c>
      <c r="AD20" s="52">
        <f>0</f>
        <v/>
      </c>
      <c r="AE20" s="52">
        <f>0</f>
        <v/>
      </c>
      <c r="AF20" s="52">
        <f>0</f>
        <v/>
      </c>
      <c r="AG20" s="52">
        <f>0</f>
        <v/>
      </c>
      <c r="AH20" s="52">
        <f>0</f>
        <v/>
      </c>
      <c r="AI20" s="52">
        <f>0</f>
        <v/>
      </c>
      <c r="AJ20" s="52">
        <f>0</f>
        <v/>
      </c>
      <c r="AK20" s="52">
        <f>0</f>
        <v/>
      </c>
      <c r="AL20" s="52">
        <f>0</f>
        <v/>
      </c>
      <c r="AM20" s="52">
        <f>0</f>
        <v/>
      </c>
      <c r="AN20" s="52">
        <f>0</f>
        <v/>
      </c>
      <c r="AO20" s="52">
        <f>0</f>
        <v/>
      </c>
      <c r="AP20" s="52">
        <f>0</f>
        <v/>
      </c>
      <c r="AQ20" s="52">
        <f>0</f>
        <v/>
      </c>
      <c r="AR20" s="52">
        <f>0</f>
        <v/>
      </c>
      <c r="AS20" s="52">
        <f>0</f>
        <v/>
      </c>
      <c r="AT20" s="52">
        <f>0</f>
        <v/>
      </c>
      <c r="AU20" s="52">
        <f>0</f>
        <v/>
      </c>
      <c r="AV20" s="52">
        <f>0</f>
        <v/>
      </c>
      <c r="AW20" s="52">
        <f>0</f>
        <v/>
      </c>
      <c r="AX20" s="52">
        <f>0</f>
        <v/>
      </c>
      <c r="AY20" s="52">
        <f>0</f>
        <v/>
      </c>
      <c r="AZ20" s="52">
        <f>0</f>
        <v/>
      </c>
      <c r="BA20" s="52">
        <f>0</f>
        <v/>
      </c>
      <c r="BB20" s="52">
        <f>0</f>
        <v/>
      </c>
      <c r="BC20" s="52">
        <f>0</f>
        <v/>
      </c>
      <c r="BD20" s="52">
        <f>0</f>
        <v/>
      </c>
      <c r="BE20" s="52">
        <f>0</f>
        <v/>
      </c>
      <c r="BF20" s="52">
        <f>0</f>
        <v/>
      </c>
      <c r="BG20" s="52">
        <f>0</f>
        <v/>
      </c>
      <c r="BH20" s="52">
        <f>0</f>
        <v/>
      </c>
      <c r="BI20" s="52">
        <f>0</f>
        <v/>
      </c>
      <c r="BJ20" s="52">
        <f>0</f>
        <v/>
      </c>
      <c r="BK20" s="52">
        <f>0</f>
        <v/>
      </c>
      <c r="BL20" s="52">
        <f>0</f>
        <v/>
      </c>
      <c r="BM20" s="52">
        <f>0</f>
        <v/>
      </c>
      <c r="BN20" s="52">
        <f>0</f>
        <v/>
      </c>
      <c r="BO20" s="52">
        <f>0</f>
        <v/>
      </c>
      <c r="BP20" s="52">
        <f>0</f>
        <v/>
      </c>
      <c r="BQ20" s="52">
        <f>0</f>
        <v/>
      </c>
      <c r="BR20" s="52">
        <f>0</f>
        <v/>
      </c>
      <c r="BS20" s="52">
        <f>0</f>
        <v/>
      </c>
      <c r="BT20" s="52">
        <f>0</f>
        <v/>
      </c>
      <c r="BU20" s="52">
        <f>0</f>
        <v/>
      </c>
      <c r="BV20" s="52">
        <f>0</f>
        <v/>
      </c>
      <c r="BW20" s="52">
        <f>0</f>
        <v/>
      </c>
      <c r="BX20" s="52">
        <f>0</f>
        <v/>
      </c>
      <c r="BY20" s="52">
        <f>0</f>
        <v/>
      </c>
      <c r="BZ20" s="52">
        <f>0</f>
        <v/>
      </c>
      <c r="CA20" s="52">
        <f>0</f>
        <v/>
      </c>
      <c r="CB20" s="52">
        <f>0</f>
        <v/>
      </c>
      <c r="CC20" s="52">
        <f>0</f>
        <v/>
      </c>
      <c r="CD20" s="52">
        <f>0</f>
        <v/>
      </c>
      <c r="CE20" s="52">
        <f>0</f>
        <v/>
      </c>
      <c r="CF20" s="52">
        <f>0</f>
        <v/>
      </c>
      <c r="CG20" s="52">
        <f>0</f>
        <v/>
      </c>
      <c r="CH20" s="52">
        <f>0</f>
        <v/>
      </c>
      <c r="CI20" s="52">
        <f>0</f>
        <v/>
      </c>
      <c r="CJ20" s="52">
        <f>0</f>
        <v/>
      </c>
      <c r="CK20" s="52">
        <f>0</f>
        <v/>
      </c>
      <c r="CL20" s="52">
        <f>0</f>
        <v/>
      </c>
      <c r="CM20" s="52">
        <f>0</f>
        <v/>
      </c>
      <c r="CN20" s="52">
        <f>0</f>
        <v/>
      </c>
      <c r="CO20" s="52">
        <f>0</f>
        <v/>
      </c>
      <c r="CP20" s="52">
        <f>0</f>
        <v/>
      </c>
      <c r="CQ20" s="52">
        <f>0</f>
        <v/>
      </c>
      <c r="CR20" s="52">
        <f>0</f>
        <v/>
      </c>
      <c r="CS20" s="52">
        <f>0</f>
        <v/>
      </c>
      <c r="CT20" s="52">
        <f>0</f>
        <v/>
      </c>
      <c r="CU20" s="52">
        <f>0</f>
        <v/>
      </c>
      <c r="CV20" s="52">
        <f>0</f>
        <v/>
      </c>
      <c r="CW20" s="52">
        <f>0</f>
        <v/>
      </c>
      <c r="CX20" s="52">
        <f>0</f>
        <v/>
      </c>
      <c r="CY20" s="52">
        <f>0</f>
        <v/>
      </c>
      <c r="CZ20" s="52">
        <f>0</f>
        <v/>
      </c>
      <c r="DA20" s="52">
        <f>0</f>
        <v/>
      </c>
      <c r="DB20" s="52">
        <f>0</f>
        <v/>
      </c>
      <c r="DC20" s="52">
        <f>0</f>
        <v/>
      </c>
      <c r="DD20" s="52">
        <f>0</f>
        <v/>
      </c>
      <c r="DE20" s="52">
        <f>0</f>
        <v/>
      </c>
      <c r="DF20" s="52">
        <f>0</f>
        <v/>
      </c>
      <c r="DG20" s="52">
        <f>0</f>
        <v/>
      </c>
      <c r="DH20" s="52">
        <f>0</f>
        <v/>
      </c>
      <c r="DI20" s="52">
        <f>0</f>
        <v/>
      </c>
      <c r="DJ20" s="52">
        <f>0</f>
        <v/>
      </c>
      <c r="DK20" s="52">
        <f>0</f>
        <v/>
      </c>
      <c r="DL20" s="52">
        <f>0</f>
        <v/>
      </c>
      <c r="DM20" s="52">
        <f>0</f>
        <v/>
      </c>
      <c r="DN20" s="52">
        <f>0</f>
        <v/>
      </c>
      <c r="DO20" s="52">
        <f>0</f>
        <v/>
      </c>
      <c r="DP20" s="52">
        <f>0</f>
        <v/>
      </c>
      <c r="DQ20" s="52">
        <f>0</f>
        <v/>
      </c>
      <c r="DR20" s="52">
        <f>0</f>
        <v/>
      </c>
      <c r="DS20" s="52">
        <f>0</f>
        <v/>
      </c>
      <c r="DT20" s="52">
        <f>0</f>
        <v/>
      </c>
    </row>
    <row r="21">
      <c r="A21" s="10" t="inlineStr">
        <is>
          <t>Exit gross value ($)</t>
        </is>
      </c>
      <c r="E21" s="52">
        <f>IF(Assumptions!E$76=1,ExitGrossValue,0)</f>
        <v/>
      </c>
      <c r="F21" s="52">
        <f>IF(Assumptions!F$76=1,ExitGrossValue,0)</f>
        <v/>
      </c>
      <c r="G21" s="52">
        <f>IF(Assumptions!G$76=1,ExitGrossValue,0)</f>
        <v/>
      </c>
      <c r="H21" s="52">
        <f>IF(Assumptions!H$76=1,ExitGrossValue,0)</f>
        <v/>
      </c>
      <c r="I21" s="52">
        <f>IF(Assumptions!I$76=1,ExitGrossValue,0)</f>
        <v/>
      </c>
      <c r="J21" s="52">
        <f>IF(Assumptions!J$76=1,ExitGrossValue,0)</f>
        <v/>
      </c>
      <c r="K21" s="52">
        <f>IF(Assumptions!K$76=1,ExitGrossValue,0)</f>
        <v/>
      </c>
      <c r="L21" s="52">
        <f>IF(Assumptions!L$76=1,ExitGrossValue,0)</f>
        <v/>
      </c>
      <c r="M21" s="52">
        <f>IF(Assumptions!M$76=1,ExitGrossValue,0)</f>
        <v/>
      </c>
      <c r="N21" s="52">
        <f>IF(Assumptions!N$76=1,ExitGrossValue,0)</f>
        <v/>
      </c>
      <c r="O21" s="52">
        <f>IF(Assumptions!O$76=1,ExitGrossValue,0)</f>
        <v/>
      </c>
      <c r="P21" s="52">
        <f>IF(Assumptions!P$76=1,ExitGrossValue,0)</f>
        <v/>
      </c>
      <c r="Q21" s="52">
        <f>IF(Assumptions!Q$76=1,ExitGrossValue,0)</f>
        <v/>
      </c>
      <c r="R21" s="52">
        <f>IF(Assumptions!R$76=1,ExitGrossValue,0)</f>
        <v/>
      </c>
      <c r="S21" s="52">
        <f>IF(Assumptions!S$76=1,ExitGrossValue,0)</f>
        <v/>
      </c>
      <c r="T21" s="52">
        <f>IF(Assumptions!T$76=1,ExitGrossValue,0)</f>
        <v/>
      </c>
      <c r="U21" s="52">
        <f>IF(Assumptions!U$76=1,ExitGrossValue,0)</f>
        <v/>
      </c>
      <c r="V21" s="52">
        <f>IF(Assumptions!V$76=1,ExitGrossValue,0)</f>
        <v/>
      </c>
      <c r="W21" s="52">
        <f>IF(Assumptions!W$76=1,ExitGrossValue,0)</f>
        <v/>
      </c>
      <c r="X21" s="52">
        <f>IF(Assumptions!X$76=1,ExitGrossValue,0)</f>
        <v/>
      </c>
      <c r="Y21" s="52">
        <f>IF(Assumptions!Y$76=1,ExitGrossValue,0)</f>
        <v/>
      </c>
      <c r="Z21" s="52">
        <f>IF(Assumptions!Z$76=1,ExitGrossValue,0)</f>
        <v/>
      </c>
      <c r="AA21" s="52">
        <f>IF(Assumptions!AA$76=1,ExitGrossValue,0)</f>
        <v/>
      </c>
      <c r="AB21" s="52">
        <f>IF(Assumptions!AB$76=1,ExitGrossValue,0)</f>
        <v/>
      </c>
      <c r="AC21" s="52">
        <f>IF(Assumptions!AC$76=1,ExitGrossValue,0)</f>
        <v/>
      </c>
      <c r="AD21" s="52">
        <f>IF(Assumptions!AD$76=1,ExitGrossValue,0)</f>
        <v/>
      </c>
      <c r="AE21" s="52">
        <f>IF(Assumptions!AE$76=1,ExitGrossValue,0)</f>
        <v/>
      </c>
      <c r="AF21" s="52">
        <f>IF(Assumptions!AF$76=1,ExitGrossValue,0)</f>
        <v/>
      </c>
      <c r="AG21" s="52">
        <f>IF(Assumptions!AG$76=1,ExitGrossValue,0)</f>
        <v/>
      </c>
      <c r="AH21" s="52">
        <f>IF(Assumptions!AH$76=1,ExitGrossValue,0)</f>
        <v/>
      </c>
      <c r="AI21" s="52">
        <f>IF(Assumptions!AI$76=1,ExitGrossValue,0)</f>
        <v/>
      </c>
      <c r="AJ21" s="52">
        <f>IF(Assumptions!AJ$76=1,ExitGrossValue,0)</f>
        <v/>
      </c>
      <c r="AK21" s="52">
        <f>IF(Assumptions!AK$76=1,ExitGrossValue,0)</f>
        <v/>
      </c>
      <c r="AL21" s="52">
        <f>IF(Assumptions!AL$76=1,ExitGrossValue,0)</f>
        <v/>
      </c>
      <c r="AM21" s="52">
        <f>IF(Assumptions!AM$76=1,ExitGrossValue,0)</f>
        <v/>
      </c>
      <c r="AN21" s="52">
        <f>IF(Assumptions!AN$76=1,ExitGrossValue,0)</f>
        <v/>
      </c>
      <c r="AO21" s="52">
        <f>IF(Assumptions!AO$76=1,ExitGrossValue,0)</f>
        <v/>
      </c>
      <c r="AP21" s="52">
        <f>IF(Assumptions!AP$76=1,ExitGrossValue,0)</f>
        <v/>
      </c>
      <c r="AQ21" s="52">
        <f>IF(Assumptions!AQ$76=1,ExitGrossValue,0)</f>
        <v/>
      </c>
      <c r="AR21" s="52">
        <f>IF(Assumptions!AR$76=1,ExitGrossValue,0)</f>
        <v/>
      </c>
      <c r="AS21" s="52">
        <f>IF(Assumptions!AS$76=1,ExitGrossValue,0)</f>
        <v/>
      </c>
      <c r="AT21" s="52">
        <f>IF(Assumptions!AT$76=1,ExitGrossValue,0)</f>
        <v/>
      </c>
      <c r="AU21" s="52">
        <f>IF(Assumptions!AU$76=1,ExitGrossValue,0)</f>
        <v/>
      </c>
      <c r="AV21" s="52">
        <f>IF(Assumptions!AV$76=1,ExitGrossValue,0)</f>
        <v/>
      </c>
      <c r="AW21" s="52">
        <f>IF(Assumptions!AW$76=1,ExitGrossValue,0)</f>
        <v/>
      </c>
      <c r="AX21" s="52">
        <f>IF(Assumptions!AX$76=1,ExitGrossValue,0)</f>
        <v/>
      </c>
      <c r="AY21" s="52">
        <f>IF(Assumptions!AY$76=1,ExitGrossValue,0)</f>
        <v/>
      </c>
      <c r="AZ21" s="52">
        <f>IF(Assumptions!AZ$76=1,ExitGrossValue,0)</f>
        <v/>
      </c>
      <c r="BA21" s="52">
        <f>IF(Assumptions!BA$76=1,ExitGrossValue,0)</f>
        <v/>
      </c>
      <c r="BB21" s="52">
        <f>IF(Assumptions!BB$76=1,ExitGrossValue,0)</f>
        <v/>
      </c>
      <c r="BC21" s="52">
        <f>IF(Assumptions!BC$76=1,ExitGrossValue,0)</f>
        <v/>
      </c>
      <c r="BD21" s="52">
        <f>IF(Assumptions!BD$76=1,ExitGrossValue,0)</f>
        <v/>
      </c>
      <c r="BE21" s="52">
        <f>IF(Assumptions!BE$76=1,ExitGrossValue,0)</f>
        <v/>
      </c>
      <c r="BF21" s="52">
        <f>IF(Assumptions!BF$76=1,ExitGrossValue,0)</f>
        <v/>
      </c>
      <c r="BG21" s="52">
        <f>IF(Assumptions!BG$76=1,ExitGrossValue,0)</f>
        <v/>
      </c>
      <c r="BH21" s="52">
        <f>IF(Assumptions!BH$76=1,ExitGrossValue,0)</f>
        <v/>
      </c>
      <c r="BI21" s="52">
        <f>IF(Assumptions!BI$76=1,ExitGrossValue,0)</f>
        <v/>
      </c>
      <c r="BJ21" s="52">
        <f>IF(Assumptions!BJ$76=1,ExitGrossValue,0)</f>
        <v/>
      </c>
      <c r="BK21" s="52">
        <f>IF(Assumptions!BK$76=1,ExitGrossValue,0)</f>
        <v/>
      </c>
      <c r="BL21" s="52">
        <f>IF(Assumptions!BL$76=1,ExitGrossValue,0)</f>
        <v/>
      </c>
      <c r="BM21" s="52">
        <f>IF(Assumptions!BM$76=1,ExitGrossValue,0)</f>
        <v/>
      </c>
      <c r="BN21" s="52">
        <f>IF(Assumptions!BN$76=1,ExitGrossValue,0)</f>
        <v/>
      </c>
      <c r="BO21" s="52">
        <f>IF(Assumptions!BO$76=1,ExitGrossValue,0)</f>
        <v/>
      </c>
      <c r="BP21" s="52">
        <f>IF(Assumptions!BP$76=1,ExitGrossValue,0)</f>
        <v/>
      </c>
      <c r="BQ21" s="52">
        <f>IF(Assumptions!BQ$76=1,ExitGrossValue,0)</f>
        <v/>
      </c>
      <c r="BR21" s="52">
        <f>IF(Assumptions!BR$76=1,ExitGrossValue,0)</f>
        <v/>
      </c>
      <c r="BS21" s="52">
        <f>IF(Assumptions!BS$76=1,ExitGrossValue,0)</f>
        <v/>
      </c>
      <c r="BT21" s="52">
        <f>IF(Assumptions!BT$76=1,ExitGrossValue,0)</f>
        <v/>
      </c>
      <c r="BU21" s="52">
        <f>IF(Assumptions!BU$76=1,ExitGrossValue,0)</f>
        <v/>
      </c>
      <c r="BV21" s="52">
        <f>IF(Assumptions!BV$76=1,ExitGrossValue,0)</f>
        <v/>
      </c>
      <c r="BW21" s="52">
        <f>IF(Assumptions!BW$76=1,ExitGrossValue,0)</f>
        <v/>
      </c>
      <c r="BX21" s="52">
        <f>IF(Assumptions!BX$76=1,ExitGrossValue,0)</f>
        <v/>
      </c>
      <c r="BY21" s="52">
        <f>IF(Assumptions!BY$76=1,ExitGrossValue,0)</f>
        <v/>
      </c>
      <c r="BZ21" s="52">
        <f>IF(Assumptions!BZ$76=1,ExitGrossValue,0)</f>
        <v/>
      </c>
      <c r="CA21" s="52">
        <f>IF(Assumptions!CA$76=1,ExitGrossValue,0)</f>
        <v/>
      </c>
      <c r="CB21" s="52">
        <f>IF(Assumptions!CB$76=1,ExitGrossValue,0)</f>
        <v/>
      </c>
      <c r="CC21" s="52">
        <f>IF(Assumptions!CC$76=1,ExitGrossValue,0)</f>
        <v/>
      </c>
      <c r="CD21" s="52">
        <f>IF(Assumptions!CD$76=1,ExitGrossValue,0)</f>
        <v/>
      </c>
      <c r="CE21" s="52">
        <f>IF(Assumptions!CE$76=1,ExitGrossValue,0)</f>
        <v/>
      </c>
      <c r="CF21" s="52">
        <f>IF(Assumptions!CF$76=1,ExitGrossValue,0)</f>
        <v/>
      </c>
      <c r="CG21" s="52">
        <f>IF(Assumptions!CG$76=1,ExitGrossValue,0)</f>
        <v/>
      </c>
      <c r="CH21" s="52">
        <f>IF(Assumptions!CH$76=1,ExitGrossValue,0)</f>
        <v/>
      </c>
      <c r="CI21" s="52">
        <f>IF(Assumptions!CI$76=1,ExitGrossValue,0)</f>
        <v/>
      </c>
      <c r="CJ21" s="52">
        <f>IF(Assumptions!CJ$76=1,ExitGrossValue,0)</f>
        <v/>
      </c>
      <c r="CK21" s="52">
        <f>IF(Assumptions!CK$76=1,ExitGrossValue,0)</f>
        <v/>
      </c>
      <c r="CL21" s="52">
        <f>IF(Assumptions!CL$76=1,ExitGrossValue,0)</f>
        <v/>
      </c>
      <c r="CM21" s="52">
        <f>IF(Assumptions!CM$76=1,ExitGrossValue,0)</f>
        <v/>
      </c>
      <c r="CN21" s="52">
        <f>IF(Assumptions!CN$76=1,ExitGrossValue,0)</f>
        <v/>
      </c>
      <c r="CO21" s="52">
        <f>IF(Assumptions!CO$76=1,ExitGrossValue,0)</f>
        <v/>
      </c>
      <c r="CP21" s="52">
        <f>IF(Assumptions!CP$76=1,ExitGrossValue,0)</f>
        <v/>
      </c>
      <c r="CQ21" s="52">
        <f>IF(Assumptions!CQ$76=1,ExitGrossValue,0)</f>
        <v/>
      </c>
      <c r="CR21" s="52">
        <f>IF(Assumptions!CR$76=1,ExitGrossValue,0)</f>
        <v/>
      </c>
      <c r="CS21" s="52">
        <f>IF(Assumptions!CS$76=1,ExitGrossValue,0)</f>
        <v/>
      </c>
      <c r="CT21" s="52">
        <f>IF(Assumptions!CT$76=1,ExitGrossValue,0)</f>
        <v/>
      </c>
      <c r="CU21" s="52">
        <f>IF(Assumptions!CU$76=1,ExitGrossValue,0)</f>
        <v/>
      </c>
      <c r="CV21" s="52">
        <f>IF(Assumptions!CV$76=1,ExitGrossValue,0)</f>
        <v/>
      </c>
      <c r="CW21" s="52">
        <f>IF(Assumptions!CW$76=1,ExitGrossValue,0)</f>
        <v/>
      </c>
      <c r="CX21" s="52">
        <f>IF(Assumptions!CX$76=1,ExitGrossValue,0)</f>
        <v/>
      </c>
      <c r="CY21" s="52">
        <f>IF(Assumptions!CY$76=1,ExitGrossValue,0)</f>
        <v/>
      </c>
      <c r="CZ21" s="52">
        <f>IF(Assumptions!CZ$76=1,ExitGrossValue,0)</f>
        <v/>
      </c>
      <c r="DA21" s="52">
        <f>IF(Assumptions!DA$76=1,ExitGrossValue,0)</f>
        <v/>
      </c>
      <c r="DB21" s="52">
        <f>IF(Assumptions!DB$76=1,ExitGrossValue,0)</f>
        <v/>
      </c>
      <c r="DC21" s="52">
        <f>IF(Assumptions!DC$76=1,ExitGrossValue,0)</f>
        <v/>
      </c>
      <c r="DD21" s="52">
        <f>IF(Assumptions!DD$76=1,ExitGrossValue,0)</f>
        <v/>
      </c>
      <c r="DE21" s="52">
        <f>IF(Assumptions!DE$76=1,ExitGrossValue,0)</f>
        <v/>
      </c>
      <c r="DF21" s="52">
        <f>IF(Assumptions!DF$76=1,ExitGrossValue,0)</f>
        <v/>
      </c>
      <c r="DG21" s="52">
        <f>IF(Assumptions!DG$76=1,ExitGrossValue,0)</f>
        <v/>
      </c>
      <c r="DH21" s="52">
        <f>IF(Assumptions!DH$76=1,ExitGrossValue,0)</f>
        <v/>
      </c>
      <c r="DI21" s="52">
        <f>IF(Assumptions!DI$76=1,ExitGrossValue,0)</f>
        <v/>
      </c>
      <c r="DJ21" s="52">
        <f>IF(Assumptions!DJ$76=1,ExitGrossValue,0)</f>
        <v/>
      </c>
      <c r="DK21" s="52">
        <f>IF(Assumptions!DK$76=1,ExitGrossValue,0)</f>
        <v/>
      </c>
      <c r="DL21" s="52">
        <f>IF(Assumptions!DL$76=1,ExitGrossValue,0)</f>
        <v/>
      </c>
      <c r="DM21" s="52">
        <f>IF(Assumptions!DM$76=1,ExitGrossValue,0)</f>
        <v/>
      </c>
      <c r="DN21" s="52">
        <f>IF(Assumptions!DN$76=1,ExitGrossValue,0)</f>
        <v/>
      </c>
      <c r="DO21" s="52">
        <f>IF(Assumptions!DO$76=1,ExitGrossValue,0)</f>
        <v/>
      </c>
      <c r="DP21" s="52">
        <f>IF(Assumptions!DP$76=1,ExitGrossValue,0)</f>
        <v/>
      </c>
      <c r="DQ21" s="52">
        <f>IF(Assumptions!DQ$76=1,ExitGrossValue,0)</f>
        <v/>
      </c>
      <c r="DR21" s="52">
        <f>IF(Assumptions!DR$76=1,ExitGrossValue,0)</f>
        <v/>
      </c>
      <c r="DS21" s="52">
        <f>IF(Assumptions!DS$76=1,ExitGrossValue,0)</f>
        <v/>
      </c>
      <c r="DT21" s="52">
        <f>IF(Assumptions!DT$76=1,ExitGrossValue,0)</f>
        <v/>
      </c>
    </row>
    <row r="22">
      <c r="A22" s="10" t="inlineStr">
        <is>
          <t>Disposition costs ($)</t>
        </is>
      </c>
      <c r="E22" s="52">
        <f>IF(Assumptions!E$76=1,-ExitGrossValue*DispCostPct,0)</f>
        <v/>
      </c>
      <c r="F22" s="52">
        <f>IF(Assumptions!F$76=1,-ExitGrossValue*DispCostPct,0)</f>
        <v/>
      </c>
      <c r="G22" s="52">
        <f>IF(Assumptions!G$76=1,-ExitGrossValue*DispCostPct,0)</f>
        <v/>
      </c>
      <c r="H22" s="52">
        <f>IF(Assumptions!H$76=1,-ExitGrossValue*DispCostPct,0)</f>
        <v/>
      </c>
      <c r="I22" s="52">
        <f>IF(Assumptions!I$76=1,-ExitGrossValue*DispCostPct,0)</f>
        <v/>
      </c>
      <c r="J22" s="52">
        <f>IF(Assumptions!J$76=1,-ExitGrossValue*DispCostPct,0)</f>
        <v/>
      </c>
      <c r="K22" s="52">
        <f>IF(Assumptions!K$76=1,-ExitGrossValue*DispCostPct,0)</f>
        <v/>
      </c>
      <c r="L22" s="52">
        <f>IF(Assumptions!L$76=1,-ExitGrossValue*DispCostPct,0)</f>
        <v/>
      </c>
      <c r="M22" s="52">
        <f>IF(Assumptions!M$76=1,-ExitGrossValue*DispCostPct,0)</f>
        <v/>
      </c>
      <c r="N22" s="52">
        <f>IF(Assumptions!N$76=1,-ExitGrossValue*DispCostPct,0)</f>
        <v/>
      </c>
      <c r="O22" s="52">
        <f>IF(Assumptions!O$76=1,-ExitGrossValue*DispCostPct,0)</f>
        <v/>
      </c>
      <c r="P22" s="52">
        <f>IF(Assumptions!P$76=1,-ExitGrossValue*DispCostPct,0)</f>
        <v/>
      </c>
      <c r="Q22" s="52">
        <f>IF(Assumptions!Q$76=1,-ExitGrossValue*DispCostPct,0)</f>
        <v/>
      </c>
      <c r="R22" s="52">
        <f>IF(Assumptions!R$76=1,-ExitGrossValue*DispCostPct,0)</f>
        <v/>
      </c>
      <c r="S22" s="52">
        <f>IF(Assumptions!S$76=1,-ExitGrossValue*DispCostPct,0)</f>
        <v/>
      </c>
      <c r="T22" s="52">
        <f>IF(Assumptions!T$76=1,-ExitGrossValue*DispCostPct,0)</f>
        <v/>
      </c>
      <c r="U22" s="52">
        <f>IF(Assumptions!U$76=1,-ExitGrossValue*DispCostPct,0)</f>
        <v/>
      </c>
      <c r="V22" s="52">
        <f>IF(Assumptions!V$76=1,-ExitGrossValue*DispCostPct,0)</f>
        <v/>
      </c>
      <c r="W22" s="52">
        <f>IF(Assumptions!W$76=1,-ExitGrossValue*DispCostPct,0)</f>
        <v/>
      </c>
      <c r="X22" s="52">
        <f>IF(Assumptions!X$76=1,-ExitGrossValue*DispCostPct,0)</f>
        <v/>
      </c>
      <c r="Y22" s="52">
        <f>IF(Assumptions!Y$76=1,-ExitGrossValue*DispCostPct,0)</f>
        <v/>
      </c>
      <c r="Z22" s="52">
        <f>IF(Assumptions!Z$76=1,-ExitGrossValue*DispCostPct,0)</f>
        <v/>
      </c>
      <c r="AA22" s="52">
        <f>IF(Assumptions!AA$76=1,-ExitGrossValue*DispCostPct,0)</f>
        <v/>
      </c>
      <c r="AB22" s="52">
        <f>IF(Assumptions!AB$76=1,-ExitGrossValue*DispCostPct,0)</f>
        <v/>
      </c>
      <c r="AC22" s="52">
        <f>IF(Assumptions!AC$76=1,-ExitGrossValue*DispCostPct,0)</f>
        <v/>
      </c>
      <c r="AD22" s="52">
        <f>IF(Assumptions!AD$76=1,-ExitGrossValue*DispCostPct,0)</f>
        <v/>
      </c>
      <c r="AE22" s="52">
        <f>IF(Assumptions!AE$76=1,-ExitGrossValue*DispCostPct,0)</f>
        <v/>
      </c>
      <c r="AF22" s="52">
        <f>IF(Assumptions!AF$76=1,-ExitGrossValue*DispCostPct,0)</f>
        <v/>
      </c>
      <c r="AG22" s="52">
        <f>IF(Assumptions!AG$76=1,-ExitGrossValue*DispCostPct,0)</f>
        <v/>
      </c>
      <c r="AH22" s="52">
        <f>IF(Assumptions!AH$76=1,-ExitGrossValue*DispCostPct,0)</f>
        <v/>
      </c>
      <c r="AI22" s="52">
        <f>IF(Assumptions!AI$76=1,-ExitGrossValue*DispCostPct,0)</f>
        <v/>
      </c>
      <c r="AJ22" s="52">
        <f>IF(Assumptions!AJ$76=1,-ExitGrossValue*DispCostPct,0)</f>
        <v/>
      </c>
      <c r="AK22" s="52">
        <f>IF(Assumptions!AK$76=1,-ExitGrossValue*DispCostPct,0)</f>
        <v/>
      </c>
      <c r="AL22" s="52">
        <f>IF(Assumptions!AL$76=1,-ExitGrossValue*DispCostPct,0)</f>
        <v/>
      </c>
      <c r="AM22" s="52">
        <f>IF(Assumptions!AM$76=1,-ExitGrossValue*DispCostPct,0)</f>
        <v/>
      </c>
      <c r="AN22" s="52">
        <f>IF(Assumptions!AN$76=1,-ExitGrossValue*DispCostPct,0)</f>
        <v/>
      </c>
      <c r="AO22" s="52">
        <f>IF(Assumptions!AO$76=1,-ExitGrossValue*DispCostPct,0)</f>
        <v/>
      </c>
      <c r="AP22" s="52">
        <f>IF(Assumptions!AP$76=1,-ExitGrossValue*DispCostPct,0)</f>
        <v/>
      </c>
      <c r="AQ22" s="52">
        <f>IF(Assumptions!AQ$76=1,-ExitGrossValue*DispCostPct,0)</f>
        <v/>
      </c>
      <c r="AR22" s="52">
        <f>IF(Assumptions!AR$76=1,-ExitGrossValue*DispCostPct,0)</f>
        <v/>
      </c>
      <c r="AS22" s="52">
        <f>IF(Assumptions!AS$76=1,-ExitGrossValue*DispCostPct,0)</f>
        <v/>
      </c>
      <c r="AT22" s="52">
        <f>IF(Assumptions!AT$76=1,-ExitGrossValue*DispCostPct,0)</f>
        <v/>
      </c>
      <c r="AU22" s="52">
        <f>IF(Assumptions!AU$76=1,-ExitGrossValue*DispCostPct,0)</f>
        <v/>
      </c>
      <c r="AV22" s="52">
        <f>IF(Assumptions!AV$76=1,-ExitGrossValue*DispCostPct,0)</f>
        <v/>
      </c>
      <c r="AW22" s="52">
        <f>IF(Assumptions!AW$76=1,-ExitGrossValue*DispCostPct,0)</f>
        <v/>
      </c>
      <c r="AX22" s="52">
        <f>IF(Assumptions!AX$76=1,-ExitGrossValue*DispCostPct,0)</f>
        <v/>
      </c>
      <c r="AY22" s="52">
        <f>IF(Assumptions!AY$76=1,-ExitGrossValue*DispCostPct,0)</f>
        <v/>
      </c>
      <c r="AZ22" s="52">
        <f>IF(Assumptions!AZ$76=1,-ExitGrossValue*DispCostPct,0)</f>
        <v/>
      </c>
      <c r="BA22" s="52">
        <f>IF(Assumptions!BA$76=1,-ExitGrossValue*DispCostPct,0)</f>
        <v/>
      </c>
      <c r="BB22" s="52">
        <f>IF(Assumptions!BB$76=1,-ExitGrossValue*DispCostPct,0)</f>
        <v/>
      </c>
      <c r="BC22" s="52">
        <f>IF(Assumptions!BC$76=1,-ExitGrossValue*DispCostPct,0)</f>
        <v/>
      </c>
      <c r="BD22" s="52">
        <f>IF(Assumptions!BD$76=1,-ExitGrossValue*DispCostPct,0)</f>
        <v/>
      </c>
      <c r="BE22" s="52">
        <f>IF(Assumptions!BE$76=1,-ExitGrossValue*DispCostPct,0)</f>
        <v/>
      </c>
      <c r="BF22" s="52">
        <f>IF(Assumptions!BF$76=1,-ExitGrossValue*DispCostPct,0)</f>
        <v/>
      </c>
      <c r="BG22" s="52">
        <f>IF(Assumptions!BG$76=1,-ExitGrossValue*DispCostPct,0)</f>
        <v/>
      </c>
      <c r="BH22" s="52">
        <f>IF(Assumptions!BH$76=1,-ExitGrossValue*DispCostPct,0)</f>
        <v/>
      </c>
      <c r="BI22" s="52">
        <f>IF(Assumptions!BI$76=1,-ExitGrossValue*DispCostPct,0)</f>
        <v/>
      </c>
      <c r="BJ22" s="52">
        <f>IF(Assumptions!BJ$76=1,-ExitGrossValue*DispCostPct,0)</f>
        <v/>
      </c>
      <c r="BK22" s="52">
        <f>IF(Assumptions!BK$76=1,-ExitGrossValue*DispCostPct,0)</f>
        <v/>
      </c>
      <c r="BL22" s="52">
        <f>IF(Assumptions!BL$76=1,-ExitGrossValue*DispCostPct,0)</f>
        <v/>
      </c>
      <c r="BM22" s="52">
        <f>IF(Assumptions!BM$76=1,-ExitGrossValue*DispCostPct,0)</f>
        <v/>
      </c>
      <c r="BN22" s="52">
        <f>IF(Assumptions!BN$76=1,-ExitGrossValue*DispCostPct,0)</f>
        <v/>
      </c>
      <c r="BO22" s="52">
        <f>IF(Assumptions!BO$76=1,-ExitGrossValue*DispCostPct,0)</f>
        <v/>
      </c>
      <c r="BP22" s="52">
        <f>IF(Assumptions!BP$76=1,-ExitGrossValue*DispCostPct,0)</f>
        <v/>
      </c>
      <c r="BQ22" s="52">
        <f>IF(Assumptions!BQ$76=1,-ExitGrossValue*DispCostPct,0)</f>
        <v/>
      </c>
      <c r="BR22" s="52">
        <f>IF(Assumptions!BR$76=1,-ExitGrossValue*DispCostPct,0)</f>
        <v/>
      </c>
      <c r="BS22" s="52">
        <f>IF(Assumptions!BS$76=1,-ExitGrossValue*DispCostPct,0)</f>
        <v/>
      </c>
      <c r="BT22" s="52">
        <f>IF(Assumptions!BT$76=1,-ExitGrossValue*DispCostPct,0)</f>
        <v/>
      </c>
      <c r="BU22" s="52">
        <f>IF(Assumptions!BU$76=1,-ExitGrossValue*DispCostPct,0)</f>
        <v/>
      </c>
      <c r="BV22" s="52">
        <f>IF(Assumptions!BV$76=1,-ExitGrossValue*DispCostPct,0)</f>
        <v/>
      </c>
      <c r="BW22" s="52">
        <f>IF(Assumptions!BW$76=1,-ExitGrossValue*DispCostPct,0)</f>
        <v/>
      </c>
      <c r="BX22" s="52">
        <f>IF(Assumptions!BX$76=1,-ExitGrossValue*DispCostPct,0)</f>
        <v/>
      </c>
      <c r="BY22" s="52">
        <f>IF(Assumptions!BY$76=1,-ExitGrossValue*DispCostPct,0)</f>
        <v/>
      </c>
      <c r="BZ22" s="52">
        <f>IF(Assumptions!BZ$76=1,-ExitGrossValue*DispCostPct,0)</f>
        <v/>
      </c>
      <c r="CA22" s="52">
        <f>IF(Assumptions!CA$76=1,-ExitGrossValue*DispCostPct,0)</f>
        <v/>
      </c>
      <c r="CB22" s="52">
        <f>IF(Assumptions!CB$76=1,-ExitGrossValue*DispCostPct,0)</f>
        <v/>
      </c>
      <c r="CC22" s="52">
        <f>IF(Assumptions!CC$76=1,-ExitGrossValue*DispCostPct,0)</f>
        <v/>
      </c>
      <c r="CD22" s="52">
        <f>IF(Assumptions!CD$76=1,-ExitGrossValue*DispCostPct,0)</f>
        <v/>
      </c>
      <c r="CE22" s="52">
        <f>IF(Assumptions!CE$76=1,-ExitGrossValue*DispCostPct,0)</f>
        <v/>
      </c>
      <c r="CF22" s="52">
        <f>IF(Assumptions!CF$76=1,-ExitGrossValue*DispCostPct,0)</f>
        <v/>
      </c>
      <c r="CG22" s="52">
        <f>IF(Assumptions!CG$76=1,-ExitGrossValue*DispCostPct,0)</f>
        <v/>
      </c>
      <c r="CH22" s="52">
        <f>IF(Assumptions!CH$76=1,-ExitGrossValue*DispCostPct,0)</f>
        <v/>
      </c>
      <c r="CI22" s="52">
        <f>IF(Assumptions!CI$76=1,-ExitGrossValue*DispCostPct,0)</f>
        <v/>
      </c>
      <c r="CJ22" s="52">
        <f>IF(Assumptions!CJ$76=1,-ExitGrossValue*DispCostPct,0)</f>
        <v/>
      </c>
      <c r="CK22" s="52">
        <f>IF(Assumptions!CK$76=1,-ExitGrossValue*DispCostPct,0)</f>
        <v/>
      </c>
      <c r="CL22" s="52">
        <f>IF(Assumptions!CL$76=1,-ExitGrossValue*DispCostPct,0)</f>
        <v/>
      </c>
      <c r="CM22" s="52">
        <f>IF(Assumptions!CM$76=1,-ExitGrossValue*DispCostPct,0)</f>
        <v/>
      </c>
      <c r="CN22" s="52">
        <f>IF(Assumptions!CN$76=1,-ExitGrossValue*DispCostPct,0)</f>
        <v/>
      </c>
      <c r="CO22" s="52">
        <f>IF(Assumptions!CO$76=1,-ExitGrossValue*DispCostPct,0)</f>
        <v/>
      </c>
      <c r="CP22" s="52">
        <f>IF(Assumptions!CP$76=1,-ExitGrossValue*DispCostPct,0)</f>
        <v/>
      </c>
      <c r="CQ22" s="52">
        <f>IF(Assumptions!CQ$76=1,-ExitGrossValue*DispCostPct,0)</f>
        <v/>
      </c>
      <c r="CR22" s="52">
        <f>IF(Assumptions!CR$76=1,-ExitGrossValue*DispCostPct,0)</f>
        <v/>
      </c>
      <c r="CS22" s="52">
        <f>IF(Assumptions!CS$76=1,-ExitGrossValue*DispCostPct,0)</f>
        <v/>
      </c>
      <c r="CT22" s="52">
        <f>IF(Assumptions!CT$76=1,-ExitGrossValue*DispCostPct,0)</f>
        <v/>
      </c>
      <c r="CU22" s="52">
        <f>IF(Assumptions!CU$76=1,-ExitGrossValue*DispCostPct,0)</f>
        <v/>
      </c>
      <c r="CV22" s="52">
        <f>IF(Assumptions!CV$76=1,-ExitGrossValue*DispCostPct,0)</f>
        <v/>
      </c>
      <c r="CW22" s="52">
        <f>IF(Assumptions!CW$76=1,-ExitGrossValue*DispCostPct,0)</f>
        <v/>
      </c>
      <c r="CX22" s="52">
        <f>IF(Assumptions!CX$76=1,-ExitGrossValue*DispCostPct,0)</f>
        <v/>
      </c>
      <c r="CY22" s="52">
        <f>IF(Assumptions!CY$76=1,-ExitGrossValue*DispCostPct,0)</f>
        <v/>
      </c>
      <c r="CZ22" s="52">
        <f>IF(Assumptions!CZ$76=1,-ExitGrossValue*DispCostPct,0)</f>
        <v/>
      </c>
      <c r="DA22" s="52">
        <f>IF(Assumptions!DA$76=1,-ExitGrossValue*DispCostPct,0)</f>
        <v/>
      </c>
      <c r="DB22" s="52">
        <f>IF(Assumptions!DB$76=1,-ExitGrossValue*DispCostPct,0)</f>
        <v/>
      </c>
      <c r="DC22" s="52">
        <f>IF(Assumptions!DC$76=1,-ExitGrossValue*DispCostPct,0)</f>
        <v/>
      </c>
      <c r="DD22" s="52">
        <f>IF(Assumptions!DD$76=1,-ExitGrossValue*DispCostPct,0)</f>
        <v/>
      </c>
      <c r="DE22" s="52">
        <f>IF(Assumptions!DE$76=1,-ExitGrossValue*DispCostPct,0)</f>
        <v/>
      </c>
      <c r="DF22" s="52">
        <f>IF(Assumptions!DF$76=1,-ExitGrossValue*DispCostPct,0)</f>
        <v/>
      </c>
      <c r="DG22" s="52">
        <f>IF(Assumptions!DG$76=1,-ExitGrossValue*DispCostPct,0)</f>
        <v/>
      </c>
      <c r="DH22" s="52">
        <f>IF(Assumptions!DH$76=1,-ExitGrossValue*DispCostPct,0)</f>
        <v/>
      </c>
      <c r="DI22" s="52">
        <f>IF(Assumptions!DI$76=1,-ExitGrossValue*DispCostPct,0)</f>
        <v/>
      </c>
      <c r="DJ22" s="52">
        <f>IF(Assumptions!DJ$76=1,-ExitGrossValue*DispCostPct,0)</f>
        <v/>
      </c>
      <c r="DK22" s="52">
        <f>IF(Assumptions!DK$76=1,-ExitGrossValue*DispCostPct,0)</f>
        <v/>
      </c>
      <c r="DL22" s="52">
        <f>IF(Assumptions!DL$76=1,-ExitGrossValue*DispCostPct,0)</f>
        <v/>
      </c>
      <c r="DM22" s="52">
        <f>IF(Assumptions!DM$76=1,-ExitGrossValue*DispCostPct,0)</f>
        <v/>
      </c>
      <c r="DN22" s="52">
        <f>IF(Assumptions!DN$76=1,-ExitGrossValue*DispCostPct,0)</f>
        <v/>
      </c>
      <c r="DO22" s="52">
        <f>IF(Assumptions!DO$76=1,-ExitGrossValue*DispCostPct,0)</f>
        <v/>
      </c>
      <c r="DP22" s="52">
        <f>IF(Assumptions!DP$76=1,-ExitGrossValue*DispCostPct,0)</f>
        <v/>
      </c>
      <c r="DQ22" s="52">
        <f>IF(Assumptions!DQ$76=1,-ExitGrossValue*DispCostPct,0)</f>
        <v/>
      </c>
      <c r="DR22" s="52">
        <f>IF(Assumptions!DR$76=1,-ExitGrossValue*DispCostPct,0)</f>
        <v/>
      </c>
      <c r="DS22" s="52">
        <f>IF(Assumptions!DS$76=1,-ExitGrossValue*DispCostPct,0)</f>
        <v/>
      </c>
      <c r="DT22" s="52">
        <f>IF(Assumptions!DT$76=1,-ExitGrossValue*DispCostPct,0)</f>
        <v/>
      </c>
    </row>
    <row r="23">
      <c r="A23" s="10" t="inlineStr">
        <is>
          <t>Loan payoff at exit ($)</t>
        </is>
      </c>
      <c r="E23" s="52">
        <f>IF(Assumptions!E$76=1,-Debt!E$125,0)</f>
        <v/>
      </c>
      <c r="F23" s="52">
        <f>IF(Assumptions!F$76=1,-Debt!F$125,0)</f>
        <v/>
      </c>
      <c r="G23" s="52">
        <f>IF(Assumptions!G$76=1,-Debt!G$125,0)</f>
        <v/>
      </c>
      <c r="H23" s="52">
        <f>IF(Assumptions!H$76=1,-Debt!H$125,0)</f>
        <v/>
      </c>
      <c r="I23" s="52">
        <f>IF(Assumptions!I$76=1,-Debt!I$125,0)</f>
        <v/>
      </c>
      <c r="J23" s="52">
        <f>IF(Assumptions!J$76=1,-Debt!J$125,0)</f>
        <v/>
      </c>
      <c r="K23" s="52">
        <f>IF(Assumptions!K$76=1,-Debt!K$125,0)</f>
        <v/>
      </c>
      <c r="L23" s="52">
        <f>IF(Assumptions!L$76=1,-Debt!L$125,0)</f>
        <v/>
      </c>
      <c r="M23" s="52">
        <f>IF(Assumptions!M$76=1,-Debt!M$125,0)</f>
        <v/>
      </c>
      <c r="N23" s="52">
        <f>IF(Assumptions!N$76=1,-Debt!N$125,0)</f>
        <v/>
      </c>
      <c r="O23" s="52">
        <f>IF(Assumptions!O$76=1,-Debt!O$125,0)</f>
        <v/>
      </c>
      <c r="P23" s="52">
        <f>IF(Assumptions!P$76=1,-Debt!P$125,0)</f>
        <v/>
      </c>
      <c r="Q23" s="52">
        <f>IF(Assumptions!Q$76=1,-Debt!Q$125,0)</f>
        <v/>
      </c>
      <c r="R23" s="52">
        <f>IF(Assumptions!R$76=1,-Debt!R$125,0)</f>
        <v/>
      </c>
      <c r="S23" s="52">
        <f>IF(Assumptions!S$76=1,-Debt!S$125,0)</f>
        <v/>
      </c>
      <c r="T23" s="52">
        <f>IF(Assumptions!T$76=1,-Debt!T$125,0)</f>
        <v/>
      </c>
      <c r="U23" s="52">
        <f>IF(Assumptions!U$76=1,-Debt!U$125,0)</f>
        <v/>
      </c>
      <c r="V23" s="52">
        <f>IF(Assumptions!V$76=1,-Debt!V$125,0)</f>
        <v/>
      </c>
      <c r="W23" s="52">
        <f>IF(Assumptions!W$76=1,-Debt!W$125,0)</f>
        <v/>
      </c>
      <c r="X23" s="52">
        <f>IF(Assumptions!X$76=1,-Debt!X$125,0)</f>
        <v/>
      </c>
      <c r="Y23" s="52">
        <f>IF(Assumptions!Y$76=1,-Debt!Y$125,0)</f>
        <v/>
      </c>
      <c r="Z23" s="52">
        <f>IF(Assumptions!Z$76=1,-Debt!Z$125,0)</f>
        <v/>
      </c>
      <c r="AA23" s="52">
        <f>IF(Assumptions!AA$76=1,-Debt!AA$125,0)</f>
        <v/>
      </c>
      <c r="AB23" s="52">
        <f>IF(Assumptions!AB$76=1,-Debt!AB$125,0)</f>
        <v/>
      </c>
      <c r="AC23" s="52">
        <f>IF(Assumptions!AC$76=1,-Debt!AC$125,0)</f>
        <v/>
      </c>
      <c r="AD23" s="52">
        <f>IF(Assumptions!AD$76=1,-Debt!AD$125,0)</f>
        <v/>
      </c>
      <c r="AE23" s="52">
        <f>IF(Assumptions!AE$76=1,-Debt!AE$125,0)</f>
        <v/>
      </c>
      <c r="AF23" s="52">
        <f>IF(Assumptions!AF$76=1,-Debt!AF$125,0)</f>
        <v/>
      </c>
      <c r="AG23" s="52">
        <f>IF(Assumptions!AG$76=1,-Debt!AG$125,0)</f>
        <v/>
      </c>
      <c r="AH23" s="52">
        <f>IF(Assumptions!AH$76=1,-Debt!AH$125,0)</f>
        <v/>
      </c>
      <c r="AI23" s="52">
        <f>IF(Assumptions!AI$76=1,-Debt!AI$125,0)</f>
        <v/>
      </c>
      <c r="AJ23" s="52">
        <f>IF(Assumptions!AJ$76=1,-Debt!AJ$125,0)</f>
        <v/>
      </c>
      <c r="AK23" s="52">
        <f>IF(Assumptions!AK$76=1,-Debt!AK$125,0)</f>
        <v/>
      </c>
      <c r="AL23" s="52">
        <f>IF(Assumptions!AL$76=1,-Debt!AL$125,0)</f>
        <v/>
      </c>
      <c r="AM23" s="52">
        <f>IF(Assumptions!AM$76=1,-Debt!AM$125,0)</f>
        <v/>
      </c>
      <c r="AN23" s="52">
        <f>IF(Assumptions!AN$76=1,-Debt!AN$125,0)</f>
        <v/>
      </c>
      <c r="AO23" s="52">
        <f>IF(Assumptions!AO$76=1,-Debt!AO$125,0)</f>
        <v/>
      </c>
      <c r="AP23" s="52">
        <f>IF(Assumptions!AP$76=1,-Debt!AP$125,0)</f>
        <v/>
      </c>
      <c r="AQ23" s="52">
        <f>IF(Assumptions!AQ$76=1,-Debt!AQ$125,0)</f>
        <v/>
      </c>
      <c r="AR23" s="52">
        <f>IF(Assumptions!AR$76=1,-Debt!AR$125,0)</f>
        <v/>
      </c>
      <c r="AS23" s="52">
        <f>IF(Assumptions!AS$76=1,-Debt!AS$125,0)</f>
        <v/>
      </c>
      <c r="AT23" s="52">
        <f>IF(Assumptions!AT$76=1,-Debt!AT$125,0)</f>
        <v/>
      </c>
      <c r="AU23" s="52">
        <f>IF(Assumptions!AU$76=1,-Debt!AU$125,0)</f>
        <v/>
      </c>
      <c r="AV23" s="52">
        <f>IF(Assumptions!AV$76=1,-Debt!AV$125,0)</f>
        <v/>
      </c>
      <c r="AW23" s="52">
        <f>IF(Assumptions!AW$76=1,-Debt!AW$125,0)</f>
        <v/>
      </c>
      <c r="AX23" s="52">
        <f>IF(Assumptions!AX$76=1,-Debt!AX$125,0)</f>
        <v/>
      </c>
      <c r="AY23" s="52">
        <f>IF(Assumptions!AY$76=1,-Debt!AY$125,0)</f>
        <v/>
      </c>
      <c r="AZ23" s="52">
        <f>IF(Assumptions!AZ$76=1,-Debt!AZ$125,0)</f>
        <v/>
      </c>
      <c r="BA23" s="52">
        <f>IF(Assumptions!BA$76=1,-Debt!BA$125,0)</f>
        <v/>
      </c>
      <c r="BB23" s="52">
        <f>IF(Assumptions!BB$76=1,-Debt!BB$125,0)</f>
        <v/>
      </c>
      <c r="BC23" s="52">
        <f>IF(Assumptions!BC$76=1,-Debt!BC$125,0)</f>
        <v/>
      </c>
      <c r="BD23" s="52">
        <f>IF(Assumptions!BD$76=1,-Debt!BD$125,0)</f>
        <v/>
      </c>
      <c r="BE23" s="52">
        <f>IF(Assumptions!BE$76=1,-Debt!BE$125,0)</f>
        <v/>
      </c>
      <c r="BF23" s="52">
        <f>IF(Assumptions!BF$76=1,-Debt!BF$125,0)</f>
        <v/>
      </c>
      <c r="BG23" s="52">
        <f>IF(Assumptions!BG$76=1,-Debt!BG$125,0)</f>
        <v/>
      </c>
      <c r="BH23" s="52">
        <f>IF(Assumptions!BH$76=1,-Debt!BH$125,0)</f>
        <v/>
      </c>
      <c r="BI23" s="52">
        <f>IF(Assumptions!BI$76=1,-Debt!BI$125,0)</f>
        <v/>
      </c>
      <c r="BJ23" s="52">
        <f>IF(Assumptions!BJ$76=1,-Debt!BJ$125,0)</f>
        <v/>
      </c>
      <c r="BK23" s="52">
        <f>IF(Assumptions!BK$76=1,-Debt!BK$125,0)</f>
        <v/>
      </c>
      <c r="BL23" s="52">
        <f>IF(Assumptions!BL$76=1,-Debt!BL$125,0)</f>
        <v/>
      </c>
      <c r="BM23" s="52">
        <f>IF(Assumptions!BM$76=1,-Debt!BM$125,0)</f>
        <v/>
      </c>
      <c r="BN23" s="52">
        <f>IF(Assumptions!BN$76=1,-Debt!BN$125,0)</f>
        <v/>
      </c>
      <c r="BO23" s="52">
        <f>IF(Assumptions!BO$76=1,-Debt!BO$125,0)</f>
        <v/>
      </c>
      <c r="BP23" s="52">
        <f>IF(Assumptions!BP$76=1,-Debt!BP$125,0)</f>
        <v/>
      </c>
      <c r="BQ23" s="52">
        <f>IF(Assumptions!BQ$76=1,-Debt!BQ$125,0)</f>
        <v/>
      </c>
      <c r="BR23" s="52">
        <f>IF(Assumptions!BR$76=1,-Debt!BR$125,0)</f>
        <v/>
      </c>
      <c r="BS23" s="52">
        <f>IF(Assumptions!BS$76=1,-Debt!BS$125,0)</f>
        <v/>
      </c>
      <c r="BT23" s="52">
        <f>IF(Assumptions!BT$76=1,-Debt!BT$125,0)</f>
        <v/>
      </c>
      <c r="BU23" s="52">
        <f>IF(Assumptions!BU$76=1,-Debt!BU$125,0)</f>
        <v/>
      </c>
      <c r="BV23" s="52">
        <f>IF(Assumptions!BV$76=1,-Debt!BV$125,0)</f>
        <v/>
      </c>
      <c r="BW23" s="52">
        <f>IF(Assumptions!BW$76=1,-Debt!BW$125,0)</f>
        <v/>
      </c>
      <c r="BX23" s="52">
        <f>IF(Assumptions!BX$76=1,-Debt!BX$125,0)</f>
        <v/>
      </c>
      <c r="BY23" s="52">
        <f>IF(Assumptions!BY$76=1,-Debt!BY$125,0)</f>
        <v/>
      </c>
      <c r="BZ23" s="52">
        <f>IF(Assumptions!BZ$76=1,-Debt!BZ$125,0)</f>
        <v/>
      </c>
      <c r="CA23" s="52">
        <f>IF(Assumptions!CA$76=1,-Debt!CA$125,0)</f>
        <v/>
      </c>
      <c r="CB23" s="52">
        <f>IF(Assumptions!CB$76=1,-Debt!CB$125,0)</f>
        <v/>
      </c>
      <c r="CC23" s="52">
        <f>IF(Assumptions!CC$76=1,-Debt!CC$125,0)</f>
        <v/>
      </c>
      <c r="CD23" s="52">
        <f>IF(Assumptions!CD$76=1,-Debt!CD$125,0)</f>
        <v/>
      </c>
      <c r="CE23" s="52">
        <f>IF(Assumptions!CE$76=1,-Debt!CE$125,0)</f>
        <v/>
      </c>
      <c r="CF23" s="52">
        <f>IF(Assumptions!CF$76=1,-Debt!CF$125,0)</f>
        <v/>
      </c>
      <c r="CG23" s="52">
        <f>IF(Assumptions!CG$76=1,-Debt!CG$125,0)</f>
        <v/>
      </c>
      <c r="CH23" s="52">
        <f>IF(Assumptions!CH$76=1,-Debt!CH$125,0)</f>
        <v/>
      </c>
      <c r="CI23" s="52">
        <f>IF(Assumptions!CI$76=1,-Debt!CI$125,0)</f>
        <v/>
      </c>
      <c r="CJ23" s="52">
        <f>IF(Assumptions!CJ$76=1,-Debt!CJ$125,0)</f>
        <v/>
      </c>
      <c r="CK23" s="52">
        <f>IF(Assumptions!CK$76=1,-Debt!CK$125,0)</f>
        <v/>
      </c>
      <c r="CL23" s="52">
        <f>IF(Assumptions!CL$76=1,-Debt!CL$125,0)</f>
        <v/>
      </c>
      <c r="CM23" s="52">
        <f>IF(Assumptions!CM$76=1,-Debt!CM$125,0)</f>
        <v/>
      </c>
      <c r="CN23" s="52">
        <f>IF(Assumptions!CN$76=1,-Debt!CN$125,0)</f>
        <v/>
      </c>
      <c r="CO23" s="52">
        <f>IF(Assumptions!CO$76=1,-Debt!CO$125,0)</f>
        <v/>
      </c>
      <c r="CP23" s="52">
        <f>IF(Assumptions!CP$76=1,-Debt!CP$125,0)</f>
        <v/>
      </c>
      <c r="CQ23" s="52">
        <f>IF(Assumptions!CQ$76=1,-Debt!CQ$125,0)</f>
        <v/>
      </c>
      <c r="CR23" s="52">
        <f>IF(Assumptions!CR$76=1,-Debt!CR$125,0)</f>
        <v/>
      </c>
      <c r="CS23" s="52">
        <f>IF(Assumptions!CS$76=1,-Debt!CS$125,0)</f>
        <v/>
      </c>
      <c r="CT23" s="52">
        <f>IF(Assumptions!CT$76=1,-Debt!CT$125,0)</f>
        <v/>
      </c>
      <c r="CU23" s="52">
        <f>IF(Assumptions!CU$76=1,-Debt!CU$125,0)</f>
        <v/>
      </c>
      <c r="CV23" s="52">
        <f>IF(Assumptions!CV$76=1,-Debt!CV$125,0)</f>
        <v/>
      </c>
      <c r="CW23" s="52">
        <f>IF(Assumptions!CW$76=1,-Debt!CW$125,0)</f>
        <v/>
      </c>
      <c r="CX23" s="52">
        <f>IF(Assumptions!CX$76=1,-Debt!CX$125,0)</f>
        <v/>
      </c>
      <c r="CY23" s="52">
        <f>IF(Assumptions!CY$76=1,-Debt!CY$125,0)</f>
        <v/>
      </c>
      <c r="CZ23" s="52">
        <f>IF(Assumptions!CZ$76=1,-Debt!CZ$125,0)</f>
        <v/>
      </c>
      <c r="DA23" s="52">
        <f>IF(Assumptions!DA$76=1,-Debt!DA$125,0)</f>
        <v/>
      </c>
      <c r="DB23" s="52">
        <f>IF(Assumptions!DB$76=1,-Debt!DB$125,0)</f>
        <v/>
      </c>
      <c r="DC23" s="52">
        <f>IF(Assumptions!DC$76=1,-Debt!DC$125,0)</f>
        <v/>
      </c>
      <c r="DD23" s="52">
        <f>IF(Assumptions!DD$76=1,-Debt!DD$125,0)</f>
        <v/>
      </c>
      <c r="DE23" s="52">
        <f>IF(Assumptions!DE$76=1,-Debt!DE$125,0)</f>
        <v/>
      </c>
      <c r="DF23" s="52">
        <f>IF(Assumptions!DF$76=1,-Debt!DF$125,0)</f>
        <v/>
      </c>
      <c r="DG23" s="52">
        <f>IF(Assumptions!DG$76=1,-Debt!DG$125,0)</f>
        <v/>
      </c>
      <c r="DH23" s="52">
        <f>IF(Assumptions!DH$76=1,-Debt!DH$125,0)</f>
        <v/>
      </c>
      <c r="DI23" s="52">
        <f>IF(Assumptions!DI$76=1,-Debt!DI$125,0)</f>
        <v/>
      </c>
      <c r="DJ23" s="52">
        <f>IF(Assumptions!DJ$76=1,-Debt!DJ$125,0)</f>
        <v/>
      </c>
      <c r="DK23" s="52">
        <f>IF(Assumptions!DK$76=1,-Debt!DK$125,0)</f>
        <v/>
      </c>
      <c r="DL23" s="52">
        <f>IF(Assumptions!DL$76=1,-Debt!DL$125,0)</f>
        <v/>
      </c>
      <c r="DM23" s="52">
        <f>IF(Assumptions!DM$76=1,-Debt!DM$125,0)</f>
        <v/>
      </c>
      <c r="DN23" s="52">
        <f>IF(Assumptions!DN$76=1,-Debt!DN$125,0)</f>
        <v/>
      </c>
      <c r="DO23" s="52">
        <f>IF(Assumptions!DO$76=1,-Debt!DO$125,0)</f>
        <v/>
      </c>
      <c r="DP23" s="52">
        <f>IF(Assumptions!DP$76=1,-Debt!DP$125,0)</f>
        <v/>
      </c>
      <c r="DQ23" s="52">
        <f>IF(Assumptions!DQ$76=1,-Debt!DQ$125,0)</f>
        <v/>
      </c>
      <c r="DR23" s="52">
        <f>IF(Assumptions!DR$76=1,-Debt!DR$125,0)</f>
        <v/>
      </c>
      <c r="DS23" s="52">
        <f>IF(Assumptions!DS$76=1,-Debt!DS$125,0)</f>
        <v/>
      </c>
      <c r="DT23" s="52">
        <f>IF(Assumptions!DT$76=1,-Debt!DT$125,0)</f>
        <v/>
      </c>
    </row>
    <row r="24">
      <c r="A24" s="3" t="inlineStr">
        <is>
          <t>Levered cash flow ($/mo)</t>
        </is>
      </c>
      <c r="E24" s="62">
        <f>E$17+E$18+E$19+E$20+E$21+E$22+E$23</f>
        <v/>
      </c>
      <c r="F24" s="62">
        <f>F$17+F$18+F$19+F$20+F$21+F$22+F$23</f>
        <v/>
      </c>
      <c r="G24" s="62">
        <f>G$17+G$18+G$19+G$20+G$21+G$22+G$23</f>
        <v/>
      </c>
      <c r="H24" s="62">
        <f>H$17+H$18+H$19+H$20+H$21+H$22+H$23</f>
        <v/>
      </c>
      <c r="I24" s="62">
        <f>I$17+I$18+I$19+I$20+I$21+I$22+I$23</f>
        <v/>
      </c>
      <c r="J24" s="62">
        <f>J$17+J$18+J$19+J$20+J$21+J$22+J$23</f>
        <v/>
      </c>
      <c r="K24" s="62">
        <f>K$17+K$18+K$19+K$20+K$21+K$22+K$23</f>
        <v/>
      </c>
      <c r="L24" s="62">
        <f>L$17+L$18+L$19+L$20+L$21+L$22+L$23</f>
        <v/>
      </c>
      <c r="M24" s="62">
        <f>M$17+M$18+M$19+M$20+M$21+M$22+M$23</f>
        <v/>
      </c>
      <c r="N24" s="62">
        <f>N$17+N$18+N$19+N$20+N$21+N$22+N$23</f>
        <v/>
      </c>
      <c r="O24" s="62">
        <f>O$17+O$18+O$19+O$20+O$21+O$22+O$23</f>
        <v/>
      </c>
      <c r="P24" s="62">
        <f>P$17+P$18+P$19+P$20+P$21+P$22+P$23</f>
        <v/>
      </c>
      <c r="Q24" s="62">
        <f>Q$17+Q$18+Q$19+Q$20+Q$21+Q$22+Q$23</f>
        <v/>
      </c>
      <c r="R24" s="62">
        <f>R$17+R$18+R$19+R$20+R$21+R$22+R$23</f>
        <v/>
      </c>
      <c r="S24" s="62">
        <f>S$17+S$18+S$19+S$20+S$21+S$22+S$23</f>
        <v/>
      </c>
      <c r="T24" s="62">
        <f>T$17+T$18+T$19+T$20+T$21+T$22+T$23</f>
        <v/>
      </c>
      <c r="U24" s="62">
        <f>U$17+U$18+U$19+U$20+U$21+U$22+U$23</f>
        <v/>
      </c>
      <c r="V24" s="62">
        <f>V$17+V$18+V$19+V$20+V$21+V$22+V$23</f>
        <v/>
      </c>
      <c r="W24" s="62">
        <f>W$17+W$18+W$19+W$20+W$21+W$22+W$23</f>
        <v/>
      </c>
      <c r="X24" s="62">
        <f>X$17+X$18+X$19+X$20+X$21+X$22+X$23</f>
        <v/>
      </c>
      <c r="Y24" s="62">
        <f>Y$17+Y$18+Y$19+Y$20+Y$21+Y$22+Y$23</f>
        <v/>
      </c>
      <c r="Z24" s="62">
        <f>Z$17+Z$18+Z$19+Z$20+Z$21+Z$22+Z$23</f>
        <v/>
      </c>
      <c r="AA24" s="62">
        <f>AA$17+AA$18+AA$19+AA$20+AA$21+AA$22+AA$23</f>
        <v/>
      </c>
      <c r="AB24" s="62">
        <f>AB$17+AB$18+AB$19+AB$20+AB$21+AB$22+AB$23</f>
        <v/>
      </c>
      <c r="AC24" s="62">
        <f>AC$17+AC$18+AC$19+AC$20+AC$21+AC$22+AC$23</f>
        <v/>
      </c>
      <c r="AD24" s="62">
        <f>AD$17+AD$18+AD$19+AD$20+AD$21+AD$22+AD$23</f>
        <v/>
      </c>
      <c r="AE24" s="62">
        <f>AE$17+AE$18+AE$19+AE$20+AE$21+AE$22+AE$23</f>
        <v/>
      </c>
      <c r="AF24" s="62">
        <f>AF$17+AF$18+AF$19+AF$20+AF$21+AF$22+AF$23</f>
        <v/>
      </c>
      <c r="AG24" s="62">
        <f>AG$17+AG$18+AG$19+AG$20+AG$21+AG$22+AG$23</f>
        <v/>
      </c>
      <c r="AH24" s="62">
        <f>AH$17+AH$18+AH$19+AH$20+AH$21+AH$22+AH$23</f>
        <v/>
      </c>
      <c r="AI24" s="62">
        <f>AI$17+AI$18+AI$19+AI$20+AI$21+AI$22+AI$23</f>
        <v/>
      </c>
      <c r="AJ24" s="62">
        <f>AJ$17+AJ$18+AJ$19+AJ$20+AJ$21+AJ$22+AJ$23</f>
        <v/>
      </c>
      <c r="AK24" s="62">
        <f>AK$17+AK$18+AK$19+AK$20+AK$21+AK$22+AK$23</f>
        <v/>
      </c>
      <c r="AL24" s="62">
        <f>AL$17+AL$18+AL$19+AL$20+AL$21+AL$22+AL$23</f>
        <v/>
      </c>
      <c r="AM24" s="62">
        <f>AM$17+AM$18+AM$19+AM$20+AM$21+AM$22+AM$23</f>
        <v/>
      </c>
      <c r="AN24" s="62">
        <f>AN$17+AN$18+AN$19+AN$20+AN$21+AN$22+AN$23</f>
        <v/>
      </c>
      <c r="AO24" s="62">
        <f>AO$17+AO$18+AO$19+AO$20+AO$21+AO$22+AO$23</f>
        <v/>
      </c>
      <c r="AP24" s="62">
        <f>AP$17+AP$18+AP$19+AP$20+AP$21+AP$22+AP$23</f>
        <v/>
      </c>
      <c r="AQ24" s="62">
        <f>AQ$17+AQ$18+AQ$19+AQ$20+AQ$21+AQ$22+AQ$23</f>
        <v/>
      </c>
      <c r="AR24" s="62">
        <f>AR$17+AR$18+AR$19+AR$20+AR$21+AR$22+AR$23</f>
        <v/>
      </c>
      <c r="AS24" s="62">
        <f>AS$17+AS$18+AS$19+AS$20+AS$21+AS$22+AS$23</f>
        <v/>
      </c>
      <c r="AT24" s="62">
        <f>AT$17+AT$18+AT$19+AT$20+AT$21+AT$22+AT$23</f>
        <v/>
      </c>
      <c r="AU24" s="62">
        <f>AU$17+AU$18+AU$19+AU$20+AU$21+AU$22+AU$23</f>
        <v/>
      </c>
      <c r="AV24" s="62">
        <f>AV$17+AV$18+AV$19+AV$20+AV$21+AV$22+AV$23</f>
        <v/>
      </c>
      <c r="AW24" s="62">
        <f>AW$17+AW$18+AW$19+AW$20+AW$21+AW$22+AW$23</f>
        <v/>
      </c>
      <c r="AX24" s="62">
        <f>AX$17+AX$18+AX$19+AX$20+AX$21+AX$22+AX$23</f>
        <v/>
      </c>
      <c r="AY24" s="62">
        <f>AY$17+AY$18+AY$19+AY$20+AY$21+AY$22+AY$23</f>
        <v/>
      </c>
      <c r="AZ24" s="62">
        <f>AZ$17+AZ$18+AZ$19+AZ$20+AZ$21+AZ$22+AZ$23</f>
        <v/>
      </c>
      <c r="BA24" s="62">
        <f>BA$17+BA$18+BA$19+BA$20+BA$21+BA$22+BA$23</f>
        <v/>
      </c>
      <c r="BB24" s="62">
        <f>BB$17+BB$18+BB$19+BB$20+BB$21+BB$22+BB$23</f>
        <v/>
      </c>
      <c r="BC24" s="62">
        <f>BC$17+BC$18+BC$19+BC$20+BC$21+BC$22+BC$23</f>
        <v/>
      </c>
      <c r="BD24" s="62">
        <f>BD$17+BD$18+BD$19+BD$20+BD$21+BD$22+BD$23</f>
        <v/>
      </c>
      <c r="BE24" s="62">
        <f>BE$17+BE$18+BE$19+BE$20+BE$21+BE$22+BE$23</f>
        <v/>
      </c>
      <c r="BF24" s="62">
        <f>BF$17+BF$18+BF$19+BF$20+BF$21+BF$22+BF$23</f>
        <v/>
      </c>
      <c r="BG24" s="62">
        <f>BG$17+BG$18+BG$19+BG$20+BG$21+BG$22+BG$23</f>
        <v/>
      </c>
      <c r="BH24" s="62">
        <f>BH$17+BH$18+BH$19+BH$20+BH$21+BH$22+BH$23</f>
        <v/>
      </c>
      <c r="BI24" s="62">
        <f>BI$17+BI$18+BI$19+BI$20+BI$21+BI$22+BI$23</f>
        <v/>
      </c>
      <c r="BJ24" s="62">
        <f>BJ$17+BJ$18+BJ$19+BJ$20+BJ$21+BJ$22+BJ$23</f>
        <v/>
      </c>
      <c r="BK24" s="62">
        <f>BK$17+BK$18+BK$19+BK$20+BK$21+BK$22+BK$23</f>
        <v/>
      </c>
      <c r="BL24" s="62">
        <f>BL$17+BL$18+BL$19+BL$20+BL$21+BL$22+BL$23</f>
        <v/>
      </c>
      <c r="BM24" s="62">
        <f>BM$17+BM$18+BM$19+BM$20+BM$21+BM$22+BM$23</f>
        <v/>
      </c>
      <c r="BN24" s="62">
        <f>BN$17+BN$18+BN$19+BN$20+BN$21+BN$22+BN$23</f>
        <v/>
      </c>
      <c r="BO24" s="62">
        <f>BO$17+BO$18+BO$19+BO$20+BO$21+BO$22+BO$23</f>
        <v/>
      </c>
      <c r="BP24" s="62">
        <f>BP$17+BP$18+BP$19+BP$20+BP$21+BP$22+BP$23</f>
        <v/>
      </c>
      <c r="BQ24" s="62">
        <f>BQ$17+BQ$18+BQ$19+BQ$20+BQ$21+BQ$22+BQ$23</f>
        <v/>
      </c>
      <c r="BR24" s="62">
        <f>BR$17+BR$18+BR$19+BR$20+BR$21+BR$22+BR$23</f>
        <v/>
      </c>
      <c r="BS24" s="62">
        <f>BS$17+BS$18+BS$19+BS$20+BS$21+BS$22+BS$23</f>
        <v/>
      </c>
      <c r="BT24" s="62">
        <f>BT$17+BT$18+BT$19+BT$20+BT$21+BT$22+BT$23</f>
        <v/>
      </c>
      <c r="BU24" s="62">
        <f>BU$17+BU$18+BU$19+BU$20+BU$21+BU$22+BU$23</f>
        <v/>
      </c>
      <c r="BV24" s="62">
        <f>BV$17+BV$18+BV$19+BV$20+BV$21+BV$22+BV$23</f>
        <v/>
      </c>
      <c r="BW24" s="62">
        <f>BW$17+BW$18+BW$19+BW$20+BW$21+BW$22+BW$23</f>
        <v/>
      </c>
      <c r="BX24" s="62">
        <f>BX$17+BX$18+BX$19+BX$20+BX$21+BX$22+BX$23</f>
        <v/>
      </c>
      <c r="BY24" s="62">
        <f>BY$17+BY$18+BY$19+BY$20+BY$21+BY$22+BY$23</f>
        <v/>
      </c>
      <c r="BZ24" s="62">
        <f>BZ$17+BZ$18+BZ$19+BZ$20+BZ$21+BZ$22+BZ$23</f>
        <v/>
      </c>
      <c r="CA24" s="62">
        <f>CA$17+CA$18+CA$19+CA$20+CA$21+CA$22+CA$23</f>
        <v/>
      </c>
      <c r="CB24" s="62">
        <f>CB$17+CB$18+CB$19+CB$20+CB$21+CB$22+CB$23</f>
        <v/>
      </c>
      <c r="CC24" s="62">
        <f>CC$17+CC$18+CC$19+CC$20+CC$21+CC$22+CC$23</f>
        <v/>
      </c>
      <c r="CD24" s="62">
        <f>CD$17+CD$18+CD$19+CD$20+CD$21+CD$22+CD$23</f>
        <v/>
      </c>
      <c r="CE24" s="62">
        <f>CE$17+CE$18+CE$19+CE$20+CE$21+CE$22+CE$23</f>
        <v/>
      </c>
      <c r="CF24" s="62">
        <f>CF$17+CF$18+CF$19+CF$20+CF$21+CF$22+CF$23</f>
        <v/>
      </c>
      <c r="CG24" s="62">
        <f>CG$17+CG$18+CG$19+CG$20+CG$21+CG$22+CG$23</f>
        <v/>
      </c>
      <c r="CH24" s="62">
        <f>CH$17+CH$18+CH$19+CH$20+CH$21+CH$22+CH$23</f>
        <v/>
      </c>
      <c r="CI24" s="62">
        <f>CI$17+CI$18+CI$19+CI$20+CI$21+CI$22+CI$23</f>
        <v/>
      </c>
      <c r="CJ24" s="62">
        <f>CJ$17+CJ$18+CJ$19+CJ$20+CJ$21+CJ$22+CJ$23</f>
        <v/>
      </c>
      <c r="CK24" s="62">
        <f>CK$17+CK$18+CK$19+CK$20+CK$21+CK$22+CK$23</f>
        <v/>
      </c>
      <c r="CL24" s="62">
        <f>CL$17+CL$18+CL$19+CL$20+CL$21+CL$22+CL$23</f>
        <v/>
      </c>
      <c r="CM24" s="62">
        <f>CM$17+CM$18+CM$19+CM$20+CM$21+CM$22+CM$23</f>
        <v/>
      </c>
      <c r="CN24" s="62">
        <f>CN$17+CN$18+CN$19+CN$20+CN$21+CN$22+CN$23</f>
        <v/>
      </c>
      <c r="CO24" s="62">
        <f>CO$17+CO$18+CO$19+CO$20+CO$21+CO$22+CO$23</f>
        <v/>
      </c>
      <c r="CP24" s="62">
        <f>CP$17+CP$18+CP$19+CP$20+CP$21+CP$22+CP$23</f>
        <v/>
      </c>
      <c r="CQ24" s="62">
        <f>CQ$17+CQ$18+CQ$19+CQ$20+CQ$21+CQ$22+CQ$23</f>
        <v/>
      </c>
      <c r="CR24" s="62">
        <f>CR$17+CR$18+CR$19+CR$20+CR$21+CR$22+CR$23</f>
        <v/>
      </c>
      <c r="CS24" s="62">
        <f>CS$17+CS$18+CS$19+CS$20+CS$21+CS$22+CS$23</f>
        <v/>
      </c>
      <c r="CT24" s="62">
        <f>CT$17+CT$18+CT$19+CT$20+CT$21+CT$22+CT$23</f>
        <v/>
      </c>
      <c r="CU24" s="62">
        <f>CU$17+CU$18+CU$19+CU$20+CU$21+CU$22+CU$23</f>
        <v/>
      </c>
      <c r="CV24" s="62">
        <f>CV$17+CV$18+CV$19+CV$20+CV$21+CV$22+CV$23</f>
        <v/>
      </c>
      <c r="CW24" s="62">
        <f>CW$17+CW$18+CW$19+CW$20+CW$21+CW$22+CW$23</f>
        <v/>
      </c>
      <c r="CX24" s="62">
        <f>CX$17+CX$18+CX$19+CX$20+CX$21+CX$22+CX$23</f>
        <v/>
      </c>
      <c r="CY24" s="62">
        <f>CY$17+CY$18+CY$19+CY$20+CY$21+CY$22+CY$23</f>
        <v/>
      </c>
      <c r="CZ24" s="62">
        <f>CZ$17+CZ$18+CZ$19+CZ$20+CZ$21+CZ$22+CZ$23</f>
        <v/>
      </c>
      <c r="DA24" s="62">
        <f>DA$17+DA$18+DA$19+DA$20+DA$21+DA$22+DA$23</f>
        <v/>
      </c>
      <c r="DB24" s="62">
        <f>DB$17+DB$18+DB$19+DB$20+DB$21+DB$22+DB$23</f>
        <v/>
      </c>
      <c r="DC24" s="62">
        <f>DC$17+DC$18+DC$19+DC$20+DC$21+DC$22+DC$23</f>
        <v/>
      </c>
      <c r="DD24" s="62">
        <f>DD$17+DD$18+DD$19+DD$20+DD$21+DD$22+DD$23</f>
        <v/>
      </c>
      <c r="DE24" s="62">
        <f>DE$17+DE$18+DE$19+DE$20+DE$21+DE$22+DE$23</f>
        <v/>
      </c>
      <c r="DF24" s="62">
        <f>DF$17+DF$18+DF$19+DF$20+DF$21+DF$22+DF$23</f>
        <v/>
      </c>
      <c r="DG24" s="62">
        <f>DG$17+DG$18+DG$19+DG$20+DG$21+DG$22+DG$23</f>
        <v/>
      </c>
      <c r="DH24" s="62">
        <f>DH$17+DH$18+DH$19+DH$20+DH$21+DH$22+DH$23</f>
        <v/>
      </c>
      <c r="DI24" s="62">
        <f>DI$17+DI$18+DI$19+DI$20+DI$21+DI$22+DI$23</f>
        <v/>
      </c>
      <c r="DJ24" s="62">
        <f>DJ$17+DJ$18+DJ$19+DJ$20+DJ$21+DJ$22+DJ$23</f>
        <v/>
      </c>
      <c r="DK24" s="62">
        <f>DK$17+DK$18+DK$19+DK$20+DK$21+DK$22+DK$23</f>
        <v/>
      </c>
      <c r="DL24" s="62">
        <f>DL$17+DL$18+DL$19+DL$20+DL$21+DL$22+DL$23</f>
        <v/>
      </c>
      <c r="DM24" s="62">
        <f>DM$17+DM$18+DM$19+DM$20+DM$21+DM$22+DM$23</f>
        <v/>
      </c>
      <c r="DN24" s="62">
        <f>DN$17+DN$18+DN$19+DN$20+DN$21+DN$22+DN$23</f>
        <v/>
      </c>
      <c r="DO24" s="62">
        <f>DO$17+DO$18+DO$19+DO$20+DO$21+DO$22+DO$23</f>
        <v/>
      </c>
      <c r="DP24" s="62">
        <f>DP$17+DP$18+DP$19+DP$20+DP$21+DP$22+DP$23</f>
        <v/>
      </c>
      <c r="DQ24" s="62">
        <f>DQ$17+DQ$18+DQ$19+DQ$20+DQ$21+DQ$22+DQ$23</f>
        <v/>
      </c>
      <c r="DR24" s="62">
        <f>DR$17+DR$18+DR$19+DR$20+DR$21+DR$22+DR$23</f>
        <v/>
      </c>
      <c r="DS24" s="62">
        <f>DS$17+DS$18+DS$19+DS$20+DS$21+DS$22+DS$23</f>
        <v/>
      </c>
      <c r="DT24" s="62">
        <f>DT$17+DT$18+DT$19+DT$20+DT$21+DT$22+DT$23</f>
        <v/>
      </c>
    </row>
    <row r="25">
      <c r="A25" s="3" t="inlineStr">
        <is>
          <t>Unlevered total cash flow ($/mo)</t>
        </is>
      </c>
      <c r="E25" s="62">
        <f>E$17-(PurchasePrice+PurchasePrice*ClosingCostPct)+E$21+E$22</f>
        <v/>
      </c>
      <c r="F25" s="62">
        <f>F$17+F$21+F$22</f>
        <v/>
      </c>
      <c r="G25" s="62">
        <f>G$17+G$21+G$22</f>
        <v/>
      </c>
      <c r="H25" s="62">
        <f>H$17+H$21+H$22</f>
        <v/>
      </c>
      <c r="I25" s="62">
        <f>I$17+I$21+I$22</f>
        <v/>
      </c>
      <c r="J25" s="62">
        <f>J$17+J$21+J$22</f>
        <v/>
      </c>
      <c r="K25" s="62">
        <f>K$17+K$21+K$22</f>
        <v/>
      </c>
      <c r="L25" s="62">
        <f>L$17+L$21+L$22</f>
        <v/>
      </c>
      <c r="M25" s="62">
        <f>M$17+M$21+M$22</f>
        <v/>
      </c>
      <c r="N25" s="62">
        <f>N$17+N$21+N$22</f>
        <v/>
      </c>
      <c r="O25" s="62">
        <f>O$17+O$21+O$22</f>
        <v/>
      </c>
      <c r="P25" s="62">
        <f>P$17+P$21+P$22</f>
        <v/>
      </c>
      <c r="Q25" s="62">
        <f>Q$17+Q$21+Q$22</f>
        <v/>
      </c>
      <c r="R25" s="62">
        <f>R$17+R$21+R$22</f>
        <v/>
      </c>
      <c r="S25" s="62">
        <f>S$17+S$21+S$22</f>
        <v/>
      </c>
      <c r="T25" s="62">
        <f>T$17+T$21+T$22</f>
        <v/>
      </c>
      <c r="U25" s="62">
        <f>U$17+U$21+U$22</f>
        <v/>
      </c>
      <c r="V25" s="62">
        <f>V$17+V$21+V$22</f>
        <v/>
      </c>
      <c r="W25" s="62">
        <f>W$17+W$21+W$22</f>
        <v/>
      </c>
      <c r="X25" s="62">
        <f>X$17+X$21+X$22</f>
        <v/>
      </c>
      <c r="Y25" s="62">
        <f>Y$17+Y$21+Y$22</f>
        <v/>
      </c>
      <c r="Z25" s="62">
        <f>Z$17+Z$21+Z$22</f>
        <v/>
      </c>
      <c r="AA25" s="62">
        <f>AA$17+AA$21+AA$22</f>
        <v/>
      </c>
      <c r="AB25" s="62">
        <f>AB$17+AB$21+AB$22</f>
        <v/>
      </c>
      <c r="AC25" s="62">
        <f>AC$17+AC$21+AC$22</f>
        <v/>
      </c>
      <c r="AD25" s="62">
        <f>AD$17+AD$21+AD$22</f>
        <v/>
      </c>
      <c r="AE25" s="62">
        <f>AE$17+AE$21+AE$22</f>
        <v/>
      </c>
      <c r="AF25" s="62">
        <f>AF$17+AF$21+AF$22</f>
        <v/>
      </c>
      <c r="AG25" s="62">
        <f>AG$17+AG$21+AG$22</f>
        <v/>
      </c>
      <c r="AH25" s="62">
        <f>AH$17+AH$21+AH$22</f>
        <v/>
      </c>
      <c r="AI25" s="62">
        <f>AI$17+AI$21+AI$22</f>
        <v/>
      </c>
      <c r="AJ25" s="62">
        <f>AJ$17+AJ$21+AJ$22</f>
        <v/>
      </c>
      <c r="AK25" s="62">
        <f>AK$17+AK$21+AK$22</f>
        <v/>
      </c>
      <c r="AL25" s="62">
        <f>AL$17+AL$21+AL$22</f>
        <v/>
      </c>
      <c r="AM25" s="62">
        <f>AM$17+AM$21+AM$22</f>
        <v/>
      </c>
      <c r="AN25" s="62">
        <f>AN$17+AN$21+AN$22</f>
        <v/>
      </c>
      <c r="AO25" s="62">
        <f>AO$17+AO$21+AO$22</f>
        <v/>
      </c>
      <c r="AP25" s="62">
        <f>AP$17+AP$21+AP$22</f>
        <v/>
      </c>
      <c r="AQ25" s="62">
        <f>AQ$17+AQ$21+AQ$22</f>
        <v/>
      </c>
      <c r="AR25" s="62">
        <f>AR$17+AR$21+AR$22</f>
        <v/>
      </c>
      <c r="AS25" s="62">
        <f>AS$17+AS$21+AS$22</f>
        <v/>
      </c>
      <c r="AT25" s="62">
        <f>AT$17+AT$21+AT$22</f>
        <v/>
      </c>
      <c r="AU25" s="62">
        <f>AU$17+AU$21+AU$22</f>
        <v/>
      </c>
      <c r="AV25" s="62">
        <f>AV$17+AV$21+AV$22</f>
        <v/>
      </c>
      <c r="AW25" s="62">
        <f>AW$17+AW$21+AW$22</f>
        <v/>
      </c>
      <c r="AX25" s="62">
        <f>AX$17+AX$21+AX$22</f>
        <v/>
      </c>
      <c r="AY25" s="62">
        <f>AY$17+AY$21+AY$22</f>
        <v/>
      </c>
      <c r="AZ25" s="62">
        <f>AZ$17+AZ$21+AZ$22</f>
        <v/>
      </c>
      <c r="BA25" s="62">
        <f>BA$17+BA$21+BA$22</f>
        <v/>
      </c>
      <c r="BB25" s="62">
        <f>BB$17+BB$21+BB$22</f>
        <v/>
      </c>
      <c r="BC25" s="62">
        <f>BC$17+BC$21+BC$22</f>
        <v/>
      </c>
      <c r="BD25" s="62">
        <f>BD$17+BD$21+BD$22</f>
        <v/>
      </c>
      <c r="BE25" s="62">
        <f>BE$17+BE$21+BE$22</f>
        <v/>
      </c>
      <c r="BF25" s="62">
        <f>BF$17+BF$21+BF$22</f>
        <v/>
      </c>
      <c r="BG25" s="62">
        <f>BG$17+BG$21+BG$22</f>
        <v/>
      </c>
      <c r="BH25" s="62">
        <f>BH$17+BH$21+BH$22</f>
        <v/>
      </c>
      <c r="BI25" s="62">
        <f>BI$17+BI$21+BI$22</f>
        <v/>
      </c>
      <c r="BJ25" s="62">
        <f>BJ$17+BJ$21+BJ$22</f>
        <v/>
      </c>
      <c r="BK25" s="62">
        <f>BK$17+BK$21+BK$22</f>
        <v/>
      </c>
      <c r="BL25" s="62">
        <f>BL$17+BL$21+BL$22</f>
        <v/>
      </c>
      <c r="BM25" s="62">
        <f>BM$17+BM$21+BM$22</f>
        <v/>
      </c>
      <c r="BN25" s="62">
        <f>BN$17+BN$21+BN$22</f>
        <v/>
      </c>
      <c r="BO25" s="62">
        <f>BO$17+BO$21+BO$22</f>
        <v/>
      </c>
      <c r="BP25" s="62">
        <f>BP$17+BP$21+BP$22</f>
        <v/>
      </c>
      <c r="BQ25" s="62">
        <f>BQ$17+BQ$21+BQ$22</f>
        <v/>
      </c>
      <c r="BR25" s="62">
        <f>BR$17+BR$21+BR$22</f>
        <v/>
      </c>
      <c r="BS25" s="62">
        <f>BS$17+BS$21+BS$22</f>
        <v/>
      </c>
      <c r="BT25" s="62">
        <f>BT$17+BT$21+BT$22</f>
        <v/>
      </c>
      <c r="BU25" s="62">
        <f>BU$17+BU$21+BU$22</f>
        <v/>
      </c>
      <c r="BV25" s="62">
        <f>BV$17+BV$21+BV$22</f>
        <v/>
      </c>
      <c r="BW25" s="62">
        <f>BW$17+BW$21+BW$22</f>
        <v/>
      </c>
      <c r="BX25" s="62">
        <f>BX$17+BX$21+BX$22</f>
        <v/>
      </c>
      <c r="BY25" s="62">
        <f>BY$17+BY$21+BY$22</f>
        <v/>
      </c>
      <c r="BZ25" s="62">
        <f>BZ$17+BZ$21+BZ$22</f>
        <v/>
      </c>
      <c r="CA25" s="62">
        <f>CA$17+CA$21+CA$22</f>
        <v/>
      </c>
      <c r="CB25" s="62">
        <f>CB$17+CB$21+CB$22</f>
        <v/>
      </c>
      <c r="CC25" s="62">
        <f>CC$17+CC$21+CC$22</f>
        <v/>
      </c>
      <c r="CD25" s="62">
        <f>CD$17+CD$21+CD$22</f>
        <v/>
      </c>
      <c r="CE25" s="62">
        <f>CE$17+CE$21+CE$22</f>
        <v/>
      </c>
      <c r="CF25" s="62">
        <f>CF$17+CF$21+CF$22</f>
        <v/>
      </c>
      <c r="CG25" s="62">
        <f>CG$17+CG$21+CG$22</f>
        <v/>
      </c>
      <c r="CH25" s="62">
        <f>CH$17+CH$21+CH$22</f>
        <v/>
      </c>
      <c r="CI25" s="62">
        <f>CI$17+CI$21+CI$22</f>
        <v/>
      </c>
      <c r="CJ25" s="62">
        <f>CJ$17+CJ$21+CJ$22</f>
        <v/>
      </c>
      <c r="CK25" s="62">
        <f>CK$17+CK$21+CK$22</f>
        <v/>
      </c>
      <c r="CL25" s="62">
        <f>CL$17+CL$21+CL$22</f>
        <v/>
      </c>
      <c r="CM25" s="62">
        <f>CM$17+CM$21+CM$22</f>
        <v/>
      </c>
      <c r="CN25" s="62">
        <f>CN$17+CN$21+CN$22</f>
        <v/>
      </c>
      <c r="CO25" s="62">
        <f>CO$17+CO$21+CO$22</f>
        <v/>
      </c>
      <c r="CP25" s="62">
        <f>CP$17+CP$21+CP$22</f>
        <v/>
      </c>
      <c r="CQ25" s="62">
        <f>CQ$17+CQ$21+CQ$22</f>
        <v/>
      </c>
      <c r="CR25" s="62">
        <f>CR$17+CR$21+CR$22</f>
        <v/>
      </c>
      <c r="CS25" s="62">
        <f>CS$17+CS$21+CS$22</f>
        <v/>
      </c>
      <c r="CT25" s="62">
        <f>CT$17+CT$21+CT$22</f>
        <v/>
      </c>
      <c r="CU25" s="62">
        <f>CU$17+CU$21+CU$22</f>
        <v/>
      </c>
      <c r="CV25" s="62">
        <f>CV$17+CV$21+CV$22</f>
        <v/>
      </c>
      <c r="CW25" s="62">
        <f>CW$17+CW$21+CW$22</f>
        <v/>
      </c>
      <c r="CX25" s="62">
        <f>CX$17+CX$21+CX$22</f>
        <v/>
      </c>
      <c r="CY25" s="62">
        <f>CY$17+CY$21+CY$22</f>
        <v/>
      </c>
      <c r="CZ25" s="62">
        <f>CZ$17+CZ$21+CZ$22</f>
        <v/>
      </c>
      <c r="DA25" s="62">
        <f>DA$17+DA$21+DA$22</f>
        <v/>
      </c>
      <c r="DB25" s="62">
        <f>DB$17+DB$21+DB$22</f>
        <v/>
      </c>
      <c r="DC25" s="62">
        <f>DC$17+DC$21+DC$22</f>
        <v/>
      </c>
      <c r="DD25" s="62">
        <f>DD$17+DD$21+DD$22</f>
        <v/>
      </c>
      <c r="DE25" s="62">
        <f>DE$17+DE$21+DE$22</f>
        <v/>
      </c>
      <c r="DF25" s="62">
        <f>DF$17+DF$21+DF$22</f>
        <v/>
      </c>
      <c r="DG25" s="62">
        <f>DG$17+DG$21+DG$22</f>
        <v/>
      </c>
      <c r="DH25" s="62">
        <f>DH$17+DH$21+DH$22</f>
        <v/>
      </c>
      <c r="DI25" s="62">
        <f>DI$17+DI$21+DI$22</f>
        <v/>
      </c>
      <c r="DJ25" s="62">
        <f>DJ$17+DJ$21+DJ$22</f>
        <v/>
      </c>
      <c r="DK25" s="62">
        <f>DK$17+DK$21+DK$22</f>
        <v/>
      </c>
      <c r="DL25" s="62">
        <f>DL$17+DL$21+DL$22</f>
        <v/>
      </c>
      <c r="DM25" s="62">
        <f>DM$17+DM$21+DM$22</f>
        <v/>
      </c>
      <c r="DN25" s="62">
        <f>DN$17+DN$21+DN$22</f>
        <v/>
      </c>
      <c r="DO25" s="62">
        <f>DO$17+DO$21+DO$22</f>
        <v/>
      </c>
      <c r="DP25" s="62">
        <f>DP$17+DP$21+DP$22</f>
        <v/>
      </c>
      <c r="DQ25" s="62">
        <f>DQ$17+DQ$21+DQ$22</f>
        <v/>
      </c>
      <c r="DR25" s="62">
        <f>DR$17+DR$21+DR$22</f>
        <v/>
      </c>
      <c r="DS25" s="62">
        <f>DS$17+DS$21+DS$22</f>
        <v/>
      </c>
      <c r="DT25" s="62">
        <f>DT$17+DT$21+DT$22</f>
        <v/>
      </c>
    </row>
    <row r="28">
      <c r="A28" s="8" t="inlineStr">
        <is>
          <t>ANNUAL ROLL-UP (hold-year basis)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3" t="inlineStr">
        <is>
          <t>Hold year</t>
        </is>
      </c>
      <c r="E29" s="31" t="n">
        <v>1</v>
      </c>
      <c r="F29" s="31" t="n">
        <v>2</v>
      </c>
      <c r="G29" s="31" t="n">
        <v>3</v>
      </c>
      <c r="H29" s="31" t="n">
        <v>4</v>
      </c>
      <c r="I29" s="31" t="n">
        <v>5</v>
      </c>
      <c r="J29" s="31" t="n">
        <v>6</v>
      </c>
      <c r="K29" s="31" t="n">
        <v>7</v>
      </c>
      <c r="L29" s="31" t="n">
        <v>8</v>
      </c>
      <c r="M29" s="31" t="n">
        <v>9</v>
      </c>
      <c r="N29" s="31" t="n">
        <v>10</v>
      </c>
    </row>
    <row r="30">
      <c r="A30" s="10" t="inlineStr">
        <is>
          <t>NOI</t>
        </is>
      </c>
      <c r="E30" s="52">
        <f>SUMIF(Assumptions!F$75:Q$75,1,F$12:Q$12)</f>
        <v/>
      </c>
      <c r="F30" s="52">
        <f>SUMIF(Assumptions!R$75:AC$75,2,R$12:AC$12)</f>
        <v/>
      </c>
      <c r="G30" s="52">
        <f>SUMIF(Assumptions!AD$75:AO$75,3,AD$12:AO$12)</f>
        <v/>
      </c>
      <c r="H30" s="52">
        <f>SUMIF(Assumptions!AP$75:BA$75,4,AP$12:BA$12)</f>
        <v/>
      </c>
      <c r="I30" s="52">
        <f>SUMIF(Assumptions!BB$75:BM$75,5,BB$12:BM$12)</f>
        <v/>
      </c>
      <c r="J30" s="52">
        <f>SUMIF(Assumptions!BN$75:BY$75,6,BN$12:BY$12)</f>
        <v/>
      </c>
      <c r="K30" s="52">
        <f>SUMIF(Assumptions!BZ$75:CK$75,7,BZ$12:CK$12)</f>
        <v/>
      </c>
      <c r="L30" s="52">
        <f>SUMIF(Assumptions!CL$75:CW$75,8,CL$12:CW$12)</f>
        <v/>
      </c>
      <c r="M30" s="52">
        <f>SUMIF(Assumptions!CX$75:DI$75,9,CX$12:DI$12)</f>
        <v/>
      </c>
      <c r="N30" s="52">
        <f>SUMIF(Assumptions!DJ$75:DU$75,10,DJ$12:DU$12)</f>
        <v/>
      </c>
    </row>
    <row r="31">
      <c r="A31" s="10" t="inlineStr">
        <is>
          <t>Unlevered CF</t>
        </is>
      </c>
      <c r="E31" s="52">
        <f>SUMIF(Assumptions!F$75:Q$75,1,F$25:Q$25)</f>
        <v/>
      </c>
      <c r="F31" s="52">
        <f>SUMIF(Assumptions!R$75:AC$75,2,R$25:AC$25)</f>
        <v/>
      </c>
      <c r="G31" s="52">
        <f>SUMIF(Assumptions!AD$75:AO$75,3,AD$25:AO$25)</f>
        <v/>
      </c>
      <c r="H31" s="52">
        <f>SUMIF(Assumptions!AP$75:BA$75,4,AP$25:BA$25)</f>
        <v/>
      </c>
      <c r="I31" s="52">
        <f>SUMIF(Assumptions!BB$75:BM$75,5,BB$25:BM$25)</f>
        <v/>
      </c>
      <c r="J31" s="52">
        <f>SUMIF(Assumptions!BN$75:BY$75,6,BN$25:BY$25)</f>
        <v/>
      </c>
      <c r="K31" s="52">
        <f>SUMIF(Assumptions!BZ$75:CK$75,7,BZ$25:CK$25)</f>
        <v/>
      </c>
      <c r="L31" s="52">
        <f>SUMIF(Assumptions!CL$75:CW$75,8,CL$25:CW$25)</f>
        <v/>
      </c>
      <c r="M31" s="52">
        <f>SUMIF(Assumptions!CX$75:DI$75,9,CX$25:DI$25)</f>
        <v/>
      </c>
      <c r="N31" s="52">
        <f>SUMIF(Assumptions!DJ$75:DU$75,10,DJ$25:DU$25)</f>
        <v/>
      </c>
    </row>
    <row r="32">
      <c r="A32" s="10" t="inlineStr">
        <is>
          <t>Levered CF</t>
        </is>
      </c>
      <c r="E32" s="52">
        <f>SUMIF(Assumptions!F$75:Q$75,1,F$24:Q$24)</f>
        <v/>
      </c>
      <c r="F32" s="52">
        <f>SUMIF(Assumptions!R$75:AC$75,2,R$24:AC$24)</f>
        <v/>
      </c>
      <c r="G32" s="52">
        <f>SUMIF(Assumptions!AD$75:AO$75,3,AD$24:AO$24)</f>
        <v/>
      </c>
      <c r="H32" s="52">
        <f>SUMIF(Assumptions!AP$75:BA$75,4,AP$24:BA$24)</f>
        <v/>
      </c>
      <c r="I32" s="52">
        <f>SUMIF(Assumptions!BB$75:BM$75,5,BB$24:BM$24)</f>
        <v/>
      </c>
      <c r="J32" s="52">
        <f>SUMIF(Assumptions!BN$75:BY$75,6,BN$24:BY$24)</f>
        <v/>
      </c>
      <c r="K32" s="52">
        <f>SUMIF(Assumptions!BZ$75:CK$75,7,BZ$24:CK$24)</f>
        <v/>
      </c>
      <c r="L32" s="52">
        <f>SUMIF(Assumptions!CL$75:CW$75,8,CL$24:CW$24)</f>
        <v/>
      </c>
      <c r="M32" s="52">
        <f>SUMIF(Assumptions!CX$75:DI$75,9,CX$24:DI$24)</f>
        <v/>
      </c>
      <c r="N32" s="52">
        <f>SUMIF(Assumptions!DJ$75:DU$75,10,DJ$24:DU$24)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T7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EQUITY WATERFALL — American (gated by LP Present)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Equity split &amp; promote inputs</t>
        </is>
      </c>
      <c r="B5" s="9" t="n"/>
      <c r="C5" s="9" t="n"/>
      <c r="D5" s="9" t="n"/>
    </row>
    <row r="6">
      <c r="A6" s="10" t="inlineStr">
        <is>
          <t>LP capital split (%)</t>
        </is>
      </c>
      <c r="B6" s="56" t="n">
        <v>0.9</v>
      </c>
    </row>
    <row r="7">
      <c r="A7" s="10" t="inlineStr">
        <is>
          <t>GP capital split (%)</t>
        </is>
      </c>
      <c r="B7" s="66">
        <f>1-LP_Split</f>
        <v/>
      </c>
    </row>
    <row r="8">
      <c r="A8" s="10" t="inlineStr">
        <is>
          <t>GP co-invest (% of GP share)</t>
        </is>
      </c>
      <c r="B8" s="56" t="n">
        <v>1</v>
      </c>
    </row>
    <row r="9">
      <c r="A9" s="10" t="inlineStr">
        <is>
          <t>Preferred return (%, compounded)</t>
        </is>
      </c>
      <c r="B9" s="56" t="n">
        <v>0.08</v>
      </c>
    </row>
    <row r="10">
      <c r="A10" s="10" t="inlineStr">
        <is>
          <t>GP catch-up (%)</t>
        </is>
      </c>
      <c r="B10" s="56" t="n">
        <v>0.5</v>
      </c>
    </row>
    <row r="11">
      <c r="A11" s="10" t="inlineStr">
        <is>
          <t>ROC vs Pref order</t>
        </is>
      </c>
      <c r="B11" s="15" t="inlineStr">
        <is>
          <t>Sequential</t>
        </is>
      </c>
    </row>
    <row r="13">
      <c r="A13" s="8" t="inlineStr">
        <is>
          <t>Promote / carry tiers (IRR hurdles -&gt; LP/GP split)</t>
        </is>
      </c>
      <c r="B13" s="9" t="n"/>
      <c r="C13" s="9" t="n"/>
      <c r="D13" s="9" t="n"/>
      <c r="E13" s="9" t="n"/>
      <c r="F13" s="9" t="n"/>
    </row>
    <row r="14">
      <c r="A14" s="37" t="inlineStr">
        <is>
          <t>Tier hurdle IRR (upper)</t>
        </is>
      </c>
      <c r="B14" s="37" t="inlineStr">
        <is>
          <t>LP %</t>
        </is>
      </c>
      <c r="C14" s="37" t="inlineStr">
        <is>
          <t>GP %</t>
        </is>
      </c>
    </row>
    <row r="15">
      <c r="A15" s="56" t="n">
        <v>0.08</v>
      </c>
      <c r="B15" s="56" t="n">
        <v>0.9</v>
      </c>
      <c r="C15" s="56" t="n">
        <v>0.1</v>
      </c>
    </row>
    <row r="16">
      <c r="A16" s="56" t="n">
        <v>0.12</v>
      </c>
      <c r="B16" s="56" t="n">
        <v>0.8</v>
      </c>
      <c r="C16" s="56" t="n">
        <v>0.2</v>
      </c>
    </row>
    <row r="17">
      <c r="A17" s="56" t="n">
        <v>0.15</v>
      </c>
      <c r="B17" s="56" t="n">
        <v>0.7</v>
      </c>
      <c r="C17" s="56" t="n">
        <v>0.3</v>
      </c>
    </row>
    <row r="18">
      <c r="A18" s="56" t="n">
        <v>9.99</v>
      </c>
      <c r="B18" s="56" t="n">
        <v>0.6</v>
      </c>
      <c r="C18" s="56" t="n">
        <v>0.4</v>
      </c>
    </row>
    <row r="20">
      <c r="A20" s="8" t="inlineStr">
        <is>
          <t>Fees (#15)</t>
        </is>
      </c>
      <c r="B20" s="9" t="n"/>
      <c r="C20" s="9" t="n"/>
      <c r="D20" s="9" t="n"/>
    </row>
    <row r="21">
      <c r="A21" s="10" t="inlineStr">
        <is>
          <t>Acquisition fee (% of price)</t>
        </is>
      </c>
      <c r="B21" s="56" t="n">
        <v>0.01</v>
      </c>
    </row>
    <row r="22">
      <c r="A22" s="10" t="inlineStr">
        <is>
          <t>AM fee rate (%)</t>
        </is>
      </c>
      <c r="B22" s="56" t="n">
        <v>0.0125</v>
      </c>
    </row>
    <row r="23">
      <c r="A23" s="10" t="inlineStr">
        <is>
          <t>Disposition fee (% of sale)</t>
        </is>
      </c>
      <c r="B23" s="56" t="n">
        <v>0.01</v>
      </c>
    </row>
    <row r="24">
      <c r="A24" s="10" t="inlineStr">
        <is>
          <t>Acquisition fee ($)</t>
        </is>
      </c>
      <c r="B24" s="52">
        <f>IF(AcqFeeOn="On",PurchasePrice*AcqFeePct,0)</f>
        <v/>
      </c>
    </row>
    <row r="25">
      <c r="A25" s="10" t="inlineStr">
        <is>
          <t>Disposition fee ($)</t>
        </is>
      </c>
      <c r="B25" s="52">
        <f>IF(DispFeeOn="On",ExitGrossValue*DispFeePct,0)</f>
        <v/>
      </c>
    </row>
    <row r="26">
      <c r="A26" s="10" t="inlineStr">
        <is>
          <t>AM fee basis amount ($/yr)</t>
        </is>
      </c>
      <c r="B26" s="52">
        <f>IF(AMFeeBasis="% of Cost",TotalCost,IF(AMFeeBasis="% of NOI",StabNOI,InitialEquity))</f>
        <v/>
      </c>
    </row>
    <row r="27">
      <c r="A27" s="10" t="inlineStr">
        <is>
          <t>AM fee ($/yr)</t>
        </is>
      </c>
      <c r="B27" s="52">
        <f>IF(AMFeeOn="On",AMFeeBaseAmt*AMFeeRate,0)</f>
        <v/>
      </c>
    </row>
    <row r="29">
      <c r="A29" s="8" t="inlineStr">
        <is>
          <t>Headline (project level)</t>
        </is>
      </c>
      <c r="B29" s="9" t="n"/>
      <c r="C29" s="9" t="n"/>
      <c r="D29" s="9" t="n"/>
      <c r="E29" s="9" t="n"/>
      <c r="F29" s="9" t="n"/>
    </row>
    <row r="30">
      <c r="A30" s="10" t="inlineStr">
        <is>
          <t>Total levered CF to equity ($)</t>
        </is>
      </c>
      <c r="B30" s="50">
        <f>SUM('Monthly CF'!E$24:DT$24)</f>
        <v/>
      </c>
    </row>
    <row r="31">
      <c r="A31" s="10" t="inlineStr">
        <is>
          <t>Project levered IRR (%)</t>
        </is>
      </c>
      <c r="B31" s="21">
        <f>XIRR('Monthly CF'!E$24:DT$24,'Monthly CF'!E$6:DT$6)</f>
        <v/>
      </c>
    </row>
    <row r="32">
      <c r="A32" s="10" t="inlineStr">
        <is>
          <t>Project equity multiple (x)</t>
        </is>
      </c>
      <c r="B32" s="53">
        <f>SUMIF('Monthly CF'!E$24:DT$24,"&gt;0")/MAX(1,-SUMIF('Monthly CF'!E$24:DT$24,"&lt;0"))</f>
        <v/>
      </c>
    </row>
    <row r="34">
      <c r="A34" s="8" t="inlineStr">
        <is>
          <t>Monthly waterfall (cols E.. align to period header)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3" t="inlineStr">
        <is>
          <t>Month index</t>
        </is>
      </c>
      <c r="E35" s="6">
        <f>Assumptions!E$72</f>
        <v/>
      </c>
      <c r="F35" s="6">
        <f>Assumptions!F$72</f>
        <v/>
      </c>
      <c r="G35" s="6">
        <f>Assumptions!G$72</f>
        <v/>
      </c>
      <c r="H35" s="6">
        <f>Assumptions!H$72</f>
        <v/>
      </c>
      <c r="I35" s="6">
        <f>Assumptions!I$72</f>
        <v/>
      </c>
      <c r="J35" s="6">
        <f>Assumptions!J$72</f>
        <v/>
      </c>
      <c r="K35" s="6">
        <f>Assumptions!K$72</f>
        <v/>
      </c>
      <c r="L35" s="6">
        <f>Assumptions!L$72</f>
        <v/>
      </c>
      <c r="M35" s="6">
        <f>Assumptions!M$72</f>
        <v/>
      </c>
      <c r="N35" s="6">
        <f>Assumptions!N$72</f>
        <v/>
      </c>
      <c r="O35" s="6">
        <f>Assumptions!O$72</f>
        <v/>
      </c>
      <c r="P35" s="6">
        <f>Assumptions!P$72</f>
        <v/>
      </c>
      <c r="Q35" s="6">
        <f>Assumptions!Q$72</f>
        <v/>
      </c>
      <c r="R35" s="6">
        <f>Assumptions!R$72</f>
        <v/>
      </c>
      <c r="S35" s="6">
        <f>Assumptions!S$72</f>
        <v/>
      </c>
      <c r="T35" s="6">
        <f>Assumptions!T$72</f>
        <v/>
      </c>
      <c r="U35" s="6">
        <f>Assumptions!U$72</f>
        <v/>
      </c>
      <c r="V35" s="6">
        <f>Assumptions!V$72</f>
        <v/>
      </c>
      <c r="W35" s="6">
        <f>Assumptions!W$72</f>
        <v/>
      </c>
      <c r="X35" s="6">
        <f>Assumptions!X$72</f>
        <v/>
      </c>
      <c r="Y35" s="6">
        <f>Assumptions!Y$72</f>
        <v/>
      </c>
      <c r="Z35" s="6">
        <f>Assumptions!Z$72</f>
        <v/>
      </c>
      <c r="AA35" s="6">
        <f>Assumptions!AA$72</f>
        <v/>
      </c>
      <c r="AB35" s="6">
        <f>Assumptions!AB$72</f>
        <v/>
      </c>
      <c r="AC35" s="6">
        <f>Assumptions!AC$72</f>
        <v/>
      </c>
      <c r="AD35" s="6">
        <f>Assumptions!AD$72</f>
        <v/>
      </c>
      <c r="AE35" s="6">
        <f>Assumptions!AE$72</f>
        <v/>
      </c>
      <c r="AF35" s="6">
        <f>Assumptions!AF$72</f>
        <v/>
      </c>
      <c r="AG35" s="6">
        <f>Assumptions!AG$72</f>
        <v/>
      </c>
      <c r="AH35" s="6">
        <f>Assumptions!AH$72</f>
        <v/>
      </c>
      <c r="AI35" s="6">
        <f>Assumptions!AI$72</f>
        <v/>
      </c>
      <c r="AJ35" s="6">
        <f>Assumptions!AJ$72</f>
        <v/>
      </c>
      <c r="AK35" s="6">
        <f>Assumptions!AK$72</f>
        <v/>
      </c>
      <c r="AL35" s="6">
        <f>Assumptions!AL$72</f>
        <v/>
      </c>
      <c r="AM35" s="6">
        <f>Assumptions!AM$72</f>
        <v/>
      </c>
      <c r="AN35" s="6">
        <f>Assumptions!AN$72</f>
        <v/>
      </c>
      <c r="AO35" s="6">
        <f>Assumptions!AO$72</f>
        <v/>
      </c>
      <c r="AP35" s="6">
        <f>Assumptions!AP$72</f>
        <v/>
      </c>
      <c r="AQ35" s="6">
        <f>Assumptions!AQ$72</f>
        <v/>
      </c>
      <c r="AR35" s="6">
        <f>Assumptions!AR$72</f>
        <v/>
      </c>
      <c r="AS35" s="6">
        <f>Assumptions!AS$72</f>
        <v/>
      </c>
      <c r="AT35" s="6">
        <f>Assumptions!AT$72</f>
        <v/>
      </c>
      <c r="AU35" s="6">
        <f>Assumptions!AU$72</f>
        <v/>
      </c>
      <c r="AV35" s="6">
        <f>Assumptions!AV$72</f>
        <v/>
      </c>
      <c r="AW35" s="6">
        <f>Assumptions!AW$72</f>
        <v/>
      </c>
      <c r="AX35" s="6">
        <f>Assumptions!AX$72</f>
        <v/>
      </c>
      <c r="AY35" s="6">
        <f>Assumptions!AY$72</f>
        <v/>
      </c>
      <c r="AZ35" s="6">
        <f>Assumptions!AZ$72</f>
        <v/>
      </c>
      <c r="BA35" s="6">
        <f>Assumptions!BA$72</f>
        <v/>
      </c>
      <c r="BB35" s="6">
        <f>Assumptions!BB$72</f>
        <v/>
      </c>
      <c r="BC35" s="6">
        <f>Assumptions!BC$72</f>
        <v/>
      </c>
      <c r="BD35" s="6">
        <f>Assumptions!BD$72</f>
        <v/>
      </c>
      <c r="BE35" s="6">
        <f>Assumptions!BE$72</f>
        <v/>
      </c>
      <c r="BF35" s="6">
        <f>Assumptions!BF$72</f>
        <v/>
      </c>
      <c r="BG35" s="6">
        <f>Assumptions!BG$72</f>
        <v/>
      </c>
      <c r="BH35" s="6">
        <f>Assumptions!BH$72</f>
        <v/>
      </c>
      <c r="BI35" s="6">
        <f>Assumptions!BI$72</f>
        <v/>
      </c>
      <c r="BJ35" s="6">
        <f>Assumptions!BJ$72</f>
        <v/>
      </c>
      <c r="BK35" s="6">
        <f>Assumptions!BK$72</f>
        <v/>
      </c>
      <c r="BL35" s="6">
        <f>Assumptions!BL$72</f>
        <v/>
      </c>
      <c r="BM35" s="6">
        <f>Assumptions!BM$72</f>
        <v/>
      </c>
      <c r="BN35" s="6">
        <f>Assumptions!BN$72</f>
        <v/>
      </c>
      <c r="BO35" s="6">
        <f>Assumptions!BO$72</f>
        <v/>
      </c>
      <c r="BP35" s="6">
        <f>Assumptions!BP$72</f>
        <v/>
      </c>
      <c r="BQ35" s="6">
        <f>Assumptions!BQ$72</f>
        <v/>
      </c>
      <c r="BR35" s="6">
        <f>Assumptions!BR$72</f>
        <v/>
      </c>
      <c r="BS35" s="6">
        <f>Assumptions!BS$72</f>
        <v/>
      </c>
      <c r="BT35" s="6">
        <f>Assumptions!BT$72</f>
        <v/>
      </c>
      <c r="BU35" s="6">
        <f>Assumptions!BU$72</f>
        <v/>
      </c>
      <c r="BV35" s="6">
        <f>Assumptions!BV$72</f>
        <v/>
      </c>
      <c r="BW35" s="6">
        <f>Assumptions!BW$72</f>
        <v/>
      </c>
      <c r="BX35" s="6">
        <f>Assumptions!BX$72</f>
        <v/>
      </c>
      <c r="BY35" s="6">
        <f>Assumptions!BY$72</f>
        <v/>
      </c>
      <c r="BZ35" s="6">
        <f>Assumptions!BZ$72</f>
        <v/>
      </c>
      <c r="CA35" s="6">
        <f>Assumptions!CA$72</f>
        <v/>
      </c>
      <c r="CB35" s="6">
        <f>Assumptions!CB$72</f>
        <v/>
      </c>
      <c r="CC35" s="6">
        <f>Assumptions!CC$72</f>
        <v/>
      </c>
      <c r="CD35" s="6">
        <f>Assumptions!CD$72</f>
        <v/>
      </c>
      <c r="CE35" s="6">
        <f>Assumptions!CE$72</f>
        <v/>
      </c>
      <c r="CF35" s="6">
        <f>Assumptions!CF$72</f>
        <v/>
      </c>
      <c r="CG35" s="6">
        <f>Assumptions!CG$72</f>
        <v/>
      </c>
      <c r="CH35" s="6">
        <f>Assumptions!CH$72</f>
        <v/>
      </c>
      <c r="CI35" s="6">
        <f>Assumptions!CI$72</f>
        <v/>
      </c>
      <c r="CJ35" s="6">
        <f>Assumptions!CJ$72</f>
        <v/>
      </c>
      <c r="CK35" s="6">
        <f>Assumptions!CK$72</f>
        <v/>
      </c>
      <c r="CL35" s="6">
        <f>Assumptions!CL$72</f>
        <v/>
      </c>
      <c r="CM35" s="6">
        <f>Assumptions!CM$72</f>
        <v/>
      </c>
      <c r="CN35" s="6">
        <f>Assumptions!CN$72</f>
        <v/>
      </c>
      <c r="CO35" s="6">
        <f>Assumptions!CO$72</f>
        <v/>
      </c>
      <c r="CP35" s="6">
        <f>Assumptions!CP$72</f>
        <v/>
      </c>
      <c r="CQ35" s="6">
        <f>Assumptions!CQ$72</f>
        <v/>
      </c>
      <c r="CR35" s="6">
        <f>Assumptions!CR$72</f>
        <v/>
      </c>
      <c r="CS35" s="6">
        <f>Assumptions!CS$72</f>
        <v/>
      </c>
      <c r="CT35" s="6">
        <f>Assumptions!CT$72</f>
        <v/>
      </c>
      <c r="CU35" s="6">
        <f>Assumptions!CU$72</f>
        <v/>
      </c>
      <c r="CV35" s="6">
        <f>Assumptions!CV$72</f>
        <v/>
      </c>
      <c r="CW35" s="6">
        <f>Assumptions!CW$72</f>
        <v/>
      </c>
      <c r="CX35" s="6">
        <f>Assumptions!CX$72</f>
        <v/>
      </c>
      <c r="CY35" s="6">
        <f>Assumptions!CY$72</f>
        <v/>
      </c>
      <c r="CZ35" s="6">
        <f>Assumptions!CZ$72</f>
        <v/>
      </c>
      <c r="DA35" s="6">
        <f>Assumptions!DA$72</f>
        <v/>
      </c>
      <c r="DB35" s="6">
        <f>Assumptions!DB$72</f>
        <v/>
      </c>
      <c r="DC35" s="6">
        <f>Assumptions!DC$72</f>
        <v/>
      </c>
      <c r="DD35" s="6">
        <f>Assumptions!DD$72</f>
        <v/>
      </c>
      <c r="DE35" s="6">
        <f>Assumptions!DE$72</f>
        <v/>
      </c>
      <c r="DF35" s="6">
        <f>Assumptions!DF$72</f>
        <v/>
      </c>
      <c r="DG35" s="6">
        <f>Assumptions!DG$72</f>
        <v/>
      </c>
      <c r="DH35" s="6">
        <f>Assumptions!DH$72</f>
        <v/>
      </c>
      <c r="DI35" s="6">
        <f>Assumptions!DI$72</f>
        <v/>
      </c>
      <c r="DJ35" s="6">
        <f>Assumptions!DJ$72</f>
        <v/>
      </c>
      <c r="DK35" s="6">
        <f>Assumptions!DK$72</f>
        <v/>
      </c>
      <c r="DL35" s="6">
        <f>Assumptions!DL$72</f>
        <v/>
      </c>
      <c r="DM35" s="6">
        <f>Assumptions!DM$72</f>
        <v/>
      </c>
      <c r="DN35" s="6">
        <f>Assumptions!DN$72</f>
        <v/>
      </c>
      <c r="DO35" s="6">
        <f>Assumptions!DO$72</f>
        <v/>
      </c>
      <c r="DP35" s="6">
        <f>Assumptions!DP$72</f>
        <v/>
      </c>
      <c r="DQ35" s="6">
        <f>Assumptions!DQ$72</f>
        <v/>
      </c>
      <c r="DR35" s="6">
        <f>Assumptions!DR$72</f>
        <v/>
      </c>
      <c r="DS35" s="6">
        <f>Assumptions!DS$72</f>
        <v/>
      </c>
      <c r="DT35" s="6">
        <f>Assumptions!DT$72</f>
        <v/>
      </c>
    </row>
    <row r="36">
      <c r="A36" s="10" t="inlineStr">
        <is>
          <t>Levered CF (project)</t>
        </is>
      </c>
      <c r="E36" s="50">
        <f>'Monthly CF'!E$24</f>
        <v/>
      </c>
      <c r="F36" s="50">
        <f>'Monthly CF'!F$24</f>
        <v/>
      </c>
      <c r="G36" s="50">
        <f>'Monthly CF'!G$24</f>
        <v/>
      </c>
      <c r="H36" s="50">
        <f>'Monthly CF'!H$24</f>
        <v/>
      </c>
      <c r="I36" s="50">
        <f>'Monthly CF'!I$24</f>
        <v/>
      </c>
      <c r="J36" s="50">
        <f>'Monthly CF'!J$24</f>
        <v/>
      </c>
      <c r="K36" s="50">
        <f>'Monthly CF'!K$24</f>
        <v/>
      </c>
      <c r="L36" s="50">
        <f>'Monthly CF'!L$24</f>
        <v/>
      </c>
      <c r="M36" s="50">
        <f>'Monthly CF'!M$24</f>
        <v/>
      </c>
      <c r="N36" s="50">
        <f>'Monthly CF'!N$24</f>
        <v/>
      </c>
      <c r="O36" s="50">
        <f>'Monthly CF'!O$24</f>
        <v/>
      </c>
      <c r="P36" s="50">
        <f>'Monthly CF'!P$24</f>
        <v/>
      </c>
      <c r="Q36" s="50">
        <f>'Monthly CF'!Q$24</f>
        <v/>
      </c>
      <c r="R36" s="50">
        <f>'Monthly CF'!R$24</f>
        <v/>
      </c>
      <c r="S36" s="50">
        <f>'Monthly CF'!S$24</f>
        <v/>
      </c>
      <c r="T36" s="50">
        <f>'Monthly CF'!T$24</f>
        <v/>
      </c>
      <c r="U36" s="50">
        <f>'Monthly CF'!U$24</f>
        <v/>
      </c>
      <c r="V36" s="50">
        <f>'Monthly CF'!V$24</f>
        <v/>
      </c>
      <c r="W36" s="50">
        <f>'Monthly CF'!W$24</f>
        <v/>
      </c>
      <c r="X36" s="50">
        <f>'Monthly CF'!X$24</f>
        <v/>
      </c>
      <c r="Y36" s="50">
        <f>'Monthly CF'!Y$24</f>
        <v/>
      </c>
      <c r="Z36" s="50">
        <f>'Monthly CF'!Z$24</f>
        <v/>
      </c>
      <c r="AA36" s="50">
        <f>'Monthly CF'!AA$24</f>
        <v/>
      </c>
      <c r="AB36" s="50">
        <f>'Monthly CF'!AB$24</f>
        <v/>
      </c>
      <c r="AC36" s="50">
        <f>'Monthly CF'!AC$24</f>
        <v/>
      </c>
      <c r="AD36" s="50">
        <f>'Monthly CF'!AD$24</f>
        <v/>
      </c>
      <c r="AE36" s="50">
        <f>'Monthly CF'!AE$24</f>
        <v/>
      </c>
      <c r="AF36" s="50">
        <f>'Monthly CF'!AF$24</f>
        <v/>
      </c>
      <c r="AG36" s="50">
        <f>'Monthly CF'!AG$24</f>
        <v/>
      </c>
      <c r="AH36" s="50">
        <f>'Monthly CF'!AH$24</f>
        <v/>
      </c>
      <c r="AI36" s="50">
        <f>'Monthly CF'!AI$24</f>
        <v/>
      </c>
      <c r="AJ36" s="50">
        <f>'Monthly CF'!AJ$24</f>
        <v/>
      </c>
      <c r="AK36" s="50">
        <f>'Monthly CF'!AK$24</f>
        <v/>
      </c>
      <c r="AL36" s="50">
        <f>'Monthly CF'!AL$24</f>
        <v/>
      </c>
      <c r="AM36" s="50">
        <f>'Monthly CF'!AM$24</f>
        <v/>
      </c>
      <c r="AN36" s="50">
        <f>'Monthly CF'!AN$24</f>
        <v/>
      </c>
      <c r="AO36" s="50">
        <f>'Monthly CF'!AO$24</f>
        <v/>
      </c>
      <c r="AP36" s="50">
        <f>'Monthly CF'!AP$24</f>
        <v/>
      </c>
      <c r="AQ36" s="50">
        <f>'Monthly CF'!AQ$24</f>
        <v/>
      </c>
      <c r="AR36" s="50">
        <f>'Monthly CF'!AR$24</f>
        <v/>
      </c>
      <c r="AS36" s="50">
        <f>'Monthly CF'!AS$24</f>
        <v/>
      </c>
      <c r="AT36" s="50">
        <f>'Monthly CF'!AT$24</f>
        <v/>
      </c>
      <c r="AU36" s="50">
        <f>'Monthly CF'!AU$24</f>
        <v/>
      </c>
      <c r="AV36" s="50">
        <f>'Monthly CF'!AV$24</f>
        <v/>
      </c>
      <c r="AW36" s="50">
        <f>'Monthly CF'!AW$24</f>
        <v/>
      </c>
      <c r="AX36" s="50">
        <f>'Monthly CF'!AX$24</f>
        <v/>
      </c>
      <c r="AY36" s="50">
        <f>'Monthly CF'!AY$24</f>
        <v/>
      </c>
      <c r="AZ36" s="50">
        <f>'Monthly CF'!AZ$24</f>
        <v/>
      </c>
      <c r="BA36" s="50">
        <f>'Monthly CF'!BA$24</f>
        <v/>
      </c>
      <c r="BB36" s="50">
        <f>'Monthly CF'!BB$24</f>
        <v/>
      </c>
      <c r="BC36" s="50">
        <f>'Monthly CF'!BC$24</f>
        <v/>
      </c>
      <c r="BD36" s="50">
        <f>'Monthly CF'!BD$24</f>
        <v/>
      </c>
      <c r="BE36" s="50">
        <f>'Monthly CF'!BE$24</f>
        <v/>
      </c>
      <c r="BF36" s="50">
        <f>'Monthly CF'!BF$24</f>
        <v/>
      </c>
      <c r="BG36" s="50">
        <f>'Monthly CF'!BG$24</f>
        <v/>
      </c>
      <c r="BH36" s="50">
        <f>'Monthly CF'!BH$24</f>
        <v/>
      </c>
      <c r="BI36" s="50">
        <f>'Monthly CF'!BI$24</f>
        <v/>
      </c>
      <c r="BJ36" s="50">
        <f>'Monthly CF'!BJ$24</f>
        <v/>
      </c>
      <c r="BK36" s="50">
        <f>'Monthly CF'!BK$24</f>
        <v/>
      </c>
      <c r="BL36" s="50">
        <f>'Monthly CF'!BL$24</f>
        <v/>
      </c>
      <c r="BM36" s="50">
        <f>'Monthly CF'!BM$24</f>
        <v/>
      </c>
      <c r="BN36" s="50">
        <f>'Monthly CF'!BN$24</f>
        <v/>
      </c>
      <c r="BO36" s="50">
        <f>'Monthly CF'!BO$24</f>
        <v/>
      </c>
      <c r="BP36" s="50">
        <f>'Monthly CF'!BP$24</f>
        <v/>
      </c>
      <c r="BQ36" s="50">
        <f>'Monthly CF'!BQ$24</f>
        <v/>
      </c>
      <c r="BR36" s="50">
        <f>'Monthly CF'!BR$24</f>
        <v/>
      </c>
      <c r="BS36" s="50">
        <f>'Monthly CF'!BS$24</f>
        <v/>
      </c>
      <c r="BT36" s="50">
        <f>'Monthly CF'!BT$24</f>
        <v/>
      </c>
      <c r="BU36" s="50">
        <f>'Monthly CF'!BU$24</f>
        <v/>
      </c>
      <c r="BV36" s="50">
        <f>'Monthly CF'!BV$24</f>
        <v/>
      </c>
      <c r="BW36" s="50">
        <f>'Monthly CF'!BW$24</f>
        <v/>
      </c>
      <c r="BX36" s="50">
        <f>'Monthly CF'!BX$24</f>
        <v/>
      </c>
      <c r="BY36" s="50">
        <f>'Monthly CF'!BY$24</f>
        <v/>
      </c>
      <c r="BZ36" s="50">
        <f>'Monthly CF'!BZ$24</f>
        <v/>
      </c>
      <c r="CA36" s="50">
        <f>'Monthly CF'!CA$24</f>
        <v/>
      </c>
      <c r="CB36" s="50">
        <f>'Monthly CF'!CB$24</f>
        <v/>
      </c>
      <c r="CC36" s="50">
        <f>'Monthly CF'!CC$24</f>
        <v/>
      </c>
      <c r="CD36" s="50">
        <f>'Monthly CF'!CD$24</f>
        <v/>
      </c>
      <c r="CE36" s="50">
        <f>'Monthly CF'!CE$24</f>
        <v/>
      </c>
      <c r="CF36" s="50">
        <f>'Monthly CF'!CF$24</f>
        <v/>
      </c>
      <c r="CG36" s="50">
        <f>'Monthly CF'!CG$24</f>
        <v/>
      </c>
      <c r="CH36" s="50">
        <f>'Monthly CF'!CH$24</f>
        <v/>
      </c>
      <c r="CI36" s="50">
        <f>'Monthly CF'!CI$24</f>
        <v/>
      </c>
      <c r="CJ36" s="50">
        <f>'Monthly CF'!CJ$24</f>
        <v/>
      </c>
      <c r="CK36" s="50">
        <f>'Monthly CF'!CK$24</f>
        <v/>
      </c>
      <c r="CL36" s="50">
        <f>'Monthly CF'!CL$24</f>
        <v/>
      </c>
      <c r="CM36" s="50">
        <f>'Monthly CF'!CM$24</f>
        <v/>
      </c>
      <c r="CN36" s="50">
        <f>'Monthly CF'!CN$24</f>
        <v/>
      </c>
      <c r="CO36" s="50">
        <f>'Monthly CF'!CO$24</f>
        <v/>
      </c>
      <c r="CP36" s="50">
        <f>'Monthly CF'!CP$24</f>
        <v/>
      </c>
      <c r="CQ36" s="50">
        <f>'Monthly CF'!CQ$24</f>
        <v/>
      </c>
      <c r="CR36" s="50">
        <f>'Monthly CF'!CR$24</f>
        <v/>
      </c>
      <c r="CS36" s="50">
        <f>'Monthly CF'!CS$24</f>
        <v/>
      </c>
      <c r="CT36" s="50">
        <f>'Monthly CF'!CT$24</f>
        <v/>
      </c>
      <c r="CU36" s="50">
        <f>'Monthly CF'!CU$24</f>
        <v/>
      </c>
      <c r="CV36" s="50">
        <f>'Monthly CF'!CV$24</f>
        <v/>
      </c>
      <c r="CW36" s="50">
        <f>'Monthly CF'!CW$24</f>
        <v/>
      </c>
      <c r="CX36" s="50">
        <f>'Monthly CF'!CX$24</f>
        <v/>
      </c>
      <c r="CY36" s="50">
        <f>'Monthly CF'!CY$24</f>
        <v/>
      </c>
      <c r="CZ36" s="50">
        <f>'Monthly CF'!CZ$24</f>
        <v/>
      </c>
      <c r="DA36" s="50">
        <f>'Monthly CF'!DA$24</f>
        <v/>
      </c>
      <c r="DB36" s="50">
        <f>'Monthly CF'!DB$24</f>
        <v/>
      </c>
      <c r="DC36" s="50">
        <f>'Monthly CF'!DC$24</f>
        <v/>
      </c>
      <c r="DD36" s="50">
        <f>'Monthly CF'!DD$24</f>
        <v/>
      </c>
      <c r="DE36" s="50">
        <f>'Monthly CF'!DE$24</f>
        <v/>
      </c>
      <c r="DF36" s="50">
        <f>'Monthly CF'!DF$24</f>
        <v/>
      </c>
      <c r="DG36" s="50">
        <f>'Monthly CF'!DG$24</f>
        <v/>
      </c>
      <c r="DH36" s="50">
        <f>'Monthly CF'!DH$24</f>
        <v/>
      </c>
      <c r="DI36" s="50">
        <f>'Monthly CF'!DI$24</f>
        <v/>
      </c>
      <c r="DJ36" s="50">
        <f>'Monthly CF'!DJ$24</f>
        <v/>
      </c>
      <c r="DK36" s="50">
        <f>'Monthly CF'!DK$24</f>
        <v/>
      </c>
      <c r="DL36" s="50">
        <f>'Monthly CF'!DL$24</f>
        <v/>
      </c>
      <c r="DM36" s="50">
        <f>'Monthly CF'!DM$24</f>
        <v/>
      </c>
      <c r="DN36" s="50">
        <f>'Monthly CF'!DN$24</f>
        <v/>
      </c>
      <c r="DO36" s="50">
        <f>'Monthly CF'!DO$24</f>
        <v/>
      </c>
      <c r="DP36" s="50">
        <f>'Monthly CF'!DP$24</f>
        <v/>
      </c>
      <c r="DQ36" s="50">
        <f>'Monthly CF'!DQ$24</f>
        <v/>
      </c>
      <c r="DR36" s="50">
        <f>'Monthly CF'!DR$24</f>
        <v/>
      </c>
      <c r="DS36" s="50">
        <f>'Monthly CF'!DS$24</f>
        <v/>
      </c>
      <c r="DT36" s="50">
        <f>'Monthly CF'!DT$24</f>
        <v/>
      </c>
    </row>
    <row r="37">
      <c r="A37" s="10" t="inlineStr">
        <is>
          <t>Capital contributions</t>
        </is>
      </c>
      <c r="E37" s="52">
        <f>MAX(0,-E$36)</f>
        <v/>
      </c>
      <c r="F37" s="52">
        <f>MAX(0,-F$36)</f>
        <v/>
      </c>
      <c r="G37" s="52">
        <f>MAX(0,-G$36)</f>
        <v/>
      </c>
      <c r="H37" s="52">
        <f>MAX(0,-H$36)</f>
        <v/>
      </c>
      <c r="I37" s="52">
        <f>MAX(0,-I$36)</f>
        <v/>
      </c>
      <c r="J37" s="52">
        <f>MAX(0,-J$36)</f>
        <v/>
      </c>
      <c r="K37" s="52">
        <f>MAX(0,-K$36)</f>
        <v/>
      </c>
      <c r="L37" s="52">
        <f>MAX(0,-L$36)</f>
        <v/>
      </c>
      <c r="M37" s="52">
        <f>MAX(0,-M$36)</f>
        <v/>
      </c>
      <c r="N37" s="52">
        <f>MAX(0,-N$36)</f>
        <v/>
      </c>
      <c r="O37" s="52">
        <f>MAX(0,-O$36)</f>
        <v/>
      </c>
      <c r="P37" s="52">
        <f>MAX(0,-P$36)</f>
        <v/>
      </c>
      <c r="Q37" s="52">
        <f>MAX(0,-Q$36)</f>
        <v/>
      </c>
      <c r="R37" s="52">
        <f>MAX(0,-R$36)</f>
        <v/>
      </c>
      <c r="S37" s="52">
        <f>MAX(0,-S$36)</f>
        <v/>
      </c>
      <c r="T37" s="52">
        <f>MAX(0,-T$36)</f>
        <v/>
      </c>
      <c r="U37" s="52">
        <f>MAX(0,-U$36)</f>
        <v/>
      </c>
      <c r="V37" s="52">
        <f>MAX(0,-V$36)</f>
        <v/>
      </c>
      <c r="W37" s="52">
        <f>MAX(0,-W$36)</f>
        <v/>
      </c>
      <c r="X37" s="52">
        <f>MAX(0,-X$36)</f>
        <v/>
      </c>
      <c r="Y37" s="52">
        <f>MAX(0,-Y$36)</f>
        <v/>
      </c>
      <c r="Z37" s="52">
        <f>MAX(0,-Z$36)</f>
        <v/>
      </c>
      <c r="AA37" s="52">
        <f>MAX(0,-AA$36)</f>
        <v/>
      </c>
      <c r="AB37" s="52">
        <f>MAX(0,-AB$36)</f>
        <v/>
      </c>
      <c r="AC37" s="52">
        <f>MAX(0,-AC$36)</f>
        <v/>
      </c>
      <c r="AD37" s="52">
        <f>MAX(0,-AD$36)</f>
        <v/>
      </c>
      <c r="AE37" s="52">
        <f>MAX(0,-AE$36)</f>
        <v/>
      </c>
      <c r="AF37" s="52">
        <f>MAX(0,-AF$36)</f>
        <v/>
      </c>
      <c r="AG37" s="52">
        <f>MAX(0,-AG$36)</f>
        <v/>
      </c>
      <c r="AH37" s="52">
        <f>MAX(0,-AH$36)</f>
        <v/>
      </c>
      <c r="AI37" s="52">
        <f>MAX(0,-AI$36)</f>
        <v/>
      </c>
      <c r="AJ37" s="52">
        <f>MAX(0,-AJ$36)</f>
        <v/>
      </c>
      <c r="AK37" s="52">
        <f>MAX(0,-AK$36)</f>
        <v/>
      </c>
      <c r="AL37" s="52">
        <f>MAX(0,-AL$36)</f>
        <v/>
      </c>
      <c r="AM37" s="52">
        <f>MAX(0,-AM$36)</f>
        <v/>
      </c>
      <c r="AN37" s="52">
        <f>MAX(0,-AN$36)</f>
        <v/>
      </c>
      <c r="AO37" s="52">
        <f>MAX(0,-AO$36)</f>
        <v/>
      </c>
      <c r="AP37" s="52">
        <f>MAX(0,-AP$36)</f>
        <v/>
      </c>
      <c r="AQ37" s="52">
        <f>MAX(0,-AQ$36)</f>
        <v/>
      </c>
      <c r="AR37" s="52">
        <f>MAX(0,-AR$36)</f>
        <v/>
      </c>
      <c r="AS37" s="52">
        <f>MAX(0,-AS$36)</f>
        <v/>
      </c>
      <c r="AT37" s="52">
        <f>MAX(0,-AT$36)</f>
        <v/>
      </c>
      <c r="AU37" s="52">
        <f>MAX(0,-AU$36)</f>
        <v/>
      </c>
      <c r="AV37" s="52">
        <f>MAX(0,-AV$36)</f>
        <v/>
      </c>
      <c r="AW37" s="52">
        <f>MAX(0,-AW$36)</f>
        <v/>
      </c>
      <c r="AX37" s="52">
        <f>MAX(0,-AX$36)</f>
        <v/>
      </c>
      <c r="AY37" s="52">
        <f>MAX(0,-AY$36)</f>
        <v/>
      </c>
      <c r="AZ37" s="52">
        <f>MAX(0,-AZ$36)</f>
        <v/>
      </c>
      <c r="BA37" s="52">
        <f>MAX(0,-BA$36)</f>
        <v/>
      </c>
      <c r="BB37" s="52">
        <f>MAX(0,-BB$36)</f>
        <v/>
      </c>
      <c r="BC37" s="52">
        <f>MAX(0,-BC$36)</f>
        <v/>
      </c>
      <c r="BD37" s="52">
        <f>MAX(0,-BD$36)</f>
        <v/>
      </c>
      <c r="BE37" s="52">
        <f>MAX(0,-BE$36)</f>
        <v/>
      </c>
      <c r="BF37" s="52">
        <f>MAX(0,-BF$36)</f>
        <v/>
      </c>
      <c r="BG37" s="52">
        <f>MAX(0,-BG$36)</f>
        <v/>
      </c>
      <c r="BH37" s="52">
        <f>MAX(0,-BH$36)</f>
        <v/>
      </c>
      <c r="BI37" s="52">
        <f>MAX(0,-BI$36)</f>
        <v/>
      </c>
      <c r="BJ37" s="52">
        <f>MAX(0,-BJ$36)</f>
        <v/>
      </c>
      <c r="BK37" s="52">
        <f>MAX(0,-BK$36)</f>
        <v/>
      </c>
      <c r="BL37" s="52">
        <f>MAX(0,-BL$36)</f>
        <v/>
      </c>
      <c r="BM37" s="52">
        <f>MAX(0,-BM$36)</f>
        <v/>
      </c>
      <c r="BN37" s="52">
        <f>MAX(0,-BN$36)</f>
        <v/>
      </c>
      <c r="BO37" s="52">
        <f>MAX(0,-BO$36)</f>
        <v/>
      </c>
      <c r="BP37" s="52">
        <f>MAX(0,-BP$36)</f>
        <v/>
      </c>
      <c r="BQ37" s="52">
        <f>MAX(0,-BQ$36)</f>
        <v/>
      </c>
      <c r="BR37" s="52">
        <f>MAX(0,-BR$36)</f>
        <v/>
      </c>
      <c r="BS37" s="52">
        <f>MAX(0,-BS$36)</f>
        <v/>
      </c>
      <c r="BT37" s="52">
        <f>MAX(0,-BT$36)</f>
        <v/>
      </c>
      <c r="BU37" s="52">
        <f>MAX(0,-BU$36)</f>
        <v/>
      </c>
      <c r="BV37" s="52">
        <f>MAX(0,-BV$36)</f>
        <v/>
      </c>
      <c r="BW37" s="52">
        <f>MAX(0,-BW$36)</f>
        <v/>
      </c>
      <c r="BX37" s="52">
        <f>MAX(0,-BX$36)</f>
        <v/>
      </c>
      <c r="BY37" s="52">
        <f>MAX(0,-BY$36)</f>
        <v/>
      </c>
      <c r="BZ37" s="52">
        <f>MAX(0,-BZ$36)</f>
        <v/>
      </c>
      <c r="CA37" s="52">
        <f>MAX(0,-CA$36)</f>
        <v/>
      </c>
      <c r="CB37" s="52">
        <f>MAX(0,-CB$36)</f>
        <v/>
      </c>
      <c r="CC37" s="52">
        <f>MAX(0,-CC$36)</f>
        <v/>
      </c>
      <c r="CD37" s="52">
        <f>MAX(0,-CD$36)</f>
        <v/>
      </c>
      <c r="CE37" s="52">
        <f>MAX(0,-CE$36)</f>
        <v/>
      </c>
      <c r="CF37" s="52">
        <f>MAX(0,-CF$36)</f>
        <v/>
      </c>
      <c r="CG37" s="52">
        <f>MAX(0,-CG$36)</f>
        <v/>
      </c>
      <c r="CH37" s="52">
        <f>MAX(0,-CH$36)</f>
        <v/>
      </c>
      <c r="CI37" s="52">
        <f>MAX(0,-CI$36)</f>
        <v/>
      </c>
      <c r="CJ37" s="52">
        <f>MAX(0,-CJ$36)</f>
        <v/>
      </c>
      <c r="CK37" s="52">
        <f>MAX(0,-CK$36)</f>
        <v/>
      </c>
      <c r="CL37" s="52">
        <f>MAX(0,-CL$36)</f>
        <v/>
      </c>
      <c r="CM37" s="52">
        <f>MAX(0,-CM$36)</f>
        <v/>
      </c>
      <c r="CN37" s="52">
        <f>MAX(0,-CN$36)</f>
        <v/>
      </c>
      <c r="CO37" s="52">
        <f>MAX(0,-CO$36)</f>
        <v/>
      </c>
      <c r="CP37" s="52">
        <f>MAX(0,-CP$36)</f>
        <v/>
      </c>
      <c r="CQ37" s="52">
        <f>MAX(0,-CQ$36)</f>
        <v/>
      </c>
      <c r="CR37" s="52">
        <f>MAX(0,-CR$36)</f>
        <v/>
      </c>
      <c r="CS37" s="52">
        <f>MAX(0,-CS$36)</f>
        <v/>
      </c>
      <c r="CT37" s="52">
        <f>MAX(0,-CT$36)</f>
        <v/>
      </c>
      <c r="CU37" s="52">
        <f>MAX(0,-CU$36)</f>
        <v/>
      </c>
      <c r="CV37" s="52">
        <f>MAX(0,-CV$36)</f>
        <v/>
      </c>
      <c r="CW37" s="52">
        <f>MAX(0,-CW$36)</f>
        <v/>
      </c>
      <c r="CX37" s="52">
        <f>MAX(0,-CX$36)</f>
        <v/>
      </c>
      <c r="CY37" s="52">
        <f>MAX(0,-CY$36)</f>
        <v/>
      </c>
      <c r="CZ37" s="52">
        <f>MAX(0,-CZ$36)</f>
        <v/>
      </c>
      <c r="DA37" s="52">
        <f>MAX(0,-DA$36)</f>
        <v/>
      </c>
      <c r="DB37" s="52">
        <f>MAX(0,-DB$36)</f>
        <v/>
      </c>
      <c r="DC37" s="52">
        <f>MAX(0,-DC$36)</f>
        <v/>
      </c>
      <c r="DD37" s="52">
        <f>MAX(0,-DD$36)</f>
        <v/>
      </c>
      <c r="DE37" s="52">
        <f>MAX(0,-DE$36)</f>
        <v/>
      </c>
      <c r="DF37" s="52">
        <f>MAX(0,-DF$36)</f>
        <v/>
      </c>
      <c r="DG37" s="52">
        <f>MAX(0,-DG$36)</f>
        <v/>
      </c>
      <c r="DH37" s="52">
        <f>MAX(0,-DH$36)</f>
        <v/>
      </c>
      <c r="DI37" s="52">
        <f>MAX(0,-DI$36)</f>
        <v/>
      </c>
      <c r="DJ37" s="52">
        <f>MAX(0,-DJ$36)</f>
        <v/>
      </c>
      <c r="DK37" s="52">
        <f>MAX(0,-DK$36)</f>
        <v/>
      </c>
      <c r="DL37" s="52">
        <f>MAX(0,-DL$36)</f>
        <v/>
      </c>
      <c r="DM37" s="52">
        <f>MAX(0,-DM$36)</f>
        <v/>
      </c>
      <c r="DN37" s="52">
        <f>MAX(0,-DN$36)</f>
        <v/>
      </c>
      <c r="DO37" s="52">
        <f>MAX(0,-DO$36)</f>
        <v/>
      </c>
      <c r="DP37" s="52">
        <f>MAX(0,-DP$36)</f>
        <v/>
      </c>
      <c r="DQ37" s="52">
        <f>MAX(0,-DQ$36)</f>
        <v/>
      </c>
      <c r="DR37" s="52">
        <f>MAX(0,-DR$36)</f>
        <v/>
      </c>
      <c r="DS37" s="52">
        <f>MAX(0,-DS$36)</f>
        <v/>
      </c>
      <c r="DT37" s="52">
        <f>MAX(0,-DT$36)</f>
        <v/>
      </c>
    </row>
    <row r="38">
      <c r="A38" s="10" t="inlineStr">
        <is>
          <t>Cash available to distribute</t>
        </is>
      </c>
      <c r="E38" s="52">
        <f>MAX(0,E$36)</f>
        <v/>
      </c>
      <c r="F38" s="52">
        <f>MAX(0,F$36)</f>
        <v/>
      </c>
      <c r="G38" s="52">
        <f>MAX(0,G$36)</f>
        <v/>
      </c>
      <c r="H38" s="52">
        <f>MAX(0,H$36)</f>
        <v/>
      </c>
      <c r="I38" s="52">
        <f>MAX(0,I$36)</f>
        <v/>
      </c>
      <c r="J38" s="52">
        <f>MAX(0,J$36)</f>
        <v/>
      </c>
      <c r="K38" s="52">
        <f>MAX(0,K$36)</f>
        <v/>
      </c>
      <c r="L38" s="52">
        <f>MAX(0,L$36)</f>
        <v/>
      </c>
      <c r="M38" s="52">
        <f>MAX(0,M$36)</f>
        <v/>
      </c>
      <c r="N38" s="52">
        <f>MAX(0,N$36)</f>
        <v/>
      </c>
      <c r="O38" s="52">
        <f>MAX(0,O$36)</f>
        <v/>
      </c>
      <c r="P38" s="52">
        <f>MAX(0,P$36)</f>
        <v/>
      </c>
      <c r="Q38" s="52">
        <f>MAX(0,Q$36)</f>
        <v/>
      </c>
      <c r="R38" s="52">
        <f>MAX(0,R$36)</f>
        <v/>
      </c>
      <c r="S38" s="52">
        <f>MAX(0,S$36)</f>
        <v/>
      </c>
      <c r="T38" s="52">
        <f>MAX(0,T$36)</f>
        <v/>
      </c>
      <c r="U38" s="52">
        <f>MAX(0,U$36)</f>
        <v/>
      </c>
      <c r="V38" s="52">
        <f>MAX(0,V$36)</f>
        <v/>
      </c>
      <c r="W38" s="52">
        <f>MAX(0,W$36)</f>
        <v/>
      </c>
      <c r="X38" s="52">
        <f>MAX(0,X$36)</f>
        <v/>
      </c>
      <c r="Y38" s="52">
        <f>MAX(0,Y$36)</f>
        <v/>
      </c>
      <c r="Z38" s="52">
        <f>MAX(0,Z$36)</f>
        <v/>
      </c>
      <c r="AA38" s="52">
        <f>MAX(0,AA$36)</f>
        <v/>
      </c>
      <c r="AB38" s="52">
        <f>MAX(0,AB$36)</f>
        <v/>
      </c>
      <c r="AC38" s="52">
        <f>MAX(0,AC$36)</f>
        <v/>
      </c>
      <c r="AD38" s="52">
        <f>MAX(0,AD$36)</f>
        <v/>
      </c>
      <c r="AE38" s="52">
        <f>MAX(0,AE$36)</f>
        <v/>
      </c>
      <c r="AF38" s="52">
        <f>MAX(0,AF$36)</f>
        <v/>
      </c>
      <c r="AG38" s="52">
        <f>MAX(0,AG$36)</f>
        <v/>
      </c>
      <c r="AH38" s="52">
        <f>MAX(0,AH$36)</f>
        <v/>
      </c>
      <c r="AI38" s="52">
        <f>MAX(0,AI$36)</f>
        <v/>
      </c>
      <c r="AJ38" s="52">
        <f>MAX(0,AJ$36)</f>
        <v/>
      </c>
      <c r="AK38" s="52">
        <f>MAX(0,AK$36)</f>
        <v/>
      </c>
      <c r="AL38" s="52">
        <f>MAX(0,AL$36)</f>
        <v/>
      </c>
      <c r="AM38" s="52">
        <f>MAX(0,AM$36)</f>
        <v/>
      </c>
      <c r="AN38" s="52">
        <f>MAX(0,AN$36)</f>
        <v/>
      </c>
      <c r="AO38" s="52">
        <f>MAX(0,AO$36)</f>
        <v/>
      </c>
      <c r="AP38" s="52">
        <f>MAX(0,AP$36)</f>
        <v/>
      </c>
      <c r="AQ38" s="52">
        <f>MAX(0,AQ$36)</f>
        <v/>
      </c>
      <c r="AR38" s="52">
        <f>MAX(0,AR$36)</f>
        <v/>
      </c>
      <c r="AS38" s="52">
        <f>MAX(0,AS$36)</f>
        <v/>
      </c>
      <c r="AT38" s="52">
        <f>MAX(0,AT$36)</f>
        <v/>
      </c>
      <c r="AU38" s="52">
        <f>MAX(0,AU$36)</f>
        <v/>
      </c>
      <c r="AV38" s="52">
        <f>MAX(0,AV$36)</f>
        <v/>
      </c>
      <c r="AW38" s="52">
        <f>MAX(0,AW$36)</f>
        <v/>
      </c>
      <c r="AX38" s="52">
        <f>MAX(0,AX$36)</f>
        <v/>
      </c>
      <c r="AY38" s="52">
        <f>MAX(0,AY$36)</f>
        <v/>
      </c>
      <c r="AZ38" s="52">
        <f>MAX(0,AZ$36)</f>
        <v/>
      </c>
      <c r="BA38" s="52">
        <f>MAX(0,BA$36)</f>
        <v/>
      </c>
      <c r="BB38" s="52">
        <f>MAX(0,BB$36)</f>
        <v/>
      </c>
      <c r="BC38" s="52">
        <f>MAX(0,BC$36)</f>
        <v/>
      </c>
      <c r="BD38" s="52">
        <f>MAX(0,BD$36)</f>
        <v/>
      </c>
      <c r="BE38" s="52">
        <f>MAX(0,BE$36)</f>
        <v/>
      </c>
      <c r="BF38" s="52">
        <f>MAX(0,BF$36)</f>
        <v/>
      </c>
      <c r="BG38" s="52">
        <f>MAX(0,BG$36)</f>
        <v/>
      </c>
      <c r="BH38" s="52">
        <f>MAX(0,BH$36)</f>
        <v/>
      </c>
      <c r="BI38" s="52">
        <f>MAX(0,BI$36)</f>
        <v/>
      </c>
      <c r="BJ38" s="52">
        <f>MAX(0,BJ$36)</f>
        <v/>
      </c>
      <c r="BK38" s="52">
        <f>MAX(0,BK$36)</f>
        <v/>
      </c>
      <c r="BL38" s="52">
        <f>MAX(0,BL$36)</f>
        <v/>
      </c>
      <c r="BM38" s="52">
        <f>MAX(0,BM$36)</f>
        <v/>
      </c>
      <c r="BN38" s="52">
        <f>MAX(0,BN$36)</f>
        <v/>
      </c>
      <c r="BO38" s="52">
        <f>MAX(0,BO$36)</f>
        <v/>
      </c>
      <c r="BP38" s="52">
        <f>MAX(0,BP$36)</f>
        <v/>
      </c>
      <c r="BQ38" s="52">
        <f>MAX(0,BQ$36)</f>
        <v/>
      </c>
      <c r="BR38" s="52">
        <f>MAX(0,BR$36)</f>
        <v/>
      </c>
      <c r="BS38" s="52">
        <f>MAX(0,BS$36)</f>
        <v/>
      </c>
      <c r="BT38" s="52">
        <f>MAX(0,BT$36)</f>
        <v/>
      </c>
      <c r="BU38" s="52">
        <f>MAX(0,BU$36)</f>
        <v/>
      </c>
      <c r="BV38" s="52">
        <f>MAX(0,BV$36)</f>
        <v/>
      </c>
      <c r="BW38" s="52">
        <f>MAX(0,BW$36)</f>
        <v/>
      </c>
      <c r="BX38" s="52">
        <f>MAX(0,BX$36)</f>
        <v/>
      </c>
      <c r="BY38" s="52">
        <f>MAX(0,BY$36)</f>
        <v/>
      </c>
      <c r="BZ38" s="52">
        <f>MAX(0,BZ$36)</f>
        <v/>
      </c>
      <c r="CA38" s="52">
        <f>MAX(0,CA$36)</f>
        <v/>
      </c>
      <c r="CB38" s="52">
        <f>MAX(0,CB$36)</f>
        <v/>
      </c>
      <c r="CC38" s="52">
        <f>MAX(0,CC$36)</f>
        <v/>
      </c>
      <c r="CD38" s="52">
        <f>MAX(0,CD$36)</f>
        <v/>
      </c>
      <c r="CE38" s="52">
        <f>MAX(0,CE$36)</f>
        <v/>
      </c>
      <c r="CF38" s="52">
        <f>MAX(0,CF$36)</f>
        <v/>
      </c>
      <c r="CG38" s="52">
        <f>MAX(0,CG$36)</f>
        <v/>
      </c>
      <c r="CH38" s="52">
        <f>MAX(0,CH$36)</f>
        <v/>
      </c>
      <c r="CI38" s="52">
        <f>MAX(0,CI$36)</f>
        <v/>
      </c>
      <c r="CJ38" s="52">
        <f>MAX(0,CJ$36)</f>
        <v/>
      </c>
      <c r="CK38" s="52">
        <f>MAX(0,CK$36)</f>
        <v/>
      </c>
      <c r="CL38" s="52">
        <f>MAX(0,CL$36)</f>
        <v/>
      </c>
      <c r="CM38" s="52">
        <f>MAX(0,CM$36)</f>
        <v/>
      </c>
      <c r="CN38" s="52">
        <f>MAX(0,CN$36)</f>
        <v/>
      </c>
      <c r="CO38" s="52">
        <f>MAX(0,CO$36)</f>
        <v/>
      </c>
      <c r="CP38" s="52">
        <f>MAX(0,CP$36)</f>
        <v/>
      </c>
      <c r="CQ38" s="52">
        <f>MAX(0,CQ$36)</f>
        <v/>
      </c>
      <c r="CR38" s="52">
        <f>MAX(0,CR$36)</f>
        <v/>
      </c>
      <c r="CS38" s="52">
        <f>MAX(0,CS$36)</f>
        <v/>
      </c>
      <c r="CT38" s="52">
        <f>MAX(0,CT$36)</f>
        <v/>
      </c>
      <c r="CU38" s="52">
        <f>MAX(0,CU$36)</f>
        <v/>
      </c>
      <c r="CV38" s="52">
        <f>MAX(0,CV$36)</f>
        <v/>
      </c>
      <c r="CW38" s="52">
        <f>MAX(0,CW$36)</f>
        <v/>
      </c>
      <c r="CX38" s="52">
        <f>MAX(0,CX$36)</f>
        <v/>
      </c>
      <c r="CY38" s="52">
        <f>MAX(0,CY$36)</f>
        <v/>
      </c>
      <c r="CZ38" s="52">
        <f>MAX(0,CZ$36)</f>
        <v/>
      </c>
      <c r="DA38" s="52">
        <f>MAX(0,DA$36)</f>
        <v/>
      </c>
      <c r="DB38" s="52">
        <f>MAX(0,DB$36)</f>
        <v/>
      </c>
      <c r="DC38" s="52">
        <f>MAX(0,DC$36)</f>
        <v/>
      </c>
      <c r="DD38" s="52">
        <f>MAX(0,DD$36)</f>
        <v/>
      </c>
      <c r="DE38" s="52">
        <f>MAX(0,DE$36)</f>
        <v/>
      </c>
      <c r="DF38" s="52">
        <f>MAX(0,DF$36)</f>
        <v/>
      </c>
      <c r="DG38" s="52">
        <f>MAX(0,DG$36)</f>
        <v/>
      </c>
      <c r="DH38" s="52">
        <f>MAX(0,DH$36)</f>
        <v/>
      </c>
      <c r="DI38" s="52">
        <f>MAX(0,DI$36)</f>
        <v/>
      </c>
      <c r="DJ38" s="52">
        <f>MAX(0,DJ$36)</f>
        <v/>
      </c>
      <c r="DK38" s="52">
        <f>MAX(0,DK$36)</f>
        <v/>
      </c>
      <c r="DL38" s="52">
        <f>MAX(0,DL$36)</f>
        <v/>
      </c>
      <c r="DM38" s="52">
        <f>MAX(0,DM$36)</f>
        <v/>
      </c>
      <c r="DN38" s="52">
        <f>MAX(0,DN$36)</f>
        <v/>
      </c>
      <c r="DO38" s="52">
        <f>MAX(0,DO$36)</f>
        <v/>
      </c>
      <c r="DP38" s="52">
        <f>MAX(0,DP$36)</f>
        <v/>
      </c>
      <c r="DQ38" s="52">
        <f>MAX(0,DQ$36)</f>
        <v/>
      </c>
      <c r="DR38" s="52">
        <f>MAX(0,DR$36)</f>
        <v/>
      </c>
      <c r="DS38" s="52">
        <f>MAX(0,DS$36)</f>
        <v/>
      </c>
      <c r="DT38" s="52">
        <f>MAX(0,DT$36)</f>
        <v/>
      </c>
    </row>
    <row r="39">
      <c r="A39" s="10" t="inlineStr">
        <is>
          <t>Pref accrued this period</t>
        </is>
      </c>
      <c r="E39" s="52">
        <f>(0+0)*((1+PrefRate)^(1/12)-1)</f>
        <v/>
      </c>
      <c r="F39" s="52">
        <f>(E$52+E$53)*((1+PrefRate)^(1/12)-1)</f>
        <v/>
      </c>
      <c r="G39" s="52">
        <f>(F$52+F$53)*((1+PrefRate)^(1/12)-1)</f>
        <v/>
      </c>
      <c r="H39" s="52">
        <f>(G$52+G$53)*((1+PrefRate)^(1/12)-1)</f>
        <v/>
      </c>
      <c r="I39" s="52">
        <f>(H$52+H$53)*((1+PrefRate)^(1/12)-1)</f>
        <v/>
      </c>
      <c r="J39" s="52">
        <f>(I$52+I$53)*((1+PrefRate)^(1/12)-1)</f>
        <v/>
      </c>
      <c r="K39" s="52">
        <f>(J$52+J$53)*((1+PrefRate)^(1/12)-1)</f>
        <v/>
      </c>
      <c r="L39" s="52">
        <f>(K$52+K$53)*((1+PrefRate)^(1/12)-1)</f>
        <v/>
      </c>
      <c r="M39" s="52">
        <f>(L$52+L$53)*((1+PrefRate)^(1/12)-1)</f>
        <v/>
      </c>
      <c r="N39" s="52">
        <f>(M$52+M$53)*((1+PrefRate)^(1/12)-1)</f>
        <v/>
      </c>
      <c r="O39" s="52">
        <f>(N$52+N$53)*((1+PrefRate)^(1/12)-1)</f>
        <v/>
      </c>
      <c r="P39" s="52">
        <f>(O$52+O$53)*((1+PrefRate)^(1/12)-1)</f>
        <v/>
      </c>
      <c r="Q39" s="52">
        <f>(P$52+P$53)*((1+PrefRate)^(1/12)-1)</f>
        <v/>
      </c>
      <c r="R39" s="52">
        <f>(Q$52+Q$53)*((1+PrefRate)^(1/12)-1)</f>
        <v/>
      </c>
      <c r="S39" s="52">
        <f>(R$52+R$53)*((1+PrefRate)^(1/12)-1)</f>
        <v/>
      </c>
      <c r="T39" s="52">
        <f>(S$52+S$53)*((1+PrefRate)^(1/12)-1)</f>
        <v/>
      </c>
      <c r="U39" s="52">
        <f>(T$52+T$53)*((1+PrefRate)^(1/12)-1)</f>
        <v/>
      </c>
      <c r="V39" s="52">
        <f>(U$52+U$53)*((1+PrefRate)^(1/12)-1)</f>
        <v/>
      </c>
      <c r="W39" s="52">
        <f>(V$52+V$53)*((1+PrefRate)^(1/12)-1)</f>
        <v/>
      </c>
      <c r="X39" s="52">
        <f>(W$52+W$53)*((1+PrefRate)^(1/12)-1)</f>
        <v/>
      </c>
      <c r="Y39" s="52">
        <f>(X$52+X$53)*((1+PrefRate)^(1/12)-1)</f>
        <v/>
      </c>
      <c r="Z39" s="52">
        <f>(Y$52+Y$53)*((1+PrefRate)^(1/12)-1)</f>
        <v/>
      </c>
      <c r="AA39" s="52">
        <f>(Z$52+Z$53)*((1+PrefRate)^(1/12)-1)</f>
        <v/>
      </c>
      <c r="AB39" s="52">
        <f>(AA$52+AA$53)*((1+PrefRate)^(1/12)-1)</f>
        <v/>
      </c>
      <c r="AC39" s="52">
        <f>(AB$52+AB$53)*((1+PrefRate)^(1/12)-1)</f>
        <v/>
      </c>
      <c r="AD39" s="52">
        <f>(AC$52+AC$53)*((1+PrefRate)^(1/12)-1)</f>
        <v/>
      </c>
      <c r="AE39" s="52">
        <f>(AD$52+AD$53)*((1+PrefRate)^(1/12)-1)</f>
        <v/>
      </c>
      <c r="AF39" s="52">
        <f>(AE$52+AE$53)*((1+PrefRate)^(1/12)-1)</f>
        <v/>
      </c>
      <c r="AG39" s="52">
        <f>(AF$52+AF$53)*((1+PrefRate)^(1/12)-1)</f>
        <v/>
      </c>
      <c r="AH39" s="52">
        <f>(AG$52+AG$53)*((1+PrefRate)^(1/12)-1)</f>
        <v/>
      </c>
      <c r="AI39" s="52">
        <f>(AH$52+AH$53)*((1+PrefRate)^(1/12)-1)</f>
        <v/>
      </c>
      <c r="AJ39" s="52">
        <f>(AI$52+AI$53)*((1+PrefRate)^(1/12)-1)</f>
        <v/>
      </c>
      <c r="AK39" s="52">
        <f>(AJ$52+AJ$53)*((1+PrefRate)^(1/12)-1)</f>
        <v/>
      </c>
      <c r="AL39" s="52">
        <f>(AK$52+AK$53)*((1+PrefRate)^(1/12)-1)</f>
        <v/>
      </c>
      <c r="AM39" s="52">
        <f>(AL$52+AL$53)*((1+PrefRate)^(1/12)-1)</f>
        <v/>
      </c>
      <c r="AN39" s="52">
        <f>(AM$52+AM$53)*((1+PrefRate)^(1/12)-1)</f>
        <v/>
      </c>
      <c r="AO39" s="52">
        <f>(AN$52+AN$53)*((1+PrefRate)^(1/12)-1)</f>
        <v/>
      </c>
      <c r="AP39" s="52">
        <f>(AO$52+AO$53)*((1+PrefRate)^(1/12)-1)</f>
        <v/>
      </c>
      <c r="AQ39" s="52">
        <f>(AP$52+AP$53)*((1+PrefRate)^(1/12)-1)</f>
        <v/>
      </c>
      <c r="AR39" s="52">
        <f>(AQ$52+AQ$53)*((1+PrefRate)^(1/12)-1)</f>
        <v/>
      </c>
      <c r="AS39" s="52">
        <f>(AR$52+AR$53)*((1+PrefRate)^(1/12)-1)</f>
        <v/>
      </c>
      <c r="AT39" s="52">
        <f>(AS$52+AS$53)*((1+PrefRate)^(1/12)-1)</f>
        <v/>
      </c>
      <c r="AU39" s="52">
        <f>(AT$52+AT$53)*((1+PrefRate)^(1/12)-1)</f>
        <v/>
      </c>
      <c r="AV39" s="52">
        <f>(AU$52+AU$53)*((1+PrefRate)^(1/12)-1)</f>
        <v/>
      </c>
      <c r="AW39" s="52">
        <f>(AV$52+AV$53)*((1+PrefRate)^(1/12)-1)</f>
        <v/>
      </c>
      <c r="AX39" s="52">
        <f>(AW$52+AW$53)*((1+PrefRate)^(1/12)-1)</f>
        <v/>
      </c>
      <c r="AY39" s="52">
        <f>(AX$52+AX$53)*((1+PrefRate)^(1/12)-1)</f>
        <v/>
      </c>
      <c r="AZ39" s="52">
        <f>(AY$52+AY$53)*((1+PrefRate)^(1/12)-1)</f>
        <v/>
      </c>
      <c r="BA39" s="52">
        <f>(AZ$52+AZ$53)*((1+PrefRate)^(1/12)-1)</f>
        <v/>
      </c>
      <c r="BB39" s="52">
        <f>(BA$52+BA$53)*((1+PrefRate)^(1/12)-1)</f>
        <v/>
      </c>
      <c r="BC39" s="52">
        <f>(BB$52+BB$53)*((1+PrefRate)^(1/12)-1)</f>
        <v/>
      </c>
      <c r="BD39" s="52">
        <f>(BC$52+BC$53)*((1+PrefRate)^(1/12)-1)</f>
        <v/>
      </c>
      <c r="BE39" s="52">
        <f>(BD$52+BD$53)*((1+PrefRate)^(1/12)-1)</f>
        <v/>
      </c>
      <c r="BF39" s="52">
        <f>(BE$52+BE$53)*((1+PrefRate)^(1/12)-1)</f>
        <v/>
      </c>
      <c r="BG39" s="52">
        <f>(BF$52+BF$53)*((1+PrefRate)^(1/12)-1)</f>
        <v/>
      </c>
      <c r="BH39" s="52">
        <f>(BG$52+BG$53)*((1+PrefRate)^(1/12)-1)</f>
        <v/>
      </c>
      <c r="BI39" s="52">
        <f>(BH$52+BH$53)*((1+PrefRate)^(1/12)-1)</f>
        <v/>
      </c>
      <c r="BJ39" s="52">
        <f>(BI$52+BI$53)*((1+PrefRate)^(1/12)-1)</f>
        <v/>
      </c>
      <c r="BK39" s="52">
        <f>(BJ$52+BJ$53)*((1+PrefRate)^(1/12)-1)</f>
        <v/>
      </c>
      <c r="BL39" s="52">
        <f>(BK$52+BK$53)*((1+PrefRate)^(1/12)-1)</f>
        <v/>
      </c>
      <c r="BM39" s="52">
        <f>(BL$52+BL$53)*((1+PrefRate)^(1/12)-1)</f>
        <v/>
      </c>
      <c r="BN39" s="52">
        <f>(BM$52+BM$53)*((1+PrefRate)^(1/12)-1)</f>
        <v/>
      </c>
      <c r="BO39" s="52">
        <f>(BN$52+BN$53)*((1+PrefRate)^(1/12)-1)</f>
        <v/>
      </c>
      <c r="BP39" s="52">
        <f>(BO$52+BO$53)*((1+PrefRate)^(1/12)-1)</f>
        <v/>
      </c>
      <c r="BQ39" s="52">
        <f>(BP$52+BP$53)*((1+PrefRate)^(1/12)-1)</f>
        <v/>
      </c>
      <c r="BR39" s="52">
        <f>(BQ$52+BQ$53)*((1+PrefRate)^(1/12)-1)</f>
        <v/>
      </c>
      <c r="BS39" s="52">
        <f>(BR$52+BR$53)*((1+PrefRate)^(1/12)-1)</f>
        <v/>
      </c>
      <c r="BT39" s="52">
        <f>(BS$52+BS$53)*((1+PrefRate)^(1/12)-1)</f>
        <v/>
      </c>
      <c r="BU39" s="52">
        <f>(BT$52+BT$53)*((1+PrefRate)^(1/12)-1)</f>
        <v/>
      </c>
      <c r="BV39" s="52">
        <f>(BU$52+BU$53)*((1+PrefRate)^(1/12)-1)</f>
        <v/>
      </c>
      <c r="BW39" s="52">
        <f>(BV$52+BV$53)*((1+PrefRate)^(1/12)-1)</f>
        <v/>
      </c>
      <c r="BX39" s="52">
        <f>(BW$52+BW$53)*((1+PrefRate)^(1/12)-1)</f>
        <v/>
      </c>
      <c r="BY39" s="52">
        <f>(BX$52+BX$53)*((1+PrefRate)^(1/12)-1)</f>
        <v/>
      </c>
      <c r="BZ39" s="52">
        <f>(BY$52+BY$53)*((1+PrefRate)^(1/12)-1)</f>
        <v/>
      </c>
      <c r="CA39" s="52">
        <f>(BZ$52+BZ$53)*((1+PrefRate)^(1/12)-1)</f>
        <v/>
      </c>
      <c r="CB39" s="52">
        <f>(CA$52+CA$53)*((1+PrefRate)^(1/12)-1)</f>
        <v/>
      </c>
      <c r="CC39" s="52">
        <f>(CB$52+CB$53)*((1+PrefRate)^(1/12)-1)</f>
        <v/>
      </c>
      <c r="CD39" s="52">
        <f>(CC$52+CC$53)*((1+PrefRate)^(1/12)-1)</f>
        <v/>
      </c>
      <c r="CE39" s="52">
        <f>(CD$52+CD$53)*((1+PrefRate)^(1/12)-1)</f>
        <v/>
      </c>
      <c r="CF39" s="52">
        <f>(CE$52+CE$53)*((1+PrefRate)^(1/12)-1)</f>
        <v/>
      </c>
      <c r="CG39" s="52">
        <f>(CF$52+CF$53)*((1+PrefRate)^(1/12)-1)</f>
        <v/>
      </c>
      <c r="CH39" s="52">
        <f>(CG$52+CG$53)*((1+PrefRate)^(1/12)-1)</f>
        <v/>
      </c>
      <c r="CI39" s="52">
        <f>(CH$52+CH$53)*((1+PrefRate)^(1/12)-1)</f>
        <v/>
      </c>
      <c r="CJ39" s="52">
        <f>(CI$52+CI$53)*((1+PrefRate)^(1/12)-1)</f>
        <v/>
      </c>
      <c r="CK39" s="52">
        <f>(CJ$52+CJ$53)*((1+PrefRate)^(1/12)-1)</f>
        <v/>
      </c>
      <c r="CL39" s="52">
        <f>(CK$52+CK$53)*((1+PrefRate)^(1/12)-1)</f>
        <v/>
      </c>
      <c r="CM39" s="52">
        <f>(CL$52+CL$53)*((1+PrefRate)^(1/12)-1)</f>
        <v/>
      </c>
      <c r="CN39" s="52">
        <f>(CM$52+CM$53)*((1+PrefRate)^(1/12)-1)</f>
        <v/>
      </c>
      <c r="CO39" s="52">
        <f>(CN$52+CN$53)*((1+PrefRate)^(1/12)-1)</f>
        <v/>
      </c>
      <c r="CP39" s="52">
        <f>(CO$52+CO$53)*((1+PrefRate)^(1/12)-1)</f>
        <v/>
      </c>
      <c r="CQ39" s="52">
        <f>(CP$52+CP$53)*((1+PrefRate)^(1/12)-1)</f>
        <v/>
      </c>
      <c r="CR39" s="52">
        <f>(CQ$52+CQ$53)*((1+PrefRate)^(1/12)-1)</f>
        <v/>
      </c>
      <c r="CS39" s="52">
        <f>(CR$52+CR$53)*((1+PrefRate)^(1/12)-1)</f>
        <v/>
      </c>
      <c r="CT39" s="52">
        <f>(CS$52+CS$53)*((1+PrefRate)^(1/12)-1)</f>
        <v/>
      </c>
      <c r="CU39" s="52">
        <f>(CT$52+CT$53)*((1+PrefRate)^(1/12)-1)</f>
        <v/>
      </c>
      <c r="CV39" s="52">
        <f>(CU$52+CU$53)*((1+PrefRate)^(1/12)-1)</f>
        <v/>
      </c>
      <c r="CW39" s="52">
        <f>(CV$52+CV$53)*((1+PrefRate)^(1/12)-1)</f>
        <v/>
      </c>
      <c r="CX39" s="52">
        <f>(CW$52+CW$53)*((1+PrefRate)^(1/12)-1)</f>
        <v/>
      </c>
      <c r="CY39" s="52">
        <f>(CX$52+CX$53)*((1+PrefRate)^(1/12)-1)</f>
        <v/>
      </c>
      <c r="CZ39" s="52">
        <f>(CY$52+CY$53)*((1+PrefRate)^(1/12)-1)</f>
        <v/>
      </c>
      <c r="DA39" s="52">
        <f>(CZ$52+CZ$53)*((1+PrefRate)^(1/12)-1)</f>
        <v/>
      </c>
      <c r="DB39" s="52">
        <f>(DA$52+DA$53)*((1+PrefRate)^(1/12)-1)</f>
        <v/>
      </c>
      <c r="DC39" s="52">
        <f>(DB$52+DB$53)*((1+PrefRate)^(1/12)-1)</f>
        <v/>
      </c>
      <c r="DD39" s="52">
        <f>(DC$52+DC$53)*((1+PrefRate)^(1/12)-1)</f>
        <v/>
      </c>
      <c r="DE39" s="52">
        <f>(DD$52+DD$53)*((1+PrefRate)^(1/12)-1)</f>
        <v/>
      </c>
      <c r="DF39" s="52">
        <f>(DE$52+DE$53)*((1+PrefRate)^(1/12)-1)</f>
        <v/>
      </c>
      <c r="DG39" s="52">
        <f>(DF$52+DF$53)*((1+PrefRate)^(1/12)-1)</f>
        <v/>
      </c>
      <c r="DH39" s="52">
        <f>(DG$52+DG$53)*((1+PrefRate)^(1/12)-1)</f>
        <v/>
      </c>
      <c r="DI39" s="52">
        <f>(DH$52+DH$53)*((1+PrefRate)^(1/12)-1)</f>
        <v/>
      </c>
      <c r="DJ39" s="52">
        <f>(DI$52+DI$53)*((1+PrefRate)^(1/12)-1)</f>
        <v/>
      </c>
      <c r="DK39" s="52">
        <f>(DJ$52+DJ$53)*((1+PrefRate)^(1/12)-1)</f>
        <v/>
      </c>
      <c r="DL39" s="52">
        <f>(DK$52+DK$53)*((1+PrefRate)^(1/12)-1)</f>
        <v/>
      </c>
      <c r="DM39" s="52">
        <f>(DL$52+DL$53)*((1+PrefRate)^(1/12)-1)</f>
        <v/>
      </c>
      <c r="DN39" s="52">
        <f>(DM$52+DM$53)*((1+PrefRate)^(1/12)-1)</f>
        <v/>
      </c>
      <c r="DO39" s="52">
        <f>(DN$52+DN$53)*((1+PrefRate)^(1/12)-1)</f>
        <v/>
      </c>
      <c r="DP39" s="52">
        <f>(DO$52+DO$53)*((1+PrefRate)^(1/12)-1)</f>
        <v/>
      </c>
      <c r="DQ39" s="52">
        <f>(DP$52+DP$53)*((1+PrefRate)^(1/12)-1)</f>
        <v/>
      </c>
      <c r="DR39" s="52">
        <f>(DQ$52+DQ$53)*((1+PrefRate)^(1/12)-1)</f>
        <v/>
      </c>
      <c r="DS39" s="52">
        <f>(DR$52+DR$53)*((1+PrefRate)^(1/12)-1)</f>
        <v/>
      </c>
      <c r="DT39" s="52">
        <f>(DS$52+DS$53)*((1+PrefRate)^(1/12)-1)</f>
        <v/>
      </c>
    </row>
    <row r="40">
      <c r="A40" s="10" t="inlineStr">
        <is>
          <t>Tier 1 — Return of Capital</t>
        </is>
      </c>
      <c r="E40" s="52">
        <f>MIN(E$38,0+E$37)</f>
        <v/>
      </c>
      <c r="F40" s="52">
        <f>MIN(F$38,E$52+F$37)</f>
        <v/>
      </c>
      <c r="G40" s="52">
        <f>MIN(G$38,F$52+G$37)</f>
        <v/>
      </c>
      <c r="H40" s="52">
        <f>MIN(H$38,G$52+H$37)</f>
        <v/>
      </c>
      <c r="I40" s="52">
        <f>MIN(I$38,H$52+I$37)</f>
        <v/>
      </c>
      <c r="J40" s="52">
        <f>MIN(J$38,I$52+J$37)</f>
        <v/>
      </c>
      <c r="K40" s="52">
        <f>MIN(K$38,J$52+K$37)</f>
        <v/>
      </c>
      <c r="L40" s="52">
        <f>MIN(L$38,K$52+L$37)</f>
        <v/>
      </c>
      <c r="M40" s="52">
        <f>MIN(M$38,L$52+M$37)</f>
        <v/>
      </c>
      <c r="N40" s="52">
        <f>MIN(N$38,M$52+N$37)</f>
        <v/>
      </c>
      <c r="O40" s="52">
        <f>MIN(O$38,N$52+O$37)</f>
        <v/>
      </c>
      <c r="P40" s="52">
        <f>MIN(P$38,O$52+P$37)</f>
        <v/>
      </c>
      <c r="Q40" s="52">
        <f>MIN(Q$38,P$52+Q$37)</f>
        <v/>
      </c>
      <c r="R40" s="52">
        <f>MIN(R$38,Q$52+R$37)</f>
        <v/>
      </c>
      <c r="S40" s="52">
        <f>MIN(S$38,R$52+S$37)</f>
        <v/>
      </c>
      <c r="T40" s="52">
        <f>MIN(T$38,S$52+T$37)</f>
        <v/>
      </c>
      <c r="U40" s="52">
        <f>MIN(U$38,T$52+U$37)</f>
        <v/>
      </c>
      <c r="V40" s="52">
        <f>MIN(V$38,U$52+V$37)</f>
        <v/>
      </c>
      <c r="W40" s="52">
        <f>MIN(W$38,V$52+W$37)</f>
        <v/>
      </c>
      <c r="X40" s="52">
        <f>MIN(X$38,W$52+X$37)</f>
        <v/>
      </c>
      <c r="Y40" s="52">
        <f>MIN(Y$38,X$52+Y$37)</f>
        <v/>
      </c>
      <c r="Z40" s="52">
        <f>MIN(Z$38,Y$52+Z$37)</f>
        <v/>
      </c>
      <c r="AA40" s="52">
        <f>MIN(AA$38,Z$52+AA$37)</f>
        <v/>
      </c>
      <c r="AB40" s="52">
        <f>MIN(AB$38,AA$52+AB$37)</f>
        <v/>
      </c>
      <c r="AC40" s="52">
        <f>MIN(AC$38,AB$52+AC$37)</f>
        <v/>
      </c>
      <c r="AD40" s="52">
        <f>MIN(AD$38,AC$52+AD$37)</f>
        <v/>
      </c>
      <c r="AE40" s="52">
        <f>MIN(AE$38,AD$52+AE$37)</f>
        <v/>
      </c>
      <c r="AF40" s="52">
        <f>MIN(AF$38,AE$52+AF$37)</f>
        <v/>
      </c>
      <c r="AG40" s="52">
        <f>MIN(AG$38,AF$52+AG$37)</f>
        <v/>
      </c>
      <c r="AH40" s="52">
        <f>MIN(AH$38,AG$52+AH$37)</f>
        <v/>
      </c>
      <c r="AI40" s="52">
        <f>MIN(AI$38,AH$52+AI$37)</f>
        <v/>
      </c>
      <c r="AJ40" s="52">
        <f>MIN(AJ$38,AI$52+AJ$37)</f>
        <v/>
      </c>
      <c r="AK40" s="52">
        <f>MIN(AK$38,AJ$52+AK$37)</f>
        <v/>
      </c>
      <c r="AL40" s="52">
        <f>MIN(AL$38,AK$52+AL$37)</f>
        <v/>
      </c>
      <c r="AM40" s="52">
        <f>MIN(AM$38,AL$52+AM$37)</f>
        <v/>
      </c>
      <c r="AN40" s="52">
        <f>MIN(AN$38,AM$52+AN$37)</f>
        <v/>
      </c>
      <c r="AO40" s="52">
        <f>MIN(AO$38,AN$52+AO$37)</f>
        <v/>
      </c>
      <c r="AP40" s="52">
        <f>MIN(AP$38,AO$52+AP$37)</f>
        <v/>
      </c>
      <c r="AQ40" s="52">
        <f>MIN(AQ$38,AP$52+AQ$37)</f>
        <v/>
      </c>
      <c r="AR40" s="52">
        <f>MIN(AR$38,AQ$52+AR$37)</f>
        <v/>
      </c>
      <c r="AS40" s="52">
        <f>MIN(AS$38,AR$52+AS$37)</f>
        <v/>
      </c>
      <c r="AT40" s="52">
        <f>MIN(AT$38,AS$52+AT$37)</f>
        <v/>
      </c>
      <c r="AU40" s="52">
        <f>MIN(AU$38,AT$52+AU$37)</f>
        <v/>
      </c>
      <c r="AV40" s="52">
        <f>MIN(AV$38,AU$52+AV$37)</f>
        <v/>
      </c>
      <c r="AW40" s="52">
        <f>MIN(AW$38,AV$52+AW$37)</f>
        <v/>
      </c>
      <c r="AX40" s="52">
        <f>MIN(AX$38,AW$52+AX$37)</f>
        <v/>
      </c>
      <c r="AY40" s="52">
        <f>MIN(AY$38,AX$52+AY$37)</f>
        <v/>
      </c>
      <c r="AZ40" s="52">
        <f>MIN(AZ$38,AY$52+AZ$37)</f>
        <v/>
      </c>
      <c r="BA40" s="52">
        <f>MIN(BA$38,AZ$52+BA$37)</f>
        <v/>
      </c>
      <c r="BB40" s="52">
        <f>MIN(BB$38,BA$52+BB$37)</f>
        <v/>
      </c>
      <c r="BC40" s="52">
        <f>MIN(BC$38,BB$52+BC$37)</f>
        <v/>
      </c>
      <c r="BD40" s="52">
        <f>MIN(BD$38,BC$52+BD$37)</f>
        <v/>
      </c>
      <c r="BE40" s="52">
        <f>MIN(BE$38,BD$52+BE$37)</f>
        <v/>
      </c>
      <c r="BF40" s="52">
        <f>MIN(BF$38,BE$52+BF$37)</f>
        <v/>
      </c>
      <c r="BG40" s="52">
        <f>MIN(BG$38,BF$52+BG$37)</f>
        <v/>
      </c>
      <c r="BH40" s="52">
        <f>MIN(BH$38,BG$52+BH$37)</f>
        <v/>
      </c>
      <c r="BI40" s="52">
        <f>MIN(BI$38,BH$52+BI$37)</f>
        <v/>
      </c>
      <c r="BJ40" s="52">
        <f>MIN(BJ$38,BI$52+BJ$37)</f>
        <v/>
      </c>
      <c r="BK40" s="52">
        <f>MIN(BK$38,BJ$52+BK$37)</f>
        <v/>
      </c>
      <c r="BL40" s="52">
        <f>MIN(BL$38,BK$52+BL$37)</f>
        <v/>
      </c>
      <c r="BM40" s="52">
        <f>MIN(BM$38,BL$52+BM$37)</f>
        <v/>
      </c>
      <c r="BN40" s="52">
        <f>MIN(BN$38,BM$52+BN$37)</f>
        <v/>
      </c>
      <c r="BO40" s="52">
        <f>MIN(BO$38,BN$52+BO$37)</f>
        <v/>
      </c>
      <c r="BP40" s="52">
        <f>MIN(BP$38,BO$52+BP$37)</f>
        <v/>
      </c>
      <c r="BQ40" s="52">
        <f>MIN(BQ$38,BP$52+BQ$37)</f>
        <v/>
      </c>
      <c r="BR40" s="52">
        <f>MIN(BR$38,BQ$52+BR$37)</f>
        <v/>
      </c>
      <c r="BS40" s="52">
        <f>MIN(BS$38,BR$52+BS$37)</f>
        <v/>
      </c>
      <c r="BT40" s="52">
        <f>MIN(BT$38,BS$52+BT$37)</f>
        <v/>
      </c>
      <c r="BU40" s="52">
        <f>MIN(BU$38,BT$52+BU$37)</f>
        <v/>
      </c>
      <c r="BV40" s="52">
        <f>MIN(BV$38,BU$52+BV$37)</f>
        <v/>
      </c>
      <c r="BW40" s="52">
        <f>MIN(BW$38,BV$52+BW$37)</f>
        <v/>
      </c>
      <c r="BX40" s="52">
        <f>MIN(BX$38,BW$52+BX$37)</f>
        <v/>
      </c>
      <c r="BY40" s="52">
        <f>MIN(BY$38,BX$52+BY$37)</f>
        <v/>
      </c>
      <c r="BZ40" s="52">
        <f>MIN(BZ$38,BY$52+BZ$37)</f>
        <v/>
      </c>
      <c r="CA40" s="52">
        <f>MIN(CA$38,BZ$52+CA$37)</f>
        <v/>
      </c>
      <c r="CB40" s="52">
        <f>MIN(CB$38,CA$52+CB$37)</f>
        <v/>
      </c>
      <c r="CC40" s="52">
        <f>MIN(CC$38,CB$52+CC$37)</f>
        <v/>
      </c>
      <c r="CD40" s="52">
        <f>MIN(CD$38,CC$52+CD$37)</f>
        <v/>
      </c>
      <c r="CE40" s="52">
        <f>MIN(CE$38,CD$52+CE$37)</f>
        <v/>
      </c>
      <c r="CF40" s="52">
        <f>MIN(CF$38,CE$52+CF$37)</f>
        <v/>
      </c>
      <c r="CG40" s="52">
        <f>MIN(CG$38,CF$52+CG$37)</f>
        <v/>
      </c>
      <c r="CH40" s="52">
        <f>MIN(CH$38,CG$52+CH$37)</f>
        <v/>
      </c>
      <c r="CI40" s="52">
        <f>MIN(CI$38,CH$52+CI$37)</f>
        <v/>
      </c>
      <c r="CJ40" s="52">
        <f>MIN(CJ$38,CI$52+CJ$37)</f>
        <v/>
      </c>
      <c r="CK40" s="52">
        <f>MIN(CK$38,CJ$52+CK$37)</f>
        <v/>
      </c>
      <c r="CL40" s="52">
        <f>MIN(CL$38,CK$52+CL$37)</f>
        <v/>
      </c>
      <c r="CM40" s="52">
        <f>MIN(CM$38,CL$52+CM$37)</f>
        <v/>
      </c>
      <c r="CN40" s="52">
        <f>MIN(CN$38,CM$52+CN$37)</f>
        <v/>
      </c>
      <c r="CO40" s="52">
        <f>MIN(CO$38,CN$52+CO$37)</f>
        <v/>
      </c>
      <c r="CP40" s="52">
        <f>MIN(CP$38,CO$52+CP$37)</f>
        <v/>
      </c>
      <c r="CQ40" s="52">
        <f>MIN(CQ$38,CP$52+CQ$37)</f>
        <v/>
      </c>
      <c r="CR40" s="52">
        <f>MIN(CR$38,CQ$52+CR$37)</f>
        <v/>
      </c>
      <c r="CS40" s="52">
        <f>MIN(CS$38,CR$52+CS$37)</f>
        <v/>
      </c>
      <c r="CT40" s="52">
        <f>MIN(CT$38,CS$52+CT$37)</f>
        <v/>
      </c>
      <c r="CU40" s="52">
        <f>MIN(CU$38,CT$52+CU$37)</f>
        <v/>
      </c>
      <c r="CV40" s="52">
        <f>MIN(CV$38,CU$52+CV$37)</f>
        <v/>
      </c>
      <c r="CW40" s="52">
        <f>MIN(CW$38,CV$52+CW$37)</f>
        <v/>
      </c>
      <c r="CX40" s="52">
        <f>MIN(CX$38,CW$52+CX$37)</f>
        <v/>
      </c>
      <c r="CY40" s="52">
        <f>MIN(CY$38,CX$52+CY$37)</f>
        <v/>
      </c>
      <c r="CZ40" s="52">
        <f>MIN(CZ$38,CY$52+CZ$37)</f>
        <v/>
      </c>
      <c r="DA40" s="52">
        <f>MIN(DA$38,CZ$52+DA$37)</f>
        <v/>
      </c>
      <c r="DB40" s="52">
        <f>MIN(DB$38,DA$52+DB$37)</f>
        <v/>
      </c>
      <c r="DC40" s="52">
        <f>MIN(DC$38,DB$52+DC$37)</f>
        <v/>
      </c>
      <c r="DD40" s="52">
        <f>MIN(DD$38,DC$52+DD$37)</f>
        <v/>
      </c>
      <c r="DE40" s="52">
        <f>MIN(DE$38,DD$52+DE$37)</f>
        <v/>
      </c>
      <c r="DF40" s="52">
        <f>MIN(DF$38,DE$52+DF$37)</f>
        <v/>
      </c>
      <c r="DG40" s="52">
        <f>MIN(DG$38,DF$52+DG$37)</f>
        <v/>
      </c>
      <c r="DH40" s="52">
        <f>MIN(DH$38,DG$52+DH$37)</f>
        <v/>
      </c>
      <c r="DI40" s="52">
        <f>MIN(DI$38,DH$52+DI$37)</f>
        <v/>
      </c>
      <c r="DJ40" s="52">
        <f>MIN(DJ$38,DI$52+DJ$37)</f>
        <v/>
      </c>
      <c r="DK40" s="52">
        <f>MIN(DK$38,DJ$52+DK$37)</f>
        <v/>
      </c>
      <c r="DL40" s="52">
        <f>MIN(DL$38,DK$52+DL$37)</f>
        <v/>
      </c>
      <c r="DM40" s="52">
        <f>MIN(DM$38,DL$52+DM$37)</f>
        <v/>
      </c>
      <c r="DN40" s="52">
        <f>MIN(DN$38,DM$52+DN$37)</f>
        <v/>
      </c>
      <c r="DO40" s="52">
        <f>MIN(DO$38,DN$52+DO$37)</f>
        <v/>
      </c>
      <c r="DP40" s="52">
        <f>MIN(DP$38,DO$52+DP$37)</f>
        <v/>
      </c>
      <c r="DQ40" s="52">
        <f>MIN(DQ$38,DP$52+DQ$37)</f>
        <v/>
      </c>
      <c r="DR40" s="52">
        <f>MIN(DR$38,DQ$52+DR$37)</f>
        <v/>
      </c>
      <c r="DS40" s="52">
        <f>MIN(DS$38,DR$52+DS$37)</f>
        <v/>
      </c>
      <c r="DT40" s="52">
        <f>MIN(DT$38,DS$52+DT$37)</f>
        <v/>
      </c>
    </row>
    <row r="41">
      <c r="A41" s="10" t="inlineStr">
        <is>
          <t>Tier 2 — Preferred return</t>
        </is>
      </c>
      <c r="E41" s="52">
        <f>MIN(E$38-E$40,0+E$39)</f>
        <v/>
      </c>
      <c r="F41" s="52">
        <f>MIN(F$38-F$40,E$53+F$39)</f>
        <v/>
      </c>
      <c r="G41" s="52">
        <f>MIN(G$38-G$40,F$53+G$39)</f>
        <v/>
      </c>
      <c r="H41" s="52">
        <f>MIN(H$38-H$40,G$53+H$39)</f>
        <v/>
      </c>
      <c r="I41" s="52">
        <f>MIN(I$38-I$40,H$53+I$39)</f>
        <v/>
      </c>
      <c r="J41" s="52">
        <f>MIN(J$38-J$40,I$53+J$39)</f>
        <v/>
      </c>
      <c r="K41" s="52">
        <f>MIN(K$38-K$40,J$53+K$39)</f>
        <v/>
      </c>
      <c r="L41" s="52">
        <f>MIN(L$38-L$40,K$53+L$39)</f>
        <v/>
      </c>
      <c r="M41" s="52">
        <f>MIN(M$38-M$40,L$53+M$39)</f>
        <v/>
      </c>
      <c r="N41" s="52">
        <f>MIN(N$38-N$40,M$53+N$39)</f>
        <v/>
      </c>
      <c r="O41" s="52">
        <f>MIN(O$38-O$40,N$53+O$39)</f>
        <v/>
      </c>
      <c r="P41" s="52">
        <f>MIN(P$38-P$40,O$53+P$39)</f>
        <v/>
      </c>
      <c r="Q41" s="52">
        <f>MIN(Q$38-Q$40,P$53+Q$39)</f>
        <v/>
      </c>
      <c r="R41" s="52">
        <f>MIN(R$38-R$40,Q$53+R$39)</f>
        <v/>
      </c>
      <c r="S41" s="52">
        <f>MIN(S$38-S$40,R$53+S$39)</f>
        <v/>
      </c>
      <c r="T41" s="52">
        <f>MIN(T$38-T$40,S$53+T$39)</f>
        <v/>
      </c>
      <c r="U41" s="52">
        <f>MIN(U$38-U$40,T$53+U$39)</f>
        <v/>
      </c>
      <c r="V41" s="52">
        <f>MIN(V$38-V$40,U$53+V$39)</f>
        <v/>
      </c>
      <c r="W41" s="52">
        <f>MIN(W$38-W$40,V$53+W$39)</f>
        <v/>
      </c>
      <c r="X41" s="52">
        <f>MIN(X$38-X$40,W$53+X$39)</f>
        <v/>
      </c>
      <c r="Y41" s="52">
        <f>MIN(Y$38-Y$40,X$53+Y$39)</f>
        <v/>
      </c>
      <c r="Z41" s="52">
        <f>MIN(Z$38-Z$40,Y$53+Z$39)</f>
        <v/>
      </c>
      <c r="AA41" s="52">
        <f>MIN(AA$38-AA$40,Z$53+AA$39)</f>
        <v/>
      </c>
      <c r="AB41" s="52">
        <f>MIN(AB$38-AB$40,AA$53+AB$39)</f>
        <v/>
      </c>
      <c r="AC41" s="52">
        <f>MIN(AC$38-AC$40,AB$53+AC$39)</f>
        <v/>
      </c>
      <c r="AD41" s="52">
        <f>MIN(AD$38-AD$40,AC$53+AD$39)</f>
        <v/>
      </c>
      <c r="AE41" s="52">
        <f>MIN(AE$38-AE$40,AD$53+AE$39)</f>
        <v/>
      </c>
      <c r="AF41" s="52">
        <f>MIN(AF$38-AF$40,AE$53+AF$39)</f>
        <v/>
      </c>
      <c r="AG41" s="52">
        <f>MIN(AG$38-AG$40,AF$53+AG$39)</f>
        <v/>
      </c>
      <c r="AH41" s="52">
        <f>MIN(AH$38-AH$40,AG$53+AH$39)</f>
        <v/>
      </c>
      <c r="AI41" s="52">
        <f>MIN(AI$38-AI$40,AH$53+AI$39)</f>
        <v/>
      </c>
      <c r="AJ41" s="52">
        <f>MIN(AJ$38-AJ$40,AI$53+AJ$39)</f>
        <v/>
      </c>
      <c r="AK41" s="52">
        <f>MIN(AK$38-AK$40,AJ$53+AK$39)</f>
        <v/>
      </c>
      <c r="AL41" s="52">
        <f>MIN(AL$38-AL$40,AK$53+AL$39)</f>
        <v/>
      </c>
      <c r="AM41" s="52">
        <f>MIN(AM$38-AM$40,AL$53+AM$39)</f>
        <v/>
      </c>
      <c r="AN41" s="52">
        <f>MIN(AN$38-AN$40,AM$53+AN$39)</f>
        <v/>
      </c>
      <c r="AO41" s="52">
        <f>MIN(AO$38-AO$40,AN$53+AO$39)</f>
        <v/>
      </c>
      <c r="AP41" s="52">
        <f>MIN(AP$38-AP$40,AO$53+AP$39)</f>
        <v/>
      </c>
      <c r="AQ41" s="52">
        <f>MIN(AQ$38-AQ$40,AP$53+AQ$39)</f>
        <v/>
      </c>
      <c r="AR41" s="52">
        <f>MIN(AR$38-AR$40,AQ$53+AR$39)</f>
        <v/>
      </c>
      <c r="AS41" s="52">
        <f>MIN(AS$38-AS$40,AR$53+AS$39)</f>
        <v/>
      </c>
      <c r="AT41" s="52">
        <f>MIN(AT$38-AT$40,AS$53+AT$39)</f>
        <v/>
      </c>
      <c r="AU41" s="52">
        <f>MIN(AU$38-AU$40,AT$53+AU$39)</f>
        <v/>
      </c>
      <c r="AV41" s="52">
        <f>MIN(AV$38-AV$40,AU$53+AV$39)</f>
        <v/>
      </c>
      <c r="AW41" s="52">
        <f>MIN(AW$38-AW$40,AV$53+AW$39)</f>
        <v/>
      </c>
      <c r="AX41" s="52">
        <f>MIN(AX$38-AX$40,AW$53+AX$39)</f>
        <v/>
      </c>
      <c r="AY41" s="52">
        <f>MIN(AY$38-AY$40,AX$53+AY$39)</f>
        <v/>
      </c>
      <c r="AZ41" s="52">
        <f>MIN(AZ$38-AZ$40,AY$53+AZ$39)</f>
        <v/>
      </c>
      <c r="BA41" s="52">
        <f>MIN(BA$38-BA$40,AZ$53+BA$39)</f>
        <v/>
      </c>
      <c r="BB41" s="52">
        <f>MIN(BB$38-BB$40,BA$53+BB$39)</f>
        <v/>
      </c>
      <c r="BC41" s="52">
        <f>MIN(BC$38-BC$40,BB$53+BC$39)</f>
        <v/>
      </c>
      <c r="BD41" s="52">
        <f>MIN(BD$38-BD$40,BC$53+BD$39)</f>
        <v/>
      </c>
      <c r="BE41" s="52">
        <f>MIN(BE$38-BE$40,BD$53+BE$39)</f>
        <v/>
      </c>
      <c r="BF41" s="52">
        <f>MIN(BF$38-BF$40,BE$53+BF$39)</f>
        <v/>
      </c>
      <c r="BG41" s="52">
        <f>MIN(BG$38-BG$40,BF$53+BG$39)</f>
        <v/>
      </c>
      <c r="BH41" s="52">
        <f>MIN(BH$38-BH$40,BG$53+BH$39)</f>
        <v/>
      </c>
      <c r="BI41" s="52">
        <f>MIN(BI$38-BI$40,BH$53+BI$39)</f>
        <v/>
      </c>
      <c r="BJ41" s="52">
        <f>MIN(BJ$38-BJ$40,BI$53+BJ$39)</f>
        <v/>
      </c>
      <c r="BK41" s="52">
        <f>MIN(BK$38-BK$40,BJ$53+BK$39)</f>
        <v/>
      </c>
      <c r="BL41" s="52">
        <f>MIN(BL$38-BL$40,BK$53+BL$39)</f>
        <v/>
      </c>
      <c r="BM41" s="52">
        <f>MIN(BM$38-BM$40,BL$53+BM$39)</f>
        <v/>
      </c>
      <c r="BN41" s="52">
        <f>MIN(BN$38-BN$40,BM$53+BN$39)</f>
        <v/>
      </c>
      <c r="BO41" s="52">
        <f>MIN(BO$38-BO$40,BN$53+BO$39)</f>
        <v/>
      </c>
      <c r="BP41" s="52">
        <f>MIN(BP$38-BP$40,BO$53+BP$39)</f>
        <v/>
      </c>
      <c r="BQ41" s="52">
        <f>MIN(BQ$38-BQ$40,BP$53+BQ$39)</f>
        <v/>
      </c>
      <c r="BR41" s="52">
        <f>MIN(BR$38-BR$40,BQ$53+BR$39)</f>
        <v/>
      </c>
      <c r="BS41" s="52">
        <f>MIN(BS$38-BS$40,BR$53+BS$39)</f>
        <v/>
      </c>
      <c r="BT41" s="52">
        <f>MIN(BT$38-BT$40,BS$53+BT$39)</f>
        <v/>
      </c>
      <c r="BU41" s="52">
        <f>MIN(BU$38-BU$40,BT$53+BU$39)</f>
        <v/>
      </c>
      <c r="BV41" s="52">
        <f>MIN(BV$38-BV$40,BU$53+BV$39)</f>
        <v/>
      </c>
      <c r="BW41" s="52">
        <f>MIN(BW$38-BW$40,BV$53+BW$39)</f>
        <v/>
      </c>
      <c r="BX41" s="52">
        <f>MIN(BX$38-BX$40,BW$53+BX$39)</f>
        <v/>
      </c>
      <c r="BY41" s="52">
        <f>MIN(BY$38-BY$40,BX$53+BY$39)</f>
        <v/>
      </c>
      <c r="BZ41" s="52">
        <f>MIN(BZ$38-BZ$40,BY$53+BZ$39)</f>
        <v/>
      </c>
      <c r="CA41" s="52">
        <f>MIN(CA$38-CA$40,BZ$53+CA$39)</f>
        <v/>
      </c>
      <c r="CB41" s="52">
        <f>MIN(CB$38-CB$40,CA$53+CB$39)</f>
        <v/>
      </c>
      <c r="CC41" s="52">
        <f>MIN(CC$38-CC$40,CB$53+CC$39)</f>
        <v/>
      </c>
      <c r="CD41" s="52">
        <f>MIN(CD$38-CD$40,CC$53+CD$39)</f>
        <v/>
      </c>
      <c r="CE41" s="52">
        <f>MIN(CE$38-CE$40,CD$53+CE$39)</f>
        <v/>
      </c>
      <c r="CF41" s="52">
        <f>MIN(CF$38-CF$40,CE$53+CF$39)</f>
        <v/>
      </c>
      <c r="CG41" s="52">
        <f>MIN(CG$38-CG$40,CF$53+CG$39)</f>
        <v/>
      </c>
      <c r="CH41" s="52">
        <f>MIN(CH$38-CH$40,CG$53+CH$39)</f>
        <v/>
      </c>
      <c r="CI41" s="52">
        <f>MIN(CI$38-CI$40,CH$53+CI$39)</f>
        <v/>
      </c>
      <c r="CJ41" s="52">
        <f>MIN(CJ$38-CJ$40,CI$53+CJ$39)</f>
        <v/>
      </c>
      <c r="CK41" s="52">
        <f>MIN(CK$38-CK$40,CJ$53+CK$39)</f>
        <v/>
      </c>
      <c r="CL41" s="52">
        <f>MIN(CL$38-CL$40,CK$53+CL$39)</f>
        <v/>
      </c>
      <c r="CM41" s="52">
        <f>MIN(CM$38-CM$40,CL$53+CM$39)</f>
        <v/>
      </c>
      <c r="CN41" s="52">
        <f>MIN(CN$38-CN$40,CM$53+CN$39)</f>
        <v/>
      </c>
      <c r="CO41" s="52">
        <f>MIN(CO$38-CO$40,CN$53+CO$39)</f>
        <v/>
      </c>
      <c r="CP41" s="52">
        <f>MIN(CP$38-CP$40,CO$53+CP$39)</f>
        <v/>
      </c>
      <c r="CQ41" s="52">
        <f>MIN(CQ$38-CQ$40,CP$53+CQ$39)</f>
        <v/>
      </c>
      <c r="CR41" s="52">
        <f>MIN(CR$38-CR$40,CQ$53+CR$39)</f>
        <v/>
      </c>
      <c r="CS41" s="52">
        <f>MIN(CS$38-CS$40,CR$53+CS$39)</f>
        <v/>
      </c>
      <c r="CT41" s="52">
        <f>MIN(CT$38-CT$40,CS$53+CT$39)</f>
        <v/>
      </c>
      <c r="CU41" s="52">
        <f>MIN(CU$38-CU$40,CT$53+CU$39)</f>
        <v/>
      </c>
      <c r="CV41" s="52">
        <f>MIN(CV$38-CV$40,CU$53+CV$39)</f>
        <v/>
      </c>
      <c r="CW41" s="52">
        <f>MIN(CW$38-CW$40,CV$53+CW$39)</f>
        <v/>
      </c>
      <c r="CX41" s="52">
        <f>MIN(CX$38-CX$40,CW$53+CX$39)</f>
        <v/>
      </c>
      <c r="CY41" s="52">
        <f>MIN(CY$38-CY$40,CX$53+CY$39)</f>
        <v/>
      </c>
      <c r="CZ41" s="52">
        <f>MIN(CZ$38-CZ$40,CY$53+CZ$39)</f>
        <v/>
      </c>
      <c r="DA41" s="52">
        <f>MIN(DA$38-DA$40,CZ$53+DA$39)</f>
        <v/>
      </c>
      <c r="DB41" s="52">
        <f>MIN(DB$38-DB$40,DA$53+DB$39)</f>
        <v/>
      </c>
      <c r="DC41" s="52">
        <f>MIN(DC$38-DC$40,DB$53+DC$39)</f>
        <v/>
      </c>
      <c r="DD41" s="52">
        <f>MIN(DD$38-DD$40,DC$53+DD$39)</f>
        <v/>
      </c>
      <c r="DE41" s="52">
        <f>MIN(DE$38-DE$40,DD$53+DE$39)</f>
        <v/>
      </c>
      <c r="DF41" s="52">
        <f>MIN(DF$38-DF$40,DE$53+DF$39)</f>
        <v/>
      </c>
      <c r="DG41" s="52">
        <f>MIN(DG$38-DG$40,DF$53+DG$39)</f>
        <v/>
      </c>
      <c r="DH41" s="52">
        <f>MIN(DH$38-DH$40,DG$53+DH$39)</f>
        <v/>
      </c>
      <c r="DI41" s="52">
        <f>MIN(DI$38-DI$40,DH$53+DI$39)</f>
        <v/>
      </c>
      <c r="DJ41" s="52">
        <f>MIN(DJ$38-DJ$40,DI$53+DJ$39)</f>
        <v/>
      </c>
      <c r="DK41" s="52">
        <f>MIN(DK$38-DK$40,DJ$53+DK$39)</f>
        <v/>
      </c>
      <c r="DL41" s="52">
        <f>MIN(DL$38-DL$40,DK$53+DL$39)</f>
        <v/>
      </c>
      <c r="DM41" s="52">
        <f>MIN(DM$38-DM$40,DL$53+DM$39)</f>
        <v/>
      </c>
      <c r="DN41" s="52">
        <f>MIN(DN$38-DN$40,DM$53+DN$39)</f>
        <v/>
      </c>
      <c r="DO41" s="52">
        <f>MIN(DO$38-DO$40,DN$53+DO$39)</f>
        <v/>
      </c>
      <c r="DP41" s="52">
        <f>MIN(DP$38-DP$40,DO$53+DP$39)</f>
        <v/>
      </c>
      <c r="DQ41" s="52">
        <f>MIN(DQ$38-DQ$40,DP$53+DQ$39)</f>
        <v/>
      </c>
      <c r="DR41" s="52">
        <f>MIN(DR$38-DR$40,DQ$53+DR$39)</f>
        <v/>
      </c>
      <c r="DS41" s="52">
        <f>MIN(DS$38-DS$40,DR$53+DS$39)</f>
        <v/>
      </c>
      <c r="DT41" s="52">
        <f>MIN(DT$38-DT$40,DS$53+DT$39)</f>
        <v/>
      </c>
    </row>
    <row r="42">
      <c r="A42" s="10" t="inlineStr">
        <is>
          <t>Tier 3 — Catch-up (total)</t>
        </is>
      </c>
      <c r="E42" s="52">
        <f>IF(GPCatchUpOn="On",MIN(E$38-E$40-E$41,MAX(0,(INDEX(CarryTiers,2,3)/INDEX(CarryTiers,2,2))*(0+E$41)-0)/MAX(CatchUpPct,0.000001)),0)</f>
        <v/>
      </c>
      <c r="F42" s="52">
        <f>IF(GPCatchUpOn="On",MIN(F$38-F$40-F$41,MAX(0,(INDEX(CarryTiers,2,3)/INDEX(CarryTiers,2,2))*(E$55+F$41)-E$56)/MAX(CatchUpPct,0.000001)),0)</f>
        <v/>
      </c>
      <c r="G42" s="52">
        <f>IF(GPCatchUpOn="On",MIN(G$38-G$40-G$41,MAX(0,(INDEX(CarryTiers,2,3)/INDEX(CarryTiers,2,2))*(F$55+G$41)-F$56)/MAX(CatchUpPct,0.000001)),0)</f>
        <v/>
      </c>
      <c r="H42" s="52">
        <f>IF(GPCatchUpOn="On",MIN(H$38-H$40-H$41,MAX(0,(INDEX(CarryTiers,2,3)/INDEX(CarryTiers,2,2))*(G$55+H$41)-G$56)/MAX(CatchUpPct,0.000001)),0)</f>
        <v/>
      </c>
      <c r="I42" s="52">
        <f>IF(GPCatchUpOn="On",MIN(I$38-I$40-I$41,MAX(0,(INDEX(CarryTiers,2,3)/INDEX(CarryTiers,2,2))*(H$55+I$41)-H$56)/MAX(CatchUpPct,0.000001)),0)</f>
        <v/>
      </c>
      <c r="J42" s="52">
        <f>IF(GPCatchUpOn="On",MIN(J$38-J$40-J$41,MAX(0,(INDEX(CarryTiers,2,3)/INDEX(CarryTiers,2,2))*(I$55+J$41)-I$56)/MAX(CatchUpPct,0.000001)),0)</f>
        <v/>
      </c>
      <c r="K42" s="52">
        <f>IF(GPCatchUpOn="On",MIN(K$38-K$40-K$41,MAX(0,(INDEX(CarryTiers,2,3)/INDEX(CarryTiers,2,2))*(J$55+K$41)-J$56)/MAX(CatchUpPct,0.000001)),0)</f>
        <v/>
      </c>
      <c r="L42" s="52">
        <f>IF(GPCatchUpOn="On",MIN(L$38-L$40-L$41,MAX(0,(INDEX(CarryTiers,2,3)/INDEX(CarryTiers,2,2))*(K$55+L$41)-K$56)/MAX(CatchUpPct,0.000001)),0)</f>
        <v/>
      </c>
      <c r="M42" s="52">
        <f>IF(GPCatchUpOn="On",MIN(M$38-M$40-M$41,MAX(0,(INDEX(CarryTiers,2,3)/INDEX(CarryTiers,2,2))*(L$55+M$41)-L$56)/MAX(CatchUpPct,0.000001)),0)</f>
        <v/>
      </c>
      <c r="N42" s="52">
        <f>IF(GPCatchUpOn="On",MIN(N$38-N$40-N$41,MAX(0,(INDEX(CarryTiers,2,3)/INDEX(CarryTiers,2,2))*(M$55+N$41)-M$56)/MAX(CatchUpPct,0.000001)),0)</f>
        <v/>
      </c>
      <c r="O42" s="52">
        <f>IF(GPCatchUpOn="On",MIN(O$38-O$40-O$41,MAX(0,(INDEX(CarryTiers,2,3)/INDEX(CarryTiers,2,2))*(N$55+O$41)-N$56)/MAX(CatchUpPct,0.000001)),0)</f>
        <v/>
      </c>
      <c r="P42" s="52">
        <f>IF(GPCatchUpOn="On",MIN(P$38-P$40-P$41,MAX(0,(INDEX(CarryTiers,2,3)/INDEX(CarryTiers,2,2))*(O$55+P$41)-O$56)/MAX(CatchUpPct,0.000001)),0)</f>
        <v/>
      </c>
      <c r="Q42" s="52">
        <f>IF(GPCatchUpOn="On",MIN(Q$38-Q$40-Q$41,MAX(0,(INDEX(CarryTiers,2,3)/INDEX(CarryTiers,2,2))*(P$55+Q$41)-P$56)/MAX(CatchUpPct,0.000001)),0)</f>
        <v/>
      </c>
      <c r="R42" s="52">
        <f>IF(GPCatchUpOn="On",MIN(R$38-R$40-R$41,MAX(0,(INDEX(CarryTiers,2,3)/INDEX(CarryTiers,2,2))*(Q$55+R$41)-Q$56)/MAX(CatchUpPct,0.000001)),0)</f>
        <v/>
      </c>
      <c r="S42" s="52">
        <f>IF(GPCatchUpOn="On",MIN(S$38-S$40-S$41,MAX(0,(INDEX(CarryTiers,2,3)/INDEX(CarryTiers,2,2))*(R$55+S$41)-R$56)/MAX(CatchUpPct,0.000001)),0)</f>
        <v/>
      </c>
      <c r="T42" s="52">
        <f>IF(GPCatchUpOn="On",MIN(T$38-T$40-T$41,MAX(0,(INDEX(CarryTiers,2,3)/INDEX(CarryTiers,2,2))*(S$55+T$41)-S$56)/MAX(CatchUpPct,0.000001)),0)</f>
        <v/>
      </c>
      <c r="U42" s="52">
        <f>IF(GPCatchUpOn="On",MIN(U$38-U$40-U$41,MAX(0,(INDEX(CarryTiers,2,3)/INDEX(CarryTiers,2,2))*(T$55+U$41)-T$56)/MAX(CatchUpPct,0.000001)),0)</f>
        <v/>
      </c>
      <c r="V42" s="52">
        <f>IF(GPCatchUpOn="On",MIN(V$38-V$40-V$41,MAX(0,(INDEX(CarryTiers,2,3)/INDEX(CarryTiers,2,2))*(U$55+V$41)-U$56)/MAX(CatchUpPct,0.000001)),0)</f>
        <v/>
      </c>
      <c r="W42" s="52">
        <f>IF(GPCatchUpOn="On",MIN(W$38-W$40-W$41,MAX(0,(INDEX(CarryTiers,2,3)/INDEX(CarryTiers,2,2))*(V$55+W$41)-V$56)/MAX(CatchUpPct,0.000001)),0)</f>
        <v/>
      </c>
      <c r="X42" s="52">
        <f>IF(GPCatchUpOn="On",MIN(X$38-X$40-X$41,MAX(0,(INDEX(CarryTiers,2,3)/INDEX(CarryTiers,2,2))*(W$55+X$41)-W$56)/MAX(CatchUpPct,0.000001)),0)</f>
        <v/>
      </c>
      <c r="Y42" s="52">
        <f>IF(GPCatchUpOn="On",MIN(Y$38-Y$40-Y$41,MAX(0,(INDEX(CarryTiers,2,3)/INDEX(CarryTiers,2,2))*(X$55+Y$41)-X$56)/MAX(CatchUpPct,0.000001)),0)</f>
        <v/>
      </c>
      <c r="Z42" s="52">
        <f>IF(GPCatchUpOn="On",MIN(Z$38-Z$40-Z$41,MAX(0,(INDEX(CarryTiers,2,3)/INDEX(CarryTiers,2,2))*(Y$55+Z$41)-Y$56)/MAX(CatchUpPct,0.000001)),0)</f>
        <v/>
      </c>
      <c r="AA42" s="52">
        <f>IF(GPCatchUpOn="On",MIN(AA$38-AA$40-AA$41,MAX(0,(INDEX(CarryTiers,2,3)/INDEX(CarryTiers,2,2))*(Z$55+AA$41)-Z$56)/MAX(CatchUpPct,0.000001)),0)</f>
        <v/>
      </c>
      <c r="AB42" s="52">
        <f>IF(GPCatchUpOn="On",MIN(AB$38-AB$40-AB$41,MAX(0,(INDEX(CarryTiers,2,3)/INDEX(CarryTiers,2,2))*(AA$55+AB$41)-AA$56)/MAX(CatchUpPct,0.000001)),0)</f>
        <v/>
      </c>
      <c r="AC42" s="52">
        <f>IF(GPCatchUpOn="On",MIN(AC$38-AC$40-AC$41,MAX(0,(INDEX(CarryTiers,2,3)/INDEX(CarryTiers,2,2))*(AB$55+AC$41)-AB$56)/MAX(CatchUpPct,0.000001)),0)</f>
        <v/>
      </c>
      <c r="AD42" s="52">
        <f>IF(GPCatchUpOn="On",MIN(AD$38-AD$40-AD$41,MAX(0,(INDEX(CarryTiers,2,3)/INDEX(CarryTiers,2,2))*(AC$55+AD$41)-AC$56)/MAX(CatchUpPct,0.000001)),0)</f>
        <v/>
      </c>
      <c r="AE42" s="52">
        <f>IF(GPCatchUpOn="On",MIN(AE$38-AE$40-AE$41,MAX(0,(INDEX(CarryTiers,2,3)/INDEX(CarryTiers,2,2))*(AD$55+AE$41)-AD$56)/MAX(CatchUpPct,0.000001)),0)</f>
        <v/>
      </c>
      <c r="AF42" s="52">
        <f>IF(GPCatchUpOn="On",MIN(AF$38-AF$40-AF$41,MAX(0,(INDEX(CarryTiers,2,3)/INDEX(CarryTiers,2,2))*(AE$55+AF$41)-AE$56)/MAX(CatchUpPct,0.000001)),0)</f>
        <v/>
      </c>
      <c r="AG42" s="52">
        <f>IF(GPCatchUpOn="On",MIN(AG$38-AG$40-AG$41,MAX(0,(INDEX(CarryTiers,2,3)/INDEX(CarryTiers,2,2))*(AF$55+AG$41)-AF$56)/MAX(CatchUpPct,0.000001)),0)</f>
        <v/>
      </c>
      <c r="AH42" s="52">
        <f>IF(GPCatchUpOn="On",MIN(AH$38-AH$40-AH$41,MAX(0,(INDEX(CarryTiers,2,3)/INDEX(CarryTiers,2,2))*(AG$55+AH$41)-AG$56)/MAX(CatchUpPct,0.000001)),0)</f>
        <v/>
      </c>
      <c r="AI42" s="52">
        <f>IF(GPCatchUpOn="On",MIN(AI$38-AI$40-AI$41,MAX(0,(INDEX(CarryTiers,2,3)/INDEX(CarryTiers,2,2))*(AH$55+AI$41)-AH$56)/MAX(CatchUpPct,0.000001)),0)</f>
        <v/>
      </c>
      <c r="AJ42" s="52">
        <f>IF(GPCatchUpOn="On",MIN(AJ$38-AJ$40-AJ$41,MAX(0,(INDEX(CarryTiers,2,3)/INDEX(CarryTiers,2,2))*(AI$55+AJ$41)-AI$56)/MAX(CatchUpPct,0.000001)),0)</f>
        <v/>
      </c>
      <c r="AK42" s="52">
        <f>IF(GPCatchUpOn="On",MIN(AK$38-AK$40-AK$41,MAX(0,(INDEX(CarryTiers,2,3)/INDEX(CarryTiers,2,2))*(AJ$55+AK$41)-AJ$56)/MAX(CatchUpPct,0.000001)),0)</f>
        <v/>
      </c>
      <c r="AL42" s="52">
        <f>IF(GPCatchUpOn="On",MIN(AL$38-AL$40-AL$41,MAX(0,(INDEX(CarryTiers,2,3)/INDEX(CarryTiers,2,2))*(AK$55+AL$41)-AK$56)/MAX(CatchUpPct,0.000001)),0)</f>
        <v/>
      </c>
      <c r="AM42" s="52">
        <f>IF(GPCatchUpOn="On",MIN(AM$38-AM$40-AM$41,MAX(0,(INDEX(CarryTiers,2,3)/INDEX(CarryTiers,2,2))*(AL$55+AM$41)-AL$56)/MAX(CatchUpPct,0.000001)),0)</f>
        <v/>
      </c>
      <c r="AN42" s="52">
        <f>IF(GPCatchUpOn="On",MIN(AN$38-AN$40-AN$41,MAX(0,(INDEX(CarryTiers,2,3)/INDEX(CarryTiers,2,2))*(AM$55+AN$41)-AM$56)/MAX(CatchUpPct,0.000001)),0)</f>
        <v/>
      </c>
      <c r="AO42" s="52">
        <f>IF(GPCatchUpOn="On",MIN(AO$38-AO$40-AO$41,MAX(0,(INDEX(CarryTiers,2,3)/INDEX(CarryTiers,2,2))*(AN$55+AO$41)-AN$56)/MAX(CatchUpPct,0.000001)),0)</f>
        <v/>
      </c>
      <c r="AP42" s="52">
        <f>IF(GPCatchUpOn="On",MIN(AP$38-AP$40-AP$41,MAX(0,(INDEX(CarryTiers,2,3)/INDEX(CarryTiers,2,2))*(AO$55+AP$41)-AO$56)/MAX(CatchUpPct,0.000001)),0)</f>
        <v/>
      </c>
      <c r="AQ42" s="52">
        <f>IF(GPCatchUpOn="On",MIN(AQ$38-AQ$40-AQ$41,MAX(0,(INDEX(CarryTiers,2,3)/INDEX(CarryTiers,2,2))*(AP$55+AQ$41)-AP$56)/MAX(CatchUpPct,0.000001)),0)</f>
        <v/>
      </c>
      <c r="AR42" s="52">
        <f>IF(GPCatchUpOn="On",MIN(AR$38-AR$40-AR$41,MAX(0,(INDEX(CarryTiers,2,3)/INDEX(CarryTiers,2,2))*(AQ$55+AR$41)-AQ$56)/MAX(CatchUpPct,0.000001)),0)</f>
        <v/>
      </c>
      <c r="AS42" s="52">
        <f>IF(GPCatchUpOn="On",MIN(AS$38-AS$40-AS$41,MAX(0,(INDEX(CarryTiers,2,3)/INDEX(CarryTiers,2,2))*(AR$55+AS$41)-AR$56)/MAX(CatchUpPct,0.000001)),0)</f>
        <v/>
      </c>
      <c r="AT42" s="52">
        <f>IF(GPCatchUpOn="On",MIN(AT$38-AT$40-AT$41,MAX(0,(INDEX(CarryTiers,2,3)/INDEX(CarryTiers,2,2))*(AS$55+AT$41)-AS$56)/MAX(CatchUpPct,0.000001)),0)</f>
        <v/>
      </c>
      <c r="AU42" s="52">
        <f>IF(GPCatchUpOn="On",MIN(AU$38-AU$40-AU$41,MAX(0,(INDEX(CarryTiers,2,3)/INDEX(CarryTiers,2,2))*(AT$55+AU$41)-AT$56)/MAX(CatchUpPct,0.000001)),0)</f>
        <v/>
      </c>
      <c r="AV42" s="52">
        <f>IF(GPCatchUpOn="On",MIN(AV$38-AV$40-AV$41,MAX(0,(INDEX(CarryTiers,2,3)/INDEX(CarryTiers,2,2))*(AU$55+AV$41)-AU$56)/MAX(CatchUpPct,0.000001)),0)</f>
        <v/>
      </c>
      <c r="AW42" s="52">
        <f>IF(GPCatchUpOn="On",MIN(AW$38-AW$40-AW$41,MAX(0,(INDEX(CarryTiers,2,3)/INDEX(CarryTiers,2,2))*(AV$55+AW$41)-AV$56)/MAX(CatchUpPct,0.000001)),0)</f>
        <v/>
      </c>
      <c r="AX42" s="52">
        <f>IF(GPCatchUpOn="On",MIN(AX$38-AX$40-AX$41,MAX(0,(INDEX(CarryTiers,2,3)/INDEX(CarryTiers,2,2))*(AW$55+AX$41)-AW$56)/MAX(CatchUpPct,0.000001)),0)</f>
        <v/>
      </c>
      <c r="AY42" s="52">
        <f>IF(GPCatchUpOn="On",MIN(AY$38-AY$40-AY$41,MAX(0,(INDEX(CarryTiers,2,3)/INDEX(CarryTiers,2,2))*(AX$55+AY$41)-AX$56)/MAX(CatchUpPct,0.000001)),0)</f>
        <v/>
      </c>
      <c r="AZ42" s="52">
        <f>IF(GPCatchUpOn="On",MIN(AZ$38-AZ$40-AZ$41,MAX(0,(INDEX(CarryTiers,2,3)/INDEX(CarryTiers,2,2))*(AY$55+AZ$41)-AY$56)/MAX(CatchUpPct,0.000001)),0)</f>
        <v/>
      </c>
      <c r="BA42" s="52">
        <f>IF(GPCatchUpOn="On",MIN(BA$38-BA$40-BA$41,MAX(0,(INDEX(CarryTiers,2,3)/INDEX(CarryTiers,2,2))*(AZ$55+BA$41)-AZ$56)/MAX(CatchUpPct,0.000001)),0)</f>
        <v/>
      </c>
      <c r="BB42" s="52">
        <f>IF(GPCatchUpOn="On",MIN(BB$38-BB$40-BB$41,MAX(0,(INDEX(CarryTiers,2,3)/INDEX(CarryTiers,2,2))*(BA$55+BB$41)-BA$56)/MAX(CatchUpPct,0.000001)),0)</f>
        <v/>
      </c>
      <c r="BC42" s="52">
        <f>IF(GPCatchUpOn="On",MIN(BC$38-BC$40-BC$41,MAX(0,(INDEX(CarryTiers,2,3)/INDEX(CarryTiers,2,2))*(BB$55+BC$41)-BB$56)/MAX(CatchUpPct,0.000001)),0)</f>
        <v/>
      </c>
      <c r="BD42" s="52">
        <f>IF(GPCatchUpOn="On",MIN(BD$38-BD$40-BD$41,MAX(0,(INDEX(CarryTiers,2,3)/INDEX(CarryTiers,2,2))*(BC$55+BD$41)-BC$56)/MAX(CatchUpPct,0.000001)),0)</f>
        <v/>
      </c>
      <c r="BE42" s="52">
        <f>IF(GPCatchUpOn="On",MIN(BE$38-BE$40-BE$41,MAX(0,(INDEX(CarryTiers,2,3)/INDEX(CarryTiers,2,2))*(BD$55+BE$41)-BD$56)/MAX(CatchUpPct,0.000001)),0)</f>
        <v/>
      </c>
      <c r="BF42" s="52">
        <f>IF(GPCatchUpOn="On",MIN(BF$38-BF$40-BF$41,MAX(0,(INDEX(CarryTiers,2,3)/INDEX(CarryTiers,2,2))*(BE$55+BF$41)-BE$56)/MAX(CatchUpPct,0.000001)),0)</f>
        <v/>
      </c>
      <c r="BG42" s="52">
        <f>IF(GPCatchUpOn="On",MIN(BG$38-BG$40-BG$41,MAX(0,(INDEX(CarryTiers,2,3)/INDEX(CarryTiers,2,2))*(BF$55+BG$41)-BF$56)/MAX(CatchUpPct,0.000001)),0)</f>
        <v/>
      </c>
      <c r="BH42" s="52">
        <f>IF(GPCatchUpOn="On",MIN(BH$38-BH$40-BH$41,MAX(0,(INDEX(CarryTiers,2,3)/INDEX(CarryTiers,2,2))*(BG$55+BH$41)-BG$56)/MAX(CatchUpPct,0.000001)),0)</f>
        <v/>
      </c>
      <c r="BI42" s="52">
        <f>IF(GPCatchUpOn="On",MIN(BI$38-BI$40-BI$41,MAX(0,(INDEX(CarryTiers,2,3)/INDEX(CarryTiers,2,2))*(BH$55+BI$41)-BH$56)/MAX(CatchUpPct,0.000001)),0)</f>
        <v/>
      </c>
      <c r="BJ42" s="52">
        <f>IF(GPCatchUpOn="On",MIN(BJ$38-BJ$40-BJ$41,MAX(0,(INDEX(CarryTiers,2,3)/INDEX(CarryTiers,2,2))*(BI$55+BJ$41)-BI$56)/MAX(CatchUpPct,0.000001)),0)</f>
        <v/>
      </c>
      <c r="BK42" s="52">
        <f>IF(GPCatchUpOn="On",MIN(BK$38-BK$40-BK$41,MAX(0,(INDEX(CarryTiers,2,3)/INDEX(CarryTiers,2,2))*(BJ$55+BK$41)-BJ$56)/MAX(CatchUpPct,0.000001)),0)</f>
        <v/>
      </c>
      <c r="BL42" s="52">
        <f>IF(GPCatchUpOn="On",MIN(BL$38-BL$40-BL$41,MAX(0,(INDEX(CarryTiers,2,3)/INDEX(CarryTiers,2,2))*(BK$55+BL$41)-BK$56)/MAX(CatchUpPct,0.000001)),0)</f>
        <v/>
      </c>
      <c r="BM42" s="52">
        <f>IF(GPCatchUpOn="On",MIN(BM$38-BM$40-BM$41,MAX(0,(INDEX(CarryTiers,2,3)/INDEX(CarryTiers,2,2))*(BL$55+BM$41)-BL$56)/MAX(CatchUpPct,0.000001)),0)</f>
        <v/>
      </c>
      <c r="BN42" s="52">
        <f>IF(GPCatchUpOn="On",MIN(BN$38-BN$40-BN$41,MAX(0,(INDEX(CarryTiers,2,3)/INDEX(CarryTiers,2,2))*(BM$55+BN$41)-BM$56)/MAX(CatchUpPct,0.000001)),0)</f>
        <v/>
      </c>
      <c r="BO42" s="52">
        <f>IF(GPCatchUpOn="On",MIN(BO$38-BO$40-BO$41,MAX(0,(INDEX(CarryTiers,2,3)/INDEX(CarryTiers,2,2))*(BN$55+BO$41)-BN$56)/MAX(CatchUpPct,0.000001)),0)</f>
        <v/>
      </c>
      <c r="BP42" s="52">
        <f>IF(GPCatchUpOn="On",MIN(BP$38-BP$40-BP$41,MAX(0,(INDEX(CarryTiers,2,3)/INDEX(CarryTiers,2,2))*(BO$55+BP$41)-BO$56)/MAX(CatchUpPct,0.000001)),0)</f>
        <v/>
      </c>
      <c r="BQ42" s="52">
        <f>IF(GPCatchUpOn="On",MIN(BQ$38-BQ$40-BQ$41,MAX(0,(INDEX(CarryTiers,2,3)/INDEX(CarryTiers,2,2))*(BP$55+BQ$41)-BP$56)/MAX(CatchUpPct,0.000001)),0)</f>
        <v/>
      </c>
      <c r="BR42" s="52">
        <f>IF(GPCatchUpOn="On",MIN(BR$38-BR$40-BR$41,MAX(0,(INDEX(CarryTiers,2,3)/INDEX(CarryTiers,2,2))*(BQ$55+BR$41)-BQ$56)/MAX(CatchUpPct,0.000001)),0)</f>
        <v/>
      </c>
      <c r="BS42" s="52">
        <f>IF(GPCatchUpOn="On",MIN(BS$38-BS$40-BS$41,MAX(0,(INDEX(CarryTiers,2,3)/INDEX(CarryTiers,2,2))*(BR$55+BS$41)-BR$56)/MAX(CatchUpPct,0.000001)),0)</f>
        <v/>
      </c>
      <c r="BT42" s="52">
        <f>IF(GPCatchUpOn="On",MIN(BT$38-BT$40-BT$41,MAX(0,(INDEX(CarryTiers,2,3)/INDEX(CarryTiers,2,2))*(BS$55+BT$41)-BS$56)/MAX(CatchUpPct,0.000001)),0)</f>
        <v/>
      </c>
      <c r="BU42" s="52">
        <f>IF(GPCatchUpOn="On",MIN(BU$38-BU$40-BU$41,MAX(0,(INDEX(CarryTiers,2,3)/INDEX(CarryTiers,2,2))*(BT$55+BU$41)-BT$56)/MAX(CatchUpPct,0.000001)),0)</f>
        <v/>
      </c>
      <c r="BV42" s="52">
        <f>IF(GPCatchUpOn="On",MIN(BV$38-BV$40-BV$41,MAX(0,(INDEX(CarryTiers,2,3)/INDEX(CarryTiers,2,2))*(BU$55+BV$41)-BU$56)/MAX(CatchUpPct,0.000001)),0)</f>
        <v/>
      </c>
      <c r="BW42" s="52">
        <f>IF(GPCatchUpOn="On",MIN(BW$38-BW$40-BW$41,MAX(0,(INDEX(CarryTiers,2,3)/INDEX(CarryTiers,2,2))*(BV$55+BW$41)-BV$56)/MAX(CatchUpPct,0.000001)),0)</f>
        <v/>
      </c>
      <c r="BX42" s="52">
        <f>IF(GPCatchUpOn="On",MIN(BX$38-BX$40-BX$41,MAX(0,(INDEX(CarryTiers,2,3)/INDEX(CarryTiers,2,2))*(BW$55+BX$41)-BW$56)/MAX(CatchUpPct,0.000001)),0)</f>
        <v/>
      </c>
      <c r="BY42" s="52">
        <f>IF(GPCatchUpOn="On",MIN(BY$38-BY$40-BY$41,MAX(0,(INDEX(CarryTiers,2,3)/INDEX(CarryTiers,2,2))*(BX$55+BY$41)-BX$56)/MAX(CatchUpPct,0.000001)),0)</f>
        <v/>
      </c>
      <c r="BZ42" s="52">
        <f>IF(GPCatchUpOn="On",MIN(BZ$38-BZ$40-BZ$41,MAX(0,(INDEX(CarryTiers,2,3)/INDEX(CarryTiers,2,2))*(BY$55+BZ$41)-BY$56)/MAX(CatchUpPct,0.000001)),0)</f>
        <v/>
      </c>
      <c r="CA42" s="52">
        <f>IF(GPCatchUpOn="On",MIN(CA$38-CA$40-CA$41,MAX(0,(INDEX(CarryTiers,2,3)/INDEX(CarryTiers,2,2))*(BZ$55+CA$41)-BZ$56)/MAX(CatchUpPct,0.000001)),0)</f>
        <v/>
      </c>
      <c r="CB42" s="52">
        <f>IF(GPCatchUpOn="On",MIN(CB$38-CB$40-CB$41,MAX(0,(INDEX(CarryTiers,2,3)/INDEX(CarryTiers,2,2))*(CA$55+CB$41)-CA$56)/MAX(CatchUpPct,0.000001)),0)</f>
        <v/>
      </c>
      <c r="CC42" s="52">
        <f>IF(GPCatchUpOn="On",MIN(CC$38-CC$40-CC$41,MAX(0,(INDEX(CarryTiers,2,3)/INDEX(CarryTiers,2,2))*(CB$55+CC$41)-CB$56)/MAX(CatchUpPct,0.000001)),0)</f>
        <v/>
      </c>
      <c r="CD42" s="52">
        <f>IF(GPCatchUpOn="On",MIN(CD$38-CD$40-CD$41,MAX(0,(INDEX(CarryTiers,2,3)/INDEX(CarryTiers,2,2))*(CC$55+CD$41)-CC$56)/MAX(CatchUpPct,0.000001)),0)</f>
        <v/>
      </c>
      <c r="CE42" s="52">
        <f>IF(GPCatchUpOn="On",MIN(CE$38-CE$40-CE$41,MAX(0,(INDEX(CarryTiers,2,3)/INDEX(CarryTiers,2,2))*(CD$55+CE$41)-CD$56)/MAX(CatchUpPct,0.000001)),0)</f>
        <v/>
      </c>
      <c r="CF42" s="52">
        <f>IF(GPCatchUpOn="On",MIN(CF$38-CF$40-CF$41,MAX(0,(INDEX(CarryTiers,2,3)/INDEX(CarryTiers,2,2))*(CE$55+CF$41)-CE$56)/MAX(CatchUpPct,0.000001)),0)</f>
        <v/>
      </c>
      <c r="CG42" s="52">
        <f>IF(GPCatchUpOn="On",MIN(CG$38-CG$40-CG$41,MAX(0,(INDEX(CarryTiers,2,3)/INDEX(CarryTiers,2,2))*(CF$55+CG$41)-CF$56)/MAX(CatchUpPct,0.000001)),0)</f>
        <v/>
      </c>
      <c r="CH42" s="52">
        <f>IF(GPCatchUpOn="On",MIN(CH$38-CH$40-CH$41,MAX(0,(INDEX(CarryTiers,2,3)/INDEX(CarryTiers,2,2))*(CG$55+CH$41)-CG$56)/MAX(CatchUpPct,0.000001)),0)</f>
        <v/>
      </c>
      <c r="CI42" s="52">
        <f>IF(GPCatchUpOn="On",MIN(CI$38-CI$40-CI$41,MAX(0,(INDEX(CarryTiers,2,3)/INDEX(CarryTiers,2,2))*(CH$55+CI$41)-CH$56)/MAX(CatchUpPct,0.000001)),0)</f>
        <v/>
      </c>
      <c r="CJ42" s="52">
        <f>IF(GPCatchUpOn="On",MIN(CJ$38-CJ$40-CJ$41,MAX(0,(INDEX(CarryTiers,2,3)/INDEX(CarryTiers,2,2))*(CI$55+CJ$41)-CI$56)/MAX(CatchUpPct,0.000001)),0)</f>
        <v/>
      </c>
      <c r="CK42" s="52">
        <f>IF(GPCatchUpOn="On",MIN(CK$38-CK$40-CK$41,MAX(0,(INDEX(CarryTiers,2,3)/INDEX(CarryTiers,2,2))*(CJ$55+CK$41)-CJ$56)/MAX(CatchUpPct,0.000001)),0)</f>
        <v/>
      </c>
      <c r="CL42" s="52">
        <f>IF(GPCatchUpOn="On",MIN(CL$38-CL$40-CL$41,MAX(0,(INDEX(CarryTiers,2,3)/INDEX(CarryTiers,2,2))*(CK$55+CL$41)-CK$56)/MAX(CatchUpPct,0.000001)),0)</f>
        <v/>
      </c>
      <c r="CM42" s="52">
        <f>IF(GPCatchUpOn="On",MIN(CM$38-CM$40-CM$41,MAX(0,(INDEX(CarryTiers,2,3)/INDEX(CarryTiers,2,2))*(CL$55+CM$41)-CL$56)/MAX(CatchUpPct,0.000001)),0)</f>
        <v/>
      </c>
      <c r="CN42" s="52">
        <f>IF(GPCatchUpOn="On",MIN(CN$38-CN$40-CN$41,MAX(0,(INDEX(CarryTiers,2,3)/INDEX(CarryTiers,2,2))*(CM$55+CN$41)-CM$56)/MAX(CatchUpPct,0.000001)),0)</f>
        <v/>
      </c>
      <c r="CO42" s="52">
        <f>IF(GPCatchUpOn="On",MIN(CO$38-CO$40-CO$41,MAX(0,(INDEX(CarryTiers,2,3)/INDEX(CarryTiers,2,2))*(CN$55+CO$41)-CN$56)/MAX(CatchUpPct,0.000001)),0)</f>
        <v/>
      </c>
      <c r="CP42" s="52">
        <f>IF(GPCatchUpOn="On",MIN(CP$38-CP$40-CP$41,MAX(0,(INDEX(CarryTiers,2,3)/INDEX(CarryTiers,2,2))*(CO$55+CP$41)-CO$56)/MAX(CatchUpPct,0.000001)),0)</f>
        <v/>
      </c>
      <c r="CQ42" s="52">
        <f>IF(GPCatchUpOn="On",MIN(CQ$38-CQ$40-CQ$41,MAX(0,(INDEX(CarryTiers,2,3)/INDEX(CarryTiers,2,2))*(CP$55+CQ$41)-CP$56)/MAX(CatchUpPct,0.000001)),0)</f>
        <v/>
      </c>
      <c r="CR42" s="52">
        <f>IF(GPCatchUpOn="On",MIN(CR$38-CR$40-CR$41,MAX(0,(INDEX(CarryTiers,2,3)/INDEX(CarryTiers,2,2))*(CQ$55+CR$41)-CQ$56)/MAX(CatchUpPct,0.000001)),0)</f>
        <v/>
      </c>
      <c r="CS42" s="52">
        <f>IF(GPCatchUpOn="On",MIN(CS$38-CS$40-CS$41,MAX(0,(INDEX(CarryTiers,2,3)/INDEX(CarryTiers,2,2))*(CR$55+CS$41)-CR$56)/MAX(CatchUpPct,0.000001)),0)</f>
        <v/>
      </c>
      <c r="CT42" s="52">
        <f>IF(GPCatchUpOn="On",MIN(CT$38-CT$40-CT$41,MAX(0,(INDEX(CarryTiers,2,3)/INDEX(CarryTiers,2,2))*(CS$55+CT$41)-CS$56)/MAX(CatchUpPct,0.000001)),0)</f>
        <v/>
      </c>
      <c r="CU42" s="52">
        <f>IF(GPCatchUpOn="On",MIN(CU$38-CU$40-CU$41,MAX(0,(INDEX(CarryTiers,2,3)/INDEX(CarryTiers,2,2))*(CT$55+CU$41)-CT$56)/MAX(CatchUpPct,0.000001)),0)</f>
        <v/>
      </c>
      <c r="CV42" s="52">
        <f>IF(GPCatchUpOn="On",MIN(CV$38-CV$40-CV$41,MAX(0,(INDEX(CarryTiers,2,3)/INDEX(CarryTiers,2,2))*(CU$55+CV$41)-CU$56)/MAX(CatchUpPct,0.000001)),0)</f>
        <v/>
      </c>
      <c r="CW42" s="52">
        <f>IF(GPCatchUpOn="On",MIN(CW$38-CW$40-CW$41,MAX(0,(INDEX(CarryTiers,2,3)/INDEX(CarryTiers,2,2))*(CV$55+CW$41)-CV$56)/MAX(CatchUpPct,0.000001)),0)</f>
        <v/>
      </c>
      <c r="CX42" s="52">
        <f>IF(GPCatchUpOn="On",MIN(CX$38-CX$40-CX$41,MAX(0,(INDEX(CarryTiers,2,3)/INDEX(CarryTiers,2,2))*(CW$55+CX$41)-CW$56)/MAX(CatchUpPct,0.000001)),0)</f>
        <v/>
      </c>
      <c r="CY42" s="52">
        <f>IF(GPCatchUpOn="On",MIN(CY$38-CY$40-CY$41,MAX(0,(INDEX(CarryTiers,2,3)/INDEX(CarryTiers,2,2))*(CX$55+CY$41)-CX$56)/MAX(CatchUpPct,0.000001)),0)</f>
        <v/>
      </c>
      <c r="CZ42" s="52">
        <f>IF(GPCatchUpOn="On",MIN(CZ$38-CZ$40-CZ$41,MAX(0,(INDEX(CarryTiers,2,3)/INDEX(CarryTiers,2,2))*(CY$55+CZ$41)-CY$56)/MAX(CatchUpPct,0.000001)),0)</f>
        <v/>
      </c>
      <c r="DA42" s="52">
        <f>IF(GPCatchUpOn="On",MIN(DA$38-DA$40-DA$41,MAX(0,(INDEX(CarryTiers,2,3)/INDEX(CarryTiers,2,2))*(CZ$55+DA$41)-CZ$56)/MAX(CatchUpPct,0.000001)),0)</f>
        <v/>
      </c>
      <c r="DB42" s="52">
        <f>IF(GPCatchUpOn="On",MIN(DB$38-DB$40-DB$41,MAX(0,(INDEX(CarryTiers,2,3)/INDEX(CarryTiers,2,2))*(DA$55+DB$41)-DA$56)/MAX(CatchUpPct,0.000001)),0)</f>
        <v/>
      </c>
      <c r="DC42" s="52">
        <f>IF(GPCatchUpOn="On",MIN(DC$38-DC$40-DC$41,MAX(0,(INDEX(CarryTiers,2,3)/INDEX(CarryTiers,2,2))*(DB$55+DC$41)-DB$56)/MAX(CatchUpPct,0.000001)),0)</f>
        <v/>
      </c>
      <c r="DD42" s="52">
        <f>IF(GPCatchUpOn="On",MIN(DD$38-DD$40-DD$41,MAX(0,(INDEX(CarryTiers,2,3)/INDEX(CarryTiers,2,2))*(DC$55+DD$41)-DC$56)/MAX(CatchUpPct,0.000001)),0)</f>
        <v/>
      </c>
      <c r="DE42" s="52">
        <f>IF(GPCatchUpOn="On",MIN(DE$38-DE$40-DE$41,MAX(0,(INDEX(CarryTiers,2,3)/INDEX(CarryTiers,2,2))*(DD$55+DE$41)-DD$56)/MAX(CatchUpPct,0.000001)),0)</f>
        <v/>
      </c>
      <c r="DF42" s="52">
        <f>IF(GPCatchUpOn="On",MIN(DF$38-DF$40-DF$41,MAX(0,(INDEX(CarryTiers,2,3)/INDEX(CarryTiers,2,2))*(DE$55+DF$41)-DE$56)/MAX(CatchUpPct,0.000001)),0)</f>
        <v/>
      </c>
      <c r="DG42" s="52">
        <f>IF(GPCatchUpOn="On",MIN(DG$38-DG$40-DG$41,MAX(0,(INDEX(CarryTiers,2,3)/INDEX(CarryTiers,2,2))*(DF$55+DG$41)-DF$56)/MAX(CatchUpPct,0.000001)),0)</f>
        <v/>
      </c>
      <c r="DH42" s="52">
        <f>IF(GPCatchUpOn="On",MIN(DH$38-DH$40-DH$41,MAX(0,(INDEX(CarryTiers,2,3)/INDEX(CarryTiers,2,2))*(DG$55+DH$41)-DG$56)/MAX(CatchUpPct,0.000001)),0)</f>
        <v/>
      </c>
      <c r="DI42" s="52">
        <f>IF(GPCatchUpOn="On",MIN(DI$38-DI$40-DI$41,MAX(0,(INDEX(CarryTiers,2,3)/INDEX(CarryTiers,2,2))*(DH$55+DI$41)-DH$56)/MAX(CatchUpPct,0.000001)),0)</f>
        <v/>
      </c>
      <c r="DJ42" s="52">
        <f>IF(GPCatchUpOn="On",MIN(DJ$38-DJ$40-DJ$41,MAX(0,(INDEX(CarryTiers,2,3)/INDEX(CarryTiers,2,2))*(DI$55+DJ$41)-DI$56)/MAX(CatchUpPct,0.000001)),0)</f>
        <v/>
      </c>
      <c r="DK42" s="52">
        <f>IF(GPCatchUpOn="On",MIN(DK$38-DK$40-DK$41,MAX(0,(INDEX(CarryTiers,2,3)/INDEX(CarryTiers,2,2))*(DJ$55+DK$41)-DJ$56)/MAX(CatchUpPct,0.000001)),0)</f>
        <v/>
      </c>
      <c r="DL42" s="52">
        <f>IF(GPCatchUpOn="On",MIN(DL$38-DL$40-DL$41,MAX(0,(INDEX(CarryTiers,2,3)/INDEX(CarryTiers,2,2))*(DK$55+DL$41)-DK$56)/MAX(CatchUpPct,0.000001)),0)</f>
        <v/>
      </c>
      <c r="DM42" s="52">
        <f>IF(GPCatchUpOn="On",MIN(DM$38-DM$40-DM$41,MAX(0,(INDEX(CarryTiers,2,3)/INDEX(CarryTiers,2,2))*(DL$55+DM$41)-DL$56)/MAX(CatchUpPct,0.000001)),0)</f>
        <v/>
      </c>
      <c r="DN42" s="52">
        <f>IF(GPCatchUpOn="On",MIN(DN$38-DN$40-DN$41,MAX(0,(INDEX(CarryTiers,2,3)/INDEX(CarryTiers,2,2))*(DM$55+DN$41)-DM$56)/MAX(CatchUpPct,0.000001)),0)</f>
        <v/>
      </c>
      <c r="DO42" s="52">
        <f>IF(GPCatchUpOn="On",MIN(DO$38-DO$40-DO$41,MAX(0,(INDEX(CarryTiers,2,3)/INDEX(CarryTiers,2,2))*(DN$55+DO$41)-DN$56)/MAX(CatchUpPct,0.000001)),0)</f>
        <v/>
      </c>
      <c r="DP42" s="52">
        <f>IF(GPCatchUpOn="On",MIN(DP$38-DP$40-DP$41,MAX(0,(INDEX(CarryTiers,2,3)/INDEX(CarryTiers,2,2))*(DO$55+DP$41)-DO$56)/MAX(CatchUpPct,0.000001)),0)</f>
        <v/>
      </c>
      <c r="DQ42" s="52">
        <f>IF(GPCatchUpOn="On",MIN(DQ$38-DQ$40-DQ$41,MAX(0,(INDEX(CarryTiers,2,3)/INDEX(CarryTiers,2,2))*(DP$55+DQ$41)-DP$56)/MAX(CatchUpPct,0.000001)),0)</f>
        <v/>
      </c>
      <c r="DR42" s="52">
        <f>IF(GPCatchUpOn="On",MIN(DR$38-DR$40-DR$41,MAX(0,(INDEX(CarryTiers,2,3)/INDEX(CarryTiers,2,2))*(DQ$55+DR$41)-DQ$56)/MAX(CatchUpPct,0.000001)),0)</f>
        <v/>
      </c>
      <c r="DS42" s="52">
        <f>IF(GPCatchUpOn="On",MIN(DS$38-DS$40-DS$41,MAX(0,(INDEX(CarryTiers,2,3)/INDEX(CarryTiers,2,2))*(DR$55+DS$41)-DR$56)/MAX(CatchUpPct,0.000001)),0)</f>
        <v/>
      </c>
      <c r="DT42" s="52">
        <f>IF(GPCatchUpOn="On",MIN(DT$38-DT$40-DT$41,MAX(0,(INDEX(CarryTiers,2,3)/INDEX(CarryTiers,2,2))*(DS$55+DT$41)-DS$56)/MAX(CatchUpPct,0.000001)),0)</f>
        <v/>
      </c>
    </row>
    <row r="43">
      <c r="A43" s="10" t="inlineStr">
        <is>
          <t xml:space="preserve">  Catch-up to GP</t>
        </is>
      </c>
      <c r="E43" s="52">
        <f>E$42*CatchUpPct</f>
        <v/>
      </c>
      <c r="F43" s="52">
        <f>F$42*CatchUpPct</f>
        <v/>
      </c>
      <c r="G43" s="52">
        <f>G$42*CatchUpPct</f>
        <v/>
      </c>
      <c r="H43" s="52">
        <f>H$42*CatchUpPct</f>
        <v/>
      </c>
      <c r="I43" s="52">
        <f>I$42*CatchUpPct</f>
        <v/>
      </c>
      <c r="J43" s="52">
        <f>J$42*CatchUpPct</f>
        <v/>
      </c>
      <c r="K43" s="52">
        <f>K$42*CatchUpPct</f>
        <v/>
      </c>
      <c r="L43" s="52">
        <f>L$42*CatchUpPct</f>
        <v/>
      </c>
      <c r="M43" s="52">
        <f>M$42*CatchUpPct</f>
        <v/>
      </c>
      <c r="N43" s="52">
        <f>N$42*CatchUpPct</f>
        <v/>
      </c>
      <c r="O43" s="52">
        <f>O$42*CatchUpPct</f>
        <v/>
      </c>
      <c r="P43" s="52">
        <f>P$42*CatchUpPct</f>
        <v/>
      </c>
      <c r="Q43" s="52">
        <f>Q$42*CatchUpPct</f>
        <v/>
      </c>
      <c r="R43" s="52">
        <f>R$42*CatchUpPct</f>
        <v/>
      </c>
      <c r="S43" s="52">
        <f>S$42*CatchUpPct</f>
        <v/>
      </c>
      <c r="T43" s="52">
        <f>T$42*CatchUpPct</f>
        <v/>
      </c>
      <c r="U43" s="52">
        <f>U$42*CatchUpPct</f>
        <v/>
      </c>
      <c r="V43" s="52">
        <f>V$42*CatchUpPct</f>
        <v/>
      </c>
      <c r="W43" s="52">
        <f>W$42*CatchUpPct</f>
        <v/>
      </c>
      <c r="X43" s="52">
        <f>X$42*CatchUpPct</f>
        <v/>
      </c>
      <c r="Y43" s="52">
        <f>Y$42*CatchUpPct</f>
        <v/>
      </c>
      <c r="Z43" s="52">
        <f>Z$42*CatchUpPct</f>
        <v/>
      </c>
      <c r="AA43" s="52">
        <f>AA$42*CatchUpPct</f>
        <v/>
      </c>
      <c r="AB43" s="52">
        <f>AB$42*CatchUpPct</f>
        <v/>
      </c>
      <c r="AC43" s="52">
        <f>AC$42*CatchUpPct</f>
        <v/>
      </c>
      <c r="AD43" s="52">
        <f>AD$42*CatchUpPct</f>
        <v/>
      </c>
      <c r="AE43" s="52">
        <f>AE$42*CatchUpPct</f>
        <v/>
      </c>
      <c r="AF43" s="52">
        <f>AF$42*CatchUpPct</f>
        <v/>
      </c>
      <c r="AG43" s="52">
        <f>AG$42*CatchUpPct</f>
        <v/>
      </c>
      <c r="AH43" s="52">
        <f>AH$42*CatchUpPct</f>
        <v/>
      </c>
      <c r="AI43" s="52">
        <f>AI$42*CatchUpPct</f>
        <v/>
      </c>
      <c r="AJ43" s="52">
        <f>AJ$42*CatchUpPct</f>
        <v/>
      </c>
      <c r="AK43" s="52">
        <f>AK$42*CatchUpPct</f>
        <v/>
      </c>
      <c r="AL43" s="52">
        <f>AL$42*CatchUpPct</f>
        <v/>
      </c>
      <c r="AM43" s="52">
        <f>AM$42*CatchUpPct</f>
        <v/>
      </c>
      <c r="AN43" s="52">
        <f>AN$42*CatchUpPct</f>
        <v/>
      </c>
      <c r="AO43" s="52">
        <f>AO$42*CatchUpPct</f>
        <v/>
      </c>
      <c r="AP43" s="52">
        <f>AP$42*CatchUpPct</f>
        <v/>
      </c>
      <c r="AQ43" s="52">
        <f>AQ$42*CatchUpPct</f>
        <v/>
      </c>
      <c r="AR43" s="52">
        <f>AR$42*CatchUpPct</f>
        <v/>
      </c>
      <c r="AS43" s="52">
        <f>AS$42*CatchUpPct</f>
        <v/>
      </c>
      <c r="AT43" s="52">
        <f>AT$42*CatchUpPct</f>
        <v/>
      </c>
      <c r="AU43" s="52">
        <f>AU$42*CatchUpPct</f>
        <v/>
      </c>
      <c r="AV43" s="52">
        <f>AV$42*CatchUpPct</f>
        <v/>
      </c>
      <c r="AW43" s="52">
        <f>AW$42*CatchUpPct</f>
        <v/>
      </c>
      <c r="AX43" s="52">
        <f>AX$42*CatchUpPct</f>
        <v/>
      </c>
      <c r="AY43" s="52">
        <f>AY$42*CatchUpPct</f>
        <v/>
      </c>
      <c r="AZ43" s="52">
        <f>AZ$42*CatchUpPct</f>
        <v/>
      </c>
      <c r="BA43" s="52">
        <f>BA$42*CatchUpPct</f>
        <v/>
      </c>
      <c r="BB43" s="52">
        <f>BB$42*CatchUpPct</f>
        <v/>
      </c>
      <c r="BC43" s="52">
        <f>BC$42*CatchUpPct</f>
        <v/>
      </c>
      <c r="BD43" s="52">
        <f>BD$42*CatchUpPct</f>
        <v/>
      </c>
      <c r="BE43" s="52">
        <f>BE$42*CatchUpPct</f>
        <v/>
      </c>
      <c r="BF43" s="52">
        <f>BF$42*CatchUpPct</f>
        <v/>
      </c>
      <c r="BG43" s="52">
        <f>BG$42*CatchUpPct</f>
        <v/>
      </c>
      <c r="BH43" s="52">
        <f>BH$42*CatchUpPct</f>
        <v/>
      </c>
      <c r="BI43" s="52">
        <f>BI$42*CatchUpPct</f>
        <v/>
      </c>
      <c r="BJ43" s="52">
        <f>BJ$42*CatchUpPct</f>
        <v/>
      </c>
      <c r="BK43" s="52">
        <f>BK$42*CatchUpPct</f>
        <v/>
      </c>
      <c r="BL43" s="52">
        <f>BL$42*CatchUpPct</f>
        <v/>
      </c>
      <c r="BM43" s="52">
        <f>BM$42*CatchUpPct</f>
        <v/>
      </c>
      <c r="BN43" s="52">
        <f>BN$42*CatchUpPct</f>
        <v/>
      </c>
      <c r="BO43" s="52">
        <f>BO$42*CatchUpPct</f>
        <v/>
      </c>
      <c r="BP43" s="52">
        <f>BP$42*CatchUpPct</f>
        <v/>
      </c>
      <c r="BQ43" s="52">
        <f>BQ$42*CatchUpPct</f>
        <v/>
      </c>
      <c r="BR43" s="52">
        <f>BR$42*CatchUpPct</f>
        <v/>
      </c>
      <c r="BS43" s="52">
        <f>BS$42*CatchUpPct</f>
        <v/>
      </c>
      <c r="BT43" s="52">
        <f>BT$42*CatchUpPct</f>
        <v/>
      </c>
      <c r="BU43" s="52">
        <f>BU$42*CatchUpPct</f>
        <v/>
      </c>
      <c r="BV43" s="52">
        <f>BV$42*CatchUpPct</f>
        <v/>
      </c>
      <c r="BW43" s="52">
        <f>BW$42*CatchUpPct</f>
        <v/>
      </c>
      <c r="BX43" s="52">
        <f>BX$42*CatchUpPct</f>
        <v/>
      </c>
      <c r="BY43" s="52">
        <f>BY$42*CatchUpPct</f>
        <v/>
      </c>
      <c r="BZ43" s="52">
        <f>BZ$42*CatchUpPct</f>
        <v/>
      </c>
      <c r="CA43" s="52">
        <f>CA$42*CatchUpPct</f>
        <v/>
      </c>
      <c r="CB43" s="52">
        <f>CB$42*CatchUpPct</f>
        <v/>
      </c>
      <c r="CC43" s="52">
        <f>CC$42*CatchUpPct</f>
        <v/>
      </c>
      <c r="CD43" s="52">
        <f>CD$42*CatchUpPct</f>
        <v/>
      </c>
      <c r="CE43" s="52">
        <f>CE$42*CatchUpPct</f>
        <v/>
      </c>
      <c r="CF43" s="52">
        <f>CF$42*CatchUpPct</f>
        <v/>
      </c>
      <c r="CG43" s="52">
        <f>CG$42*CatchUpPct</f>
        <v/>
      </c>
      <c r="CH43" s="52">
        <f>CH$42*CatchUpPct</f>
        <v/>
      </c>
      <c r="CI43" s="52">
        <f>CI$42*CatchUpPct</f>
        <v/>
      </c>
      <c r="CJ43" s="52">
        <f>CJ$42*CatchUpPct</f>
        <v/>
      </c>
      <c r="CK43" s="52">
        <f>CK$42*CatchUpPct</f>
        <v/>
      </c>
      <c r="CL43" s="52">
        <f>CL$42*CatchUpPct</f>
        <v/>
      </c>
      <c r="CM43" s="52">
        <f>CM$42*CatchUpPct</f>
        <v/>
      </c>
      <c r="CN43" s="52">
        <f>CN$42*CatchUpPct</f>
        <v/>
      </c>
      <c r="CO43" s="52">
        <f>CO$42*CatchUpPct</f>
        <v/>
      </c>
      <c r="CP43" s="52">
        <f>CP$42*CatchUpPct</f>
        <v/>
      </c>
      <c r="CQ43" s="52">
        <f>CQ$42*CatchUpPct</f>
        <v/>
      </c>
      <c r="CR43" s="52">
        <f>CR$42*CatchUpPct</f>
        <v/>
      </c>
      <c r="CS43" s="52">
        <f>CS$42*CatchUpPct</f>
        <v/>
      </c>
      <c r="CT43" s="52">
        <f>CT$42*CatchUpPct</f>
        <v/>
      </c>
      <c r="CU43" s="52">
        <f>CU$42*CatchUpPct</f>
        <v/>
      </c>
      <c r="CV43" s="52">
        <f>CV$42*CatchUpPct</f>
        <v/>
      </c>
      <c r="CW43" s="52">
        <f>CW$42*CatchUpPct</f>
        <v/>
      </c>
      <c r="CX43" s="52">
        <f>CX$42*CatchUpPct</f>
        <v/>
      </c>
      <c r="CY43" s="52">
        <f>CY$42*CatchUpPct</f>
        <v/>
      </c>
      <c r="CZ43" s="52">
        <f>CZ$42*CatchUpPct</f>
        <v/>
      </c>
      <c r="DA43" s="52">
        <f>DA$42*CatchUpPct</f>
        <v/>
      </c>
      <c r="DB43" s="52">
        <f>DB$42*CatchUpPct</f>
        <v/>
      </c>
      <c r="DC43" s="52">
        <f>DC$42*CatchUpPct</f>
        <v/>
      </c>
      <c r="DD43" s="52">
        <f>DD$42*CatchUpPct</f>
        <v/>
      </c>
      <c r="DE43" s="52">
        <f>DE$42*CatchUpPct</f>
        <v/>
      </c>
      <c r="DF43" s="52">
        <f>DF$42*CatchUpPct</f>
        <v/>
      </c>
      <c r="DG43" s="52">
        <f>DG$42*CatchUpPct</f>
        <v/>
      </c>
      <c r="DH43" s="52">
        <f>DH$42*CatchUpPct</f>
        <v/>
      </c>
      <c r="DI43" s="52">
        <f>DI$42*CatchUpPct</f>
        <v/>
      </c>
      <c r="DJ43" s="52">
        <f>DJ$42*CatchUpPct</f>
        <v/>
      </c>
      <c r="DK43" s="52">
        <f>DK$42*CatchUpPct</f>
        <v/>
      </c>
      <c r="DL43" s="52">
        <f>DL$42*CatchUpPct</f>
        <v/>
      </c>
      <c r="DM43" s="52">
        <f>DM$42*CatchUpPct</f>
        <v/>
      </c>
      <c r="DN43" s="52">
        <f>DN$42*CatchUpPct</f>
        <v/>
      </c>
      <c r="DO43" s="52">
        <f>DO$42*CatchUpPct</f>
        <v/>
      </c>
      <c r="DP43" s="52">
        <f>DP$42*CatchUpPct</f>
        <v/>
      </c>
      <c r="DQ43" s="52">
        <f>DQ$42*CatchUpPct</f>
        <v/>
      </c>
      <c r="DR43" s="52">
        <f>DR$42*CatchUpPct</f>
        <v/>
      </c>
      <c r="DS43" s="52">
        <f>DS$42*CatchUpPct</f>
        <v/>
      </c>
      <c r="DT43" s="52">
        <f>DT$42*CatchUpPct</f>
        <v/>
      </c>
    </row>
    <row r="44">
      <c r="A44" s="10" t="inlineStr">
        <is>
          <t xml:space="preserve">  Catch-up to investors</t>
        </is>
      </c>
      <c r="E44" s="52">
        <f>E$42*(1-CatchUpPct)</f>
        <v/>
      </c>
      <c r="F44" s="52">
        <f>F$42*(1-CatchUpPct)</f>
        <v/>
      </c>
      <c r="G44" s="52">
        <f>G$42*(1-CatchUpPct)</f>
        <v/>
      </c>
      <c r="H44" s="52">
        <f>H$42*(1-CatchUpPct)</f>
        <v/>
      </c>
      <c r="I44" s="52">
        <f>I$42*(1-CatchUpPct)</f>
        <v/>
      </c>
      <c r="J44" s="52">
        <f>J$42*(1-CatchUpPct)</f>
        <v/>
      </c>
      <c r="K44" s="52">
        <f>K$42*(1-CatchUpPct)</f>
        <v/>
      </c>
      <c r="L44" s="52">
        <f>L$42*(1-CatchUpPct)</f>
        <v/>
      </c>
      <c r="M44" s="52">
        <f>M$42*(1-CatchUpPct)</f>
        <v/>
      </c>
      <c r="N44" s="52">
        <f>N$42*(1-CatchUpPct)</f>
        <v/>
      </c>
      <c r="O44" s="52">
        <f>O$42*(1-CatchUpPct)</f>
        <v/>
      </c>
      <c r="P44" s="52">
        <f>P$42*(1-CatchUpPct)</f>
        <v/>
      </c>
      <c r="Q44" s="52">
        <f>Q$42*(1-CatchUpPct)</f>
        <v/>
      </c>
      <c r="R44" s="52">
        <f>R$42*(1-CatchUpPct)</f>
        <v/>
      </c>
      <c r="S44" s="52">
        <f>S$42*(1-CatchUpPct)</f>
        <v/>
      </c>
      <c r="T44" s="52">
        <f>T$42*(1-CatchUpPct)</f>
        <v/>
      </c>
      <c r="U44" s="52">
        <f>U$42*(1-CatchUpPct)</f>
        <v/>
      </c>
      <c r="V44" s="52">
        <f>V$42*(1-CatchUpPct)</f>
        <v/>
      </c>
      <c r="W44" s="52">
        <f>W$42*(1-CatchUpPct)</f>
        <v/>
      </c>
      <c r="X44" s="52">
        <f>X$42*(1-CatchUpPct)</f>
        <v/>
      </c>
      <c r="Y44" s="52">
        <f>Y$42*(1-CatchUpPct)</f>
        <v/>
      </c>
      <c r="Z44" s="52">
        <f>Z$42*(1-CatchUpPct)</f>
        <v/>
      </c>
      <c r="AA44" s="52">
        <f>AA$42*(1-CatchUpPct)</f>
        <v/>
      </c>
      <c r="AB44" s="52">
        <f>AB$42*(1-CatchUpPct)</f>
        <v/>
      </c>
      <c r="AC44" s="52">
        <f>AC$42*(1-CatchUpPct)</f>
        <v/>
      </c>
      <c r="AD44" s="52">
        <f>AD$42*(1-CatchUpPct)</f>
        <v/>
      </c>
      <c r="AE44" s="52">
        <f>AE$42*(1-CatchUpPct)</f>
        <v/>
      </c>
      <c r="AF44" s="52">
        <f>AF$42*(1-CatchUpPct)</f>
        <v/>
      </c>
      <c r="AG44" s="52">
        <f>AG$42*(1-CatchUpPct)</f>
        <v/>
      </c>
      <c r="AH44" s="52">
        <f>AH$42*(1-CatchUpPct)</f>
        <v/>
      </c>
      <c r="AI44" s="52">
        <f>AI$42*(1-CatchUpPct)</f>
        <v/>
      </c>
      <c r="AJ44" s="52">
        <f>AJ$42*(1-CatchUpPct)</f>
        <v/>
      </c>
      <c r="AK44" s="52">
        <f>AK$42*(1-CatchUpPct)</f>
        <v/>
      </c>
      <c r="AL44" s="52">
        <f>AL$42*(1-CatchUpPct)</f>
        <v/>
      </c>
      <c r="AM44" s="52">
        <f>AM$42*(1-CatchUpPct)</f>
        <v/>
      </c>
      <c r="AN44" s="52">
        <f>AN$42*(1-CatchUpPct)</f>
        <v/>
      </c>
      <c r="AO44" s="52">
        <f>AO$42*(1-CatchUpPct)</f>
        <v/>
      </c>
      <c r="AP44" s="52">
        <f>AP$42*(1-CatchUpPct)</f>
        <v/>
      </c>
      <c r="AQ44" s="52">
        <f>AQ$42*(1-CatchUpPct)</f>
        <v/>
      </c>
      <c r="AR44" s="52">
        <f>AR$42*(1-CatchUpPct)</f>
        <v/>
      </c>
      <c r="AS44" s="52">
        <f>AS$42*(1-CatchUpPct)</f>
        <v/>
      </c>
      <c r="AT44" s="52">
        <f>AT$42*(1-CatchUpPct)</f>
        <v/>
      </c>
      <c r="AU44" s="52">
        <f>AU$42*(1-CatchUpPct)</f>
        <v/>
      </c>
      <c r="AV44" s="52">
        <f>AV$42*(1-CatchUpPct)</f>
        <v/>
      </c>
      <c r="AW44" s="52">
        <f>AW$42*(1-CatchUpPct)</f>
        <v/>
      </c>
      <c r="AX44" s="52">
        <f>AX$42*(1-CatchUpPct)</f>
        <v/>
      </c>
      <c r="AY44" s="52">
        <f>AY$42*(1-CatchUpPct)</f>
        <v/>
      </c>
      <c r="AZ44" s="52">
        <f>AZ$42*(1-CatchUpPct)</f>
        <v/>
      </c>
      <c r="BA44" s="52">
        <f>BA$42*(1-CatchUpPct)</f>
        <v/>
      </c>
      <c r="BB44" s="52">
        <f>BB$42*(1-CatchUpPct)</f>
        <v/>
      </c>
      <c r="BC44" s="52">
        <f>BC$42*(1-CatchUpPct)</f>
        <v/>
      </c>
      <c r="BD44" s="52">
        <f>BD$42*(1-CatchUpPct)</f>
        <v/>
      </c>
      <c r="BE44" s="52">
        <f>BE$42*(1-CatchUpPct)</f>
        <v/>
      </c>
      <c r="BF44" s="52">
        <f>BF$42*(1-CatchUpPct)</f>
        <v/>
      </c>
      <c r="BG44" s="52">
        <f>BG$42*(1-CatchUpPct)</f>
        <v/>
      </c>
      <c r="BH44" s="52">
        <f>BH$42*(1-CatchUpPct)</f>
        <v/>
      </c>
      <c r="BI44" s="52">
        <f>BI$42*(1-CatchUpPct)</f>
        <v/>
      </c>
      <c r="BJ44" s="52">
        <f>BJ$42*(1-CatchUpPct)</f>
        <v/>
      </c>
      <c r="BK44" s="52">
        <f>BK$42*(1-CatchUpPct)</f>
        <v/>
      </c>
      <c r="BL44" s="52">
        <f>BL$42*(1-CatchUpPct)</f>
        <v/>
      </c>
      <c r="BM44" s="52">
        <f>BM$42*(1-CatchUpPct)</f>
        <v/>
      </c>
      <c r="BN44" s="52">
        <f>BN$42*(1-CatchUpPct)</f>
        <v/>
      </c>
      <c r="BO44" s="52">
        <f>BO$42*(1-CatchUpPct)</f>
        <v/>
      </c>
      <c r="BP44" s="52">
        <f>BP$42*(1-CatchUpPct)</f>
        <v/>
      </c>
      <c r="BQ44" s="52">
        <f>BQ$42*(1-CatchUpPct)</f>
        <v/>
      </c>
      <c r="BR44" s="52">
        <f>BR$42*(1-CatchUpPct)</f>
        <v/>
      </c>
      <c r="BS44" s="52">
        <f>BS$42*(1-CatchUpPct)</f>
        <v/>
      </c>
      <c r="BT44" s="52">
        <f>BT$42*(1-CatchUpPct)</f>
        <v/>
      </c>
      <c r="BU44" s="52">
        <f>BU$42*(1-CatchUpPct)</f>
        <v/>
      </c>
      <c r="BV44" s="52">
        <f>BV$42*(1-CatchUpPct)</f>
        <v/>
      </c>
      <c r="BW44" s="52">
        <f>BW$42*(1-CatchUpPct)</f>
        <v/>
      </c>
      <c r="BX44" s="52">
        <f>BX$42*(1-CatchUpPct)</f>
        <v/>
      </c>
      <c r="BY44" s="52">
        <f>BY$42*(1-CatchUpPct)</f>
        <v/>
      </c>
      <c r="BZ44" s="52">
        <f>BZ$42*(1-CatchUpPct)</f>
        <v/>
      </c>
      <c r="CA44" s="52">
        <f>CA$42*(1-CatchUpPct)</f>
        <v/>
      </c>
      <c r="CB44" s="52">
        <f>CB$42*(1-CatchUpPct)</f>
        <v/>
      </c>
      <c r="CC44" s="52">
        <f>CC$42*(1-CatchUpPct)</f>
        <v/>
      </c>
      <c r="CD44" s="52">
        <f>CD$42*(1-CatchUpPct)</f>
        <v/>
      </c>
      <c r="CE44" s="52">
        <f>CE$42*(1-CatchUpPct)</f>
        <v/>
      </c>
      <c r="CF44" s="52">
        <f>CF$42*(1-CatchUpPct)</f>
        <v/>
      </c>
      <c r="CG44" s="52">
        <f>CG$42*(1-CatchUpPct)</f>
        <v/>
      </c>
      <c r="CH44" s="52">
        <f>CH$42*(1-CatchUpPct)</f>
        <v/>
      </c>
      <c r="CI44" s="52">
        <f>CI$42*(1-CatchUpPct)</f>
        <v/>
      </c>
      <c r="CJ44" s="52">
        <f>CJ$42*(1-CatchUpPct)</f>
        <v/>
      </c>
      <c r="CK44" s="52">
        <f>CK$42*(1-CatchUpPct)</f>
        <v/>
      </c>
      <c r="CL44" s="52">
        <f>CL$42*(1-CatchUpPct)</f>
        <v/>
      </c>
      <c r="CM44" s="52">
        <f>CM$42*(1-CatchUpPct)</f>
        <v/>
      </c>
      <c r="CN44" s="52">
        <f>CN$42*(1-CatchUpPct)</f>
        <v/>
      </c>
      <c r="CO44" s="52">
        <f>CO$42*(1-CatchUpPct)</f>
        <v/>
      </c>
      <c r="CP44" s="52">
        <f>CP$42*(1-CatchUpPct)</f>
        <v/>
      </c>
      <c r="CQ44" s="52">
        <f>CQ$42*(1-CatchUpPct)</f>
        <v/>
      </c>
      <c r="CR44" s="52">
        <f>CR$42*(1-CatchUpPct)</f>
        <v/>
      </c>
      <c r="CS44" s="52">
        <f>CS$42*(1-CatchUpPct)</f>
        <v/>
      </c>
      <c r="CT44" s="52">
        <f>CT$42*(1-CatchUpPct)</f>
        <v/>
      </c>
      <c r="CU44" s="52">
        <f>CU$42*(1-CatchUpPct)</f>
        <v/>
      </c>
      <c r="CV44" s="52">
        <f>CV$42*(1-CatchUpPct)</f>
        <v/>
      </c>
      <c r="CW44" s="52">
        <f>CW$42*(1-CatchUpPct)</f>
        <v/>
      </c>
      <c r="CX44" s="52">
        <f>CX$42*(1-CatchUpPct)</f>
        <v/>
      </c>
      <c r="CY44" s="52">
        <f>CY$42*(1-CatchUpPct)</f>
        <v/>
      </c>
      <c r="CZ44" s="52">
        <f>CZ$42*(1-CatchUpPct)</f>
        <v/>
      </c>
      <c r="DA44" s="52">
        <f>DA$42*(1-CatchUpPct)</f>
        <v/>
      </c>
      <c r="DB44" s="52">
        <f>DB$42*(1-CatchUpPct)</f>
        <v/>
      </c>
      <c r="DC44" s="52">
        <f>DC$42*(1-CatchUpPct)</f>
        <v/>
      </c>
      <c r="DD44" s="52">
        <f>DD$42*(1-CatchUpPct)</f>
        <v/>
      </c>
      <c r="DE44" s="52">
        <f>DE$42*(1-CatchUpPct)</f>
        <v/>
      </c>
      <c r="DF44" s="52">
        <f>DF$42*(1-CatchUpPct)</f>
        <v/>
      </c>
      <c r="DG44" s="52">
        <f>DG$42*(1-CatchUpPct)</f>
        <v/>
      </c>
      <c r="DH44" s="52">
        <f>DH$42*(1-CatchUpPct)</f>
        <v/>
      </c>
      <c r="DI44" s="52">
        <f>DI$42*(1-CatchUpPct)</f>
        <v/>
      </c>
      <c r="DJ44" s="52">
        <f>DJ$42*(1-CatchUpPct)</f>
        <v/>
      </c>
      <c r="DK44" s="52">
        <f>DK$42*(1-CatchUpPct)</f>
        <v/>
      </c>
      <c r="DL44" s="52">
        <f>DL$42*(1-CatchUpPct)</f>
        <v/>
      </c>
      <c r="DM44" s="52">
        <f>DM$42*(1-CatchUpPct)</f>
        <v/>
      </c>
      <c r="DN44" s="52">
        <f>DN$42*(1-CatchUpPct)</f>
        <v/>
      </c>
      <c r="DO44" s="52">
        <f>DO$42*(1-CatchUpPct)</f>
        <v/>
      </c>
      <c r="DP44" s="52">
        <f>DP$42*(1-CatchUpPct)</f>
        <v/>
      </c>
      <c r="DQ44" s="52">
        <f>DQ$42*(1-CatchUpPct)</f>
        <v/>
      </c>
      <c r="DR44" s="52">
        <f>DR$42*(1-CatchUpPct)</f>
        <v/>
      </c>
      <c r="DS44" s="52">
        <f>DS$42*(1-CatchUpPct)</f>
        <v/>
      </c>
      <c r="DT44" s="52">
        <f>DT$42*(1-CatchUpPct)</f>
        <v/>
      </c>
    </row>
    <row r="45">
      <c r="A45" s="10" t="inlineStr">
        <is>
          <t>Investor balance @ tier-2 hurdle</t>
        </is>
      </c>
      <c r="E45" s="52">
        <f>0*(1+((1+INDEX(CarryTiers,2,1))^(1/12)-1))+E$37</f>
        <v/>
      </c>
      <c r="F45" s="52">
        <f>E$45*(1+((1+INDEX(CarryTiers,2,1))^(1/12)-1))+F$37</f>
        <v/>
      </c>
      <c r="G45" s="52">
        <f>F$45*(1+((1+INDEX(CarryTiers,2,1))^(1/12)-1))+G$37</f>
        <v/>
      </c>
      <c r="H45" s="52">
        <f>G$45*(1+((1+INDEX(CarryTiers,2,1))^(1/12)-1))+H$37</f>
        <v/>
      </c>
      <c r="I45" s="52">
        <f>H$45*(1+((1+INDEX(CarryTiers,2,1))^(1/12)-1))+I$37</f>
        <v/>
      </c>
      <c r="J45" s="52">
        <f>I$45*(1+((1+INDEX(CarryTiers,2,1))^(1/12)-1))+J$37</f>
        <v/>
      </c>
      <c r="K45" s="52">
        <f>J$45*(1+((1+INDEX(CarryTiers,2,1))^(1/12)-1))+K$37</f>
        <v/>
      </c>
      <c r="L45" s="52">
        <f>K$45*(1+((1+INDEX(CarryTiers,2,1))^(1/12)-1))+L$37</f>
        <v/>
      </c>
      <c r="M45" s="52">
        <f>L$45*(1+((1+INDEX(CarryTiers,2,1))^(1/12)-1))+M$37</f>
        <v/>
      </c>
      <c r="N45" s="52">
        <f>M$45*(1+((1+INDEX(CarryTiers,2,1))^(1/12)-1))+N$37</f>
        <v/>
      </c>
      <c r="O45" s="52">
        <f>N$45*(1+((1+INDEX(CarryTiers,2,1))^(1/12)-1))+O$37</f>
        <v/>
      </c>
      <c r="P45" s="52">
        <f>O$45*(1+((1+INDEX(CarryTiers,2,1))^(1/12)-1))+P$37</f>
        <v/>
      </c>
      <c r="Q45" s="52">
        <f>P$45*(1+((1+INDEX(CarryTiers,2,1))^(1/12)-1))+Q$37</f>
        <v/>
      </c>
      <c r="R45" s="52">
        <f>Q$45*(1+((1+INDEX(CarryTiers,2,1))^(1/12)-1))+R$37</f>
        <v/>
      </c>
      <c r="S45" s="52">
        <f>R$45*(1+((1+INDEX(CarryTiers,2,1))^(1/12)-1))+S$37</f>
        <v/>
      </c>
      <c r="T45" s="52">
        <f>S$45*(1+((1+INDEX(CarryTiers,2,1))^(1/12)-1))+T$37</f>
        <v/>
      </c>
      <c r="U45" s="52">
        <f>T$45*(1+((1+INDEX(CarryTiers,2,1))^(1/12)-1))+U$37</f>
        <v/>
      </c>
      <c r="V45" s="52">
        <f>U$45*(1+((1+INDEX(CarryTiers,2,1))^(1/12)-1))+V$37</f>
        <v/>
      </c>
      <c r="W45" s="52">
        <f>V$45*(1+((1+INDEX(CarryTiers,2,1))^(1/12)-1))+W$37</f>
        <v/>
      </c>
      <c r="X45" s="52">
        <f>W$45*(1+((1+INDEX(CarryTiers,2,1))^(1/12)-1))+X$37</f>
        <v/>
      </c>
      <c r="Y45" s="52">
        <f>X$45*(1+((1+INDEX(CarryTiers,2,1))^(1/12)-1))+Y$37</f>
        <v/>
      </c>
      <c r="Z45" s="52">
        <f>Y$45*(1+((1+INDEX(CarryTiers,2,1))^(1/12)-1))+Z$37</f>
        <v/>
      </c>
      <c r="AA45" s="52">
        <f>Z$45*(1+((1+INDEX(CarryTiers,2,1))^(1/12)-1))+AA$37</f>
        <v/>
      </c>
      <c r="AB45" s="52">
        <f>AA$45*(1+((1+INDEX(CarryTiers,2,1))^(1/12)-1))+AB$37</f>
        <v/>
      </c>
      <c r="AC45" s="52">
        <f>AB$45*(1+((1+INDEX(CarryTiers,2,1))^(1/12)-1))+AC$37</f>
        <v/>
      </c>
      <c r="AD45" s="52">
        <f>AC$45*(1+((1+INDEX(CarryTiers,2,1))^(1/12)-1))+AD$37</f>
        <v/>
      </c>
      <c r="AE45" s="52">
        <f>AD$45*(1+((1+INDEX(CarryTiers,2,1))^(1/12)-1))+AE$37</f>
        <v/>
      </c>
      <c r="AF45" s="52">
        <f>AE$45*(1+((1+INDEX(CarryTiers,2,1))^(1/12)-1))+AF$37</f>
        <v/>
      </c>
      <c r="AG45" s="52">
        <f>AF$45*(1+((1+INDEX(CarryTiers,2,1))^(1/12)-1))+AG$37</f>
        <v/>
      </c>
      <c r="AH45" s="52">
        <f>AG$45*(1+((1+INDEX(CarryTiers,2,1))^(1/12)-1))+AH$37</f>
        <v/>
      </c>
      <c r="AI45" s="52">
        <f>AH$45*(1+((1+INDEX(CarryTiers,2,1))^(1/12)-1))+AI$37</f>
        <v/>
      </c>
      <c r="AJ45" s="52">
        <f>AI$45*(1+((1+INDEX(CarryTiers,2,1))^(1/12)-1))+AJ$37</f>
        <v/>
      </c>
      <c r="AK45" s="52">
        <f>AJ$45*(1+((1+INDEX(CarryTiers,2,1))^(1/12)-1))+AK$37</f>
        <v/>
      </c>
      <c r="AL45" s="52">
        <f>AK$45*(1+((1+INDEX(CarryTiers,2,1))^(1/12)-1))+AL$37</f>
        <v/>
      </c>
      <c r="AM45" s="52">
        <f>AL$45*(1+((1+INDEX(CarryTiers,2,1))^(1/12)-1))+AM$37</f>
        <v/>
      </c>
      <c r="AN45" s="52">
        <f>AM$45*(1+((1+INDEX(CarryTiers,2,1))^(1/12)-1))+AN$37</f>
        <v/>
      </c>
      <c r="AO45" s="52">
        <f>AN$45*(1+((1+INDEX(CarryTiers,2,1))^(1/12)-1))+AO$37</f>
        <v/>
      </c>
      <c r="AP45" s="52">
        <f>AO$45*(1+((1+INDEX(CarryTiers,2,1))^(1/12)-1))+AP$37</f>
        <v/>
      </c>
      <c r="AQ45" s="52">
        <f>AP$45*(1+((1+INDEX(CarryTiers,2,1))^(1/12)-1))+AQ$37</f>
        <v/>
      </c>
      <c r="AR45" s="52">
        <f>AQ$45*(1+((1+INDEX(CarryTiers,2,1))^(1/12)-1))+AR$37</f>
        <v/>
      </c>
      <c r="AS45" s="52">
        <f>AR$45*(1+((1+INDEX(CarryTiers,2,1))^(1/12)-1))+AS$37</f>
        <v/>
      </c>
      <c r="AT45" s="52">
        <f>AS$45*(1+((1+INDEX(CarryTiers,2,1))^(1/12)-1))+AT$37</f>
        <v/>
      </c>
      <c r="AU45" s="52">
        <f>AT$45*(1+((1+INDEX(CarryTiers,2,1))^(1/12)-1))+AU$37</f>
        <v/>
      </c>
      <c r="AV45" s="52">
        <f>AU$45*(1+((1+INDEX(CarryTiers,2,1))^(1/12)-1))+AV$37</f>
        <v/>
      </c>
      <c r="AW45" s="52">
        <f>AV$45*(1+((1+INDEX(CarryTiers,2,1))^(1/12)-1))+AW$37</f>
        <v/>
      </c>
      <c r="AX45" s="52">
        <f>AW$45*(1+((1+INDEX(CarryTiers,2,1))^(1/12)-1))+AX$37</f>
        <v/>
      </c>
      <c r="AY45" s="52">
        <f>AX$45*(1+((1+INDEX(CarryTiers,2,1))^(1/12)-1))+AY$37</f>
        <v/>
      </c>
      <c r="AZ45" s="52">
        <f>AY$45*(1+((1+INDEX(CarryTiers,2,1))^(1/12)-1))+AZ$37</f>
        <v/>
      </c>
      <c r="BA45" s="52">
        <f>AZ$45*(1+((1+INDEX(CarryTiers,2,1))^(1/12)-1))+BA$37</f>
        <v/>
      </c>
      <c r="BB45" s="52">
        <f>BA$45*(1+((1+INDEX(CarryTiers,2,1))^(1/12)-1))+BB$37</f>
        <v/>
      </c>
      <c r="BC45" s="52">
        <f>BB$45*(1+((1+INDEX(CarryTiers,2,1))^(1/12)-1))+BC$37</f>
        <v/>
      </c>
      <c r="BD45" s="52">
        <f>BC$45*(1+((1+INDEX(CarryTiers,2,1))^(1/12)-1))+BD$37</f>
        <v/>
      </c>
      <c r="BE45" s="52">
        <f>BD$45*(1+((1+INDEX(CarryTiers,2,1))^(1/12)-1))+BE$37</f>
        <v/>
      </c>
      <c r="BF45" s="52">
        <f>BE$45*(1+((1+INDEX(CarryTiers,2,1))^(1/12)-1))+BF$37</f>
        <v/>
      </c>
      <c r="BG45" s="52">
        <f>BF$45*(1+((1+INDEX(CarryTiers,2,1))^(1/12)-1))+BG$37</f>
        <v/>
      </c>
      <c r="BH45" s="52">
        <f>BG$45*(1+((1+INDEX(CarryTiers,2,1))^(1/12)-1))+BH$37</f>
        <v/>
      </c>
      <c r="BI45" s="52">
        <f>BH$45*(1+((1+INDEX(CarryTiers,2,1))^(1/12)-1))+BI$37</f>
        <v/>
      </c>
      <c r="BJ45" s="52">
        <f>BI$45*(1+((1+INDEX(CarryTiers,2,1))^(1/12)-1))+BJ$37</f>
        <v/>
      </c>
      <c r="BK45" s="52">
        <f>BJ$45*(1+((1+INDEX(CarryTiers,2,1))^(1/12)-1))+BK$37</f>
        <v/>
      </c>
      <c r="BL45" s="52">
        <f>BK$45*(1+((1+INDEX(CarryTiers,2,1))^(1/12)-1))+BL$37</f>
        <v/>
      </c>
      <c r="BM45" s="52">
        <f>BL$45*(1+((1+INDEX(CarryTiers,2,1))^(1/12)-1))+BM$37</f>
        <v/>
      </c>
      <c r="BN45" s="52">
        <f>BM$45*(1+((1+INDEX(CarryTiers,2,1))^(1/12)-1))+BN$37</f>
        <v/>
      </c>
      <c r="BO45" s="52">
        <f>BN$45*(1+((1+INDEX(CarryTiers,2,1))^(1/12)-1))+BO$37</f>
        <v/>
      </c>
      <c r="BP45" s="52">
        <f>BO$45*(1+((1+INDEX(CarryTiers,2,1))^(1/12)-1))+BP$37</f>
        <v/>
      </c>
      <c r="BQ45" s="52">
        <f>BP$45*(1+((1+INDEX(CarryTiers,2,1))^(1/12)-1))+BQ$37</f>
        <v/>
      </c>
      <c r="BR45" s="52">
        <f>BQ$45*(1+((1+INDEX(CarryTiers,2,1))^(1/12)-1))+BR$37</f>
        <v/>
      </c>
      <c r="BS45" s="52">
        <f>BR$45*(1+((1+INDEX(CarryTiers,2,1))^(1/12)-1))+BS$37</f>
        <v/>
      </c>
      <c r="BT45" s="52">
        <f>BS$45*(1+((1+INDEX(CarryTiers,2,1))^(1/12)-1))+BT$37</f>
        <v/>
      </c>
      <c r="BU45" s="52">
        <f>BT$45*(1+((1+INDEX(CarryTiers,2,1))^(1/12)-1))+BU$37</f>
        <v/>
      </c>
      <c r="BV45" s="52">
        <f>BU$45*(1+((1+INDEX(CarryTiers,2,1))^(1/12)-1))+BV$37</f>
        <v/>
      </c>
      <c r="BW45" s="52">
        <f>BV$45*(1+((1+INDEX(CarryTiers,2,1))^(1/12)-1))+BW$37</f>
        <v/>
      </c>
      <c r="BX45" s="52">
        <f>BW$45*(1+((1+INDEX(CarryTiers,2,1))^(1/12)-1))+BX$37</f>
        <v/>
      </c>
      <c r="BY45" s="52">
        <f>BX$45*(1+((1+INDEX(CarryTiers,2,1))^(1/12)-1))+BY$37</f>
        <v/>
      </c>
      <c r="BZ45" s="52">
        <f>BY$45*(1+((1+INDEX(CarryTiers,2,1))^(1/12)-1))+BZ$37</f>
        <v/>
      </c>
      <c r="CA45" s="52">
        <f>BZ$45*(1+((1+INDEX(CarryTiers,2,1))^(1/12)-1))+CA$37</f>
        <v/>
      </c>
      <c r="CB45" s="52">
        <f>CA$45*(1+((1+INDEX(CarryTiers,2,1))^(1/12)-1))+CB$37</f>
        <v/>
      </c>
      <c r="CC45" s="52">
        <f>CB$45*(1+((1+INDEX(CarryTiers,2,1))^(1/12)-1))+CC$37</f>
        <v/>
      </c>
      <c r="CD45" s="52">
        <f>CC$45*(1+((1+INDEX(CarryTiers,2,1))^(1/12)-1))+CD$37</f>
        <v/>
      </c>
      <c r="CE45" s="52">
        <f>CD$45*(1+((1+INDEX(CarryTiers,2,1))^(1/12)-1))+CE$37</f>
        <v/>
      </c>
      <c r="CF45" s="52">
        <f>CE$45*(1+((1+INDEX(CarryTiers,2,1))^(1/12)-1))+CF$37</f>
        <v/>
      </c>
      <c r="CG45" s="52">
        <f>CF$45*(1+((1+INDEX(CarryTiers,2,1))^(1/12)-1))+CG$37</f>
        <v/>
      </c>
      <c r="CH45" s="52">
        <f>CG$45*(1+((1+INDEX(CarryTiers,2,1))^(1/12)-1))+CH$37</f>
        <v/>
      </c>
      <c r="CI45" s="52">
        <f>CH$45*(1+((1+INDEX(CarryTiers,2,1))^(1/12)-1))+CI$37</f>
        <v/>
      </c>
      <c r="CJ45" s="52">
        <f>CI$45*(1+((1+INDEX(CarryTiers,2,1))^(1/12)-1))+CJ$37</f>
        <v/>
      </c>
      <c r="CK45" s="52">
        <f>CJ$45*(1+((1+INDEX(CarryTiers,2,1))^(1/12)-1))+CK$37</f>
        <v/>
      </c>
      <c r="CL45" s="52">
        <f>CK$45*(1+((1+INDEX(CarryTiers,2,1))^(1/12)-1))+CL$37</f>
        <v/>
      </c>
      <c r="CM45" s="52">
        <f>CL$45*(1+((1+INDEX(CarryTiers,2,1))^(1/12)-1))+CM$37</f>
        <v/>
      </c>
      <c r="CN45" s="52">
        <f>CM$45*(1+((1+INDEX(CarryTiers,2,1))^(1/12)-1))+CN$37</f>
        <v/>
      </c>
      <c r="CO45" s="52">
        <f>CN$45*(1+((1+INDEX(CarryTiers,2,1))^(1/12)-1))+CO$37</f>
        <v/>
      </c>
      <c r="CP45" s="52">
        <f>CO$45*(1+((1+INDEX(CarryTiers,2,1))^(1/12)-1))+CP$37</f>
        <v/>
      </c>
      <c r="CQ45" s="52">
        <f>CP$45*(1+((1+INDEX(CarryTiers,2,1))^(1/12)-1))+CQ$37</f>
        <v/>
      </c>
      <c r="CR45" s="52">
        <f>CQ$45*(1+((1+INDEX(CarryTiers,2,1))^(1/12)-1))+CR$37</f>
        <v/>
      </c>
      <c r="CS45" s="52">
        <f>CR$45*(1+((1+INDEX(CarryTiers,2,1))^(1/12)-1))+CS$37</f>
        <v/>
      </c>
      <c r="CT45" s="52">
        <f>CS$45*(1+((1+INDEX(CarryTiers,2,1))^(1/12)-1))+CT$37</f>
        <v/>
      </c>
      <c r="CU45" s="52">
        <f>CT$45*(1+((1+INDEX(CarryTiers,2,1))^(1/12)-1))+CU$37</f>
        <v/>
      </c>
      <c r="CV45" s="52">
        <f>CU$45*(1+((1+INDEX(CarryTiers,2,1))^(1/12)-1))+CV$37</f>
        <v/>
      </c>
      <c r="CW45" s="52">
        <f>CV$45*(1+((1+INDEX(CarryTiers,2,1))^(1/12)-1))+CW$37</f>
        <v/>
      </c>
      <c r="CX45" s="52">
        <f>CW$45*(1+((1+INDEX(CarryTiers,2,1))^(1/12)-1))+CX$37</f>
        <v/>
      </c>
      <c r="CY45" s="52">
        <f>CX$45*(1+((1+INDEX(CarryTiers,2,1))^(1/12)-1))+CY$37</f>
        <v/>
      </c>
      <c r="CZ45" s="52">
        <f>CY$45*(1+((1+INDEX(CarryTiers,2,1))^(1/12)-1))+CZ$37</f>
        <v/>
      </c>
      <c r="DA45" s="52">
        <f>CZ$45*(1+((1+INDEX(CarryTiers,2,1))^(1/12)-1))+DA$37</f>
        <v/>
      </c>
      <c r="DB45" s="52">
        <f>DA$45*(1+((1+INDEX(CarryTiers,2,1))^(1/12)-1))+DB$37</f>
        <v/>
      </c>
      <c r="DC45" s="52">
        <f>DB$45*(1+((1+INDEX(CarryTiers,2,1))^(1/12)-1))+DC$37</f>
        <v/>
      </c>
      <c r="DD45" s="52">
        <f>DC$45*(1+((1+INDEX(CarryTiers,2,1))^(1/12)-1))+DD$37</f>
        <v/>
      </c>
      <c r="DE45" s="52">
        <f>DD$45*(1+((1+INDEX(CarryTiers,2,1))^(1/12)-1))+DE$37</f>
        <v/>
      </c>
      <c r="DF45" s="52">
        <f>DE$45*(1+((1+INDEX(CarryTiers,2,1))^(1/12)-1))+DF$37</f>
        <v/>
      </c>
      <c r="DG45" s="52">
        <f>DF$45*(1+((1+INDEX(CarryTiers,2,1))^(1/12)-1))+DG$37</f>
        <v/>
      </c>
      <c r="DH45" s="52">
        <f>DG$45*(1+((1+INDEX(CarryTiers,2,1))^(1/12)-1))+DH$37</f>
        <v/>
      </c>
      <c r="DI45" s="52">
        <f>DH$45*(1+((1+INDEX(CarryTiers,2,1))^(1/12)-1))+DI$37</f>
        <v/>
      </c>
      <c r="DJ45" s="52">
        <f>DI$45*(1+((1+INDEX(CarryTiers,2,1))^(1/12)-1))+DJ$37</f>
        <v/>
      </c>
      <c r="DK45" s="52">
        <f>DJ$45*(1+((1+INDEX(CarryTiers,2,1))^(1/12)-1))+DK$37</f>
        <v/>
      </c>
      <c r="DL45" s="52">
        <f>DK$45*(1+((1+INDEX(CarryTiers,2,1))^(1/12)-1))+DL$37</f>
        <v/>
      </c>
      <c r="DM45" s="52">
        <f>DL$45*(1+((1+INDEX(CarryTiers,2,1))^(1/12)-1))+DM$37</f>
        <v/>
      </c>
      <c r="DN45" s="52">
        <f>DM$45*(1+((1+INDEX(CarryTiers,2,1))^(1/12)-1))+DN$37</f>
        <v/>
      </c>
      <c r="DO45" s="52">
        <f>DN$45*(1+((1+INDEX(CarryTiers,2,1))^(1/12)-1))+DO$37</f>
        <v/>
      </c>
      <c r="DP45" s="52">
        <f>DO$45*(1+((1+INDEX(CarryTiers,2,1))^(1/12)-1))+DP$37</f>
        <v/>
      </c>
      <c r="DQ45" s="52">
        <f>DP$45*(1+((1+INDEX(CarryTiers,2,1))^(1/12)-1))+DQ$37</f>
        <v/>
      </c>
      <c r="DR45" s="52">
        <f>DQ$45*(1+((1+INDEX(CarryTiers,2,1))^(1/12)-1))+DR$37</f>
        <v/>
      </c>
      <c r="DS45" s="52">
        <f>DR$45*(1+((1+INDEX(CarryTiers,2,1))^(1/12)-1))+DS$37</f>
        <v/>
      </c>
      <c r="DT45" s="52">
        <f>DS$45*(1+((1+INDEX(CarryTiers,2,1))^(1/12)-1))+DT$37</f>
        <v/>
      </c>
    </row>
    <row r="46">
      <c r="A46" s="10" t="inlineStr">
        <is>
          <t>Investor balance @ tier-3 hurdle</t>
        </is>
      </c>
      <c r="E46" s="52">
        <f>0*(1+((1+INDEX(CarryTiers,3,1))^(1/12)-1))+E$37</f>
        <v/>
      </c>
      <c r="F46" s="52">
        <f>E$46*(1+((1+INDEX(CarryTiers,3,1))^(1/12)-1))+F$37</f>
        <v/>
      </c>
      <c r="G46" s="52">
        <f>F$46*(1+((1+INDEX(CarryTiers,3,1))^(1/12)-1))+G$37</f>
        <v/>
      </c>
      <c r="H46" s="52">
        <f>G$46*(1+((1+INDEX(CarryTiers,3,1))^(1/12)-1))+H$37</f>
        <v/>
      </c>
      <c r="I46" s="52">
        <f>H$46*(1+((1+INDEX(CarryTiers,3,1))^(1/12)-1))+I$37</f>
        <v/>
      </c>
      <c r="J46" s="52">
        <f>I$46*(1+((1+INDEX(CarryTiers,3,1))^(1/12)-1))+J$37</f>
        <v/>
      </c>
      <c r="K46" s="52">
        <f>J$46*(1+((1+INDEX(CarryTiers,3,1))^(1/12)-1))+K$37</f>
        <v/>
      </c>
      <c r="L46" s="52">
        <f>K$46*(1+((1+INDEX(CarryTiers,3,1))^(1/12)-1))+L$37</f>
        <v/>
      </c>
      <c r="M46" s="52">
        <f>L$46*(1+((1+INDEX(CarryTiers,3,1))^(1/12)-1))+M$37</f>
        <v/>
      </c>
      <c r="N46" s="52">
        <f>M$46*(1+((1+INDEX(CarryTiers,3,1))^(1/12)-1))+N$37</f>
        <v/>
      </c>
      <c r="O46" s="52">
        <f>N$46*(1+((1+INDEX(CarryTiers,3,1))^(1/12)-1))+O$37</f>
        <v/>
      </c>
      <c r="P46" s="52">
        <f>O$46*(1+((1+INDEX(CarryTiers,3,1))^(1/12)-1))+P$37</f>
        <v/>
      </c>
      <c r="Q46" s="52">
        <f>P$46*(1+((1+INDEX(CarryTiers,3,1))^(1/12)-1))+Q$37</f>
        <v/>
      </c>
      <c r="R46" s="52">
        <f>Q$46*(1+((1+INDEX(CarryTiers,3,1))^(1/12)-1))+R$37</f>
        <v/>
      </c>
      <c r="S46" s="52">
        <f>R$46*(1+((1+INDEX(CarryTiers,3,1))^(1/12)-1))+S$37</f>
        <v/>
      </c>
      <c r="T46" s="52">
        <f>S$46*(1+((1+INDEX(CarryTiers,3,1))^(1/12)-1))+T$37</f>
        <v/>
      </c>
      <c r="U46" s="52">
        <f>T$46*(1+((1+INDEX(CarryTiers,3,1))^(1/12)-1))+U$37</f>
        <v/>
      </c>
      <c r="V46" s="52">
        <f>U$46*(1+((1+INDEX(CarryTiers,3,1))^(1/12)-1))+V$37</f>
        <v/>
      </c>
      <c r="W46" s="52">
        <f>V$46*(1+((1+INDEX(CarryTiers,3,1))^(1/12)-1))+W$37</f>
        <v/>
      </c>
      <c r="X46" s="52">
        <f>W$46*(1+((1+INDEX(CarryTiers,3,1))^(1/12)-1))+X$37</f>
        <v/>
      </c>
      <c r="Y46" s="52">
        <f>X$46*(1+((1+INDEX(CarryTiers,3,1))^(1/12)-1))+Y$37</f>
        <v/>
      </c>
      <c r="Z46" s="52">
        <f>Y$46*(1+((1+INDEX(CarryTiers,3,1))^(1/12)-1))+Z$37</f>
        <v/>
      </c>
      <c r="AA46" s="52">
        <f>Z$46*(1+((1+INDEX(CarryTiers,3,1))^(1/12)-1))+AA$37</f>
        <v/>
      </c>
      <c r="AB46" s="52">
        <f>AA$46*(1+((1+INDEX(CarryTiers,3,1))^(1/12)-1))+AB$37</f>
        <v/>
      </c>
      <c r="AC46" s="52">
        <f>AB$46*(1+((1+INDEX(CarryTiers,3,1))^(1/12)-1))+AC$37</f>
        <v/>
      </c>
      <c r="AD46" s="52">
        <f>AC$46*(1+((1+INDEX(CarryTiers,3,1))^(1/12)-1))+AD$37</f>
        <v/>
      </c>
      <c r="AE46" s="52">
        <f>AD$46*(1+((1+INDEX(CarryTiers,3,1))^(1/12)-1))+AE$37</f>
        <v/>
      </c>
      <c r="AF46" s="52">
        <f>AE$46*(1+((1+INDEX(CarryTiers,3,1))^(1/12)-1))+AF$37</f>
        <v/>
      </c>
      <c r="AG46" s="52">
        <f>AF$46*(1+((1+INDEX(CarryTiers,3,1))^(1/12)-1))+AG$37</f>
        <v/>
      </c>
      <c r="AH46" s="52">
        <f>AG$46*(1+((1+INDEX(CarryTiers,3,1))^(1/12)-1))+AH$37</f>
        <v/>
      </c>
      <c r="AI46" s="52">
        <f>AH$46*(1+((1+INDEX(CarryTiers,3,1))^(1/12)-1))+AI$37</f>
        <v/>
      </c>
      <c r="AJ46" s="52">
        <f>AI$46*(1+((1+INDEX(CarryTiers,3,1))^(1/12)-1))+AJ$37</f>
        <v/>
      </c>
      <c r="AK46" s="52">
        <f>AJ$46*(1+((1+INDEX(CarryTiers,3,1))^(1/12)-1))+AK$37</f>
        <v/>
      </c>
      <c r="AL46" s="52">
        <f>AK$46*(1+((1+INDEX(CarryTiers,3,1))^(1/12)-1))+AL$37</f>
        <v/>
      </c>
      <c r="AM46" s="52">
        <f>AL$46*(1+((1+INDEX(CarryTiers,3,1))^(1/12)-1))+AM$37</f>
        <v/>
      </c>
      <c r="AN46" s="52">
        <f>AM$46*(1+((1+INDEX(CarryTiers,3,1))^(1/12)-1))+AN$37</f>
        <v/>
      </c>
      <c r="AO46" s="52">
        <f>AN$46*(1+((1+INDEX(CarryTiers,3,1))^(1/12)-1))+AO$37</f>
        <v/>
      </c>
      <c r="AP46" s="52">
        <f>AO$46*(1+((1+INDEX(CarryTiers,3,1))^(1/12)-1))+AP$37</f>
        <v/>
      </c>
      <c r="AQ46" s="52">
        <f>AP$46*(1+((1+INDEX(CarryTiers,3,1))^(1/12)-1))+AQ$37</f>
        <v/>
      </c>
      <c r="AR46" s="52">
        <f>AQ$46*(1+((1+INDEX(CarryTiers,3,1))^(1/12)-1))+AR$37</f>
        <v/>
      </c>
      <c r="AS46" s="52">
        <f>AR$46*(1+((1+INDEX(CarryTiers,3,1))^(1/12)-1))+AS$37</f>
        <v/>
      </c>
      <c r="AT46" s="52">
        <f>AS$46*(1+((1+INDEX(CarryTiers,3,1))^(1/12)-1))+AT$37</f>
        <v/>
      </c>
      <c r="AU46" s="52">
        <f>AT$46*(1+((1+INDEX(CarryTiers,3,1))^(1/12)-1))+AU$37</f>
        <v/>
      </c>
      <c r="AV46" s="52">
        <f>AU$46*(1+((1+INDEX(CarryTiers,3,1))^(1/12)-1))+AV$37</f>
        <v/>
      </c>
      <c r="AW46" s="52">
        <f>AV$46*(1+((1+INDEX(CarryTiers,3,1))^(1/12)-1))+AW$37</f>
        <v/>
      </c>
      <c r="AX46" s="52">
        <f>AW$46*(1+((1+INDEX(CarryTiers,3,1))^(1/12)-1))+AX$37</f>
        <v/>
      </c>
      <c r="AY46" s="52">
        <f>AX$46*(1+((1+INDEX(CarryTiers,3,1))^(1/12)-1))+AY$37</f>
        <v/>
      </c>
      <c r="AZ46" s="52">
        <f>AY$46*(1+((1+INDEX(CarryTiers,3,1))^(1/12)-1))+AZ$37</f>
        <v/>
      </c>
      <c r="BA46" s="52">
        <f>AZ$46*(1+((1+INDEX(CarryTiers,3,1))^(1/12)-1))+BA$37</f>
        <v/>
      </c>
      <c r="BB46" s="52">
        <f>BA$46*(1+((1+INDEX(CarryTiers,3,1))^(1/12)-1))+BB$37</f>
        <v/>
      </c>
      <c r="BC46" s="52">
        <f>BB$46*(1+((1+INDEX(CarryTiers,3,1))^(1/12)-1))+BC$37</f>
        <v/>
      </c>
      <c r="BD46" s="52">
        <f>BC$46*(1+((1+INDEX(CarryTiers,3,1))^(1/12)-1))+BD$37</f>
        <v/>
      </c>
      <c r="BE46" s="52">
        <f>BD$46*(1+((1+INDEX(CarryTiers,3,1))^(1/12)-1))+BE$37</f>
        <v/>
      </c>
      <c r="BF46" s="52">
        <f>BE$46*(1+((1+INDEX(CarryTiers,3,1))^(1/12)-1))+BF$37</f>
        <v/>
      </c>
      <c r="BG46" s="52">
        <f>BF$46*(1+((1+INDEX(CarryTiers,3,1))^(1/12)-1))+BG$37</f>
        <v/>
      </c>
      <c r="BH46" s="52">
        <f>BG$46*(1+((1+INDEX(CarryTiers,3,1))^(1/12)-1))+BH$37</f>
        <v/>
      </c>
      <c r="BI46" s="52">
        <f>BH$46*(1+((1+INDEX(CarryTiers,3,1))^(1/12)-1))+BI$37</f>
        <v/>
      </c>
      <c r="BJ46" s="52">
        <f>BI$46*(1+((1+INDEX(CarryTiers,3,1))^(1/12)-1))+BJ$37</f>
        <v/>
      </c>
      <c r="BK46" s="52">
        <f>BJ$46*(1+((1+INDEX(CarryTiers,3,1))^(1/12)-1))+BK$37</f>
        <v/>
      </c>
      <c r="BL46" s="52">
        <f>BK$46*(1+((1+INDEX(CarryTiers,3,1))^(1/12)-1))+BL$37</f>
        <v/>
      </c>
      <c r="BM46" s="52">
        <f>BL$46*(1+((1+INDEX(CarryTiers,3,1))^(1/12)-1))+BM$37</f>
        <v/>
      </c>
      <c r="BN46" s="52">
        <f>BM$46*(1+((1+INDEX(CarryTiers,3,1))^(1/12)-1))+BN$37</f>
        <v/>
      </c>
      <c r="BO46" s="52">
        <f>BN$46*(1+((1+INDEX(CarryTiers,3,1))^(1/12)-1))+BO$37</f>
        <v/>
      </c>
      <c r="BP46" s="52">
        <f>BO$46*(1+((1+INDEX(CarryTiers,3,1))^(1/12)-1))+BP$37</f>
        <v/>
      </c>
      <c r="BQ46" s="52">
        <f>BP$46*(1+((1+INDEX(CarryTiers,3,1))^(1/12)-1))+BQ$37</f>
        <v/>
      </c>
      <c r="BR46" s="52">
        <f>BQ$46*(1+((1+INDEX(CarryTiers,3,1))^(1/12)-1))+BR$37</f>
        <v/>
      </c>
      <c r="BS46" s="52">
        <f>BR$46*(1+((1+INDEX(CarryTiers,3,1))^(1/12)-1))+BS$37</f>
        <v/>
      </c>
      <c r="BT46" s="52">
        <f>BS$46*(1+((1+INDEX(CarryTiers,3,1))^(1/12)-1))+BT$37</f>
        <v/>
      </c>
      <c r="BU46" s="52">
        <f>BT$46*(1+((1+INDEX(CarryTiers,3,1))^(1/12)-1))+BU$37</f>
        <v/>
      </c>
      <c r="BV46" s="52">
        <f>BU$46*(1+((1+INDEX(CarryTiers,3,1))^(1/12)-1))+BV$37</f>
        <v/>
      </c>
      <c r="BW46" s="52">
        <f>BV$46*(1+((1+INDEX(CarryTiers,3,1))^(1/12)-1))+BW$37</f>
        <v/>
      </c>
      <c r="BX46" s="52">
        <f>BW$46*(1+((1+INDEX(CarryTiers,3,1))^(1/12)-1))+BX$37</f>
        <v/>
      </c>
      <c r="BY46" s="52">
        <f>BX$46*(1+((1+INDEX(CarryTiers,3,1))^(1/12)-1))+BY$37</f>
        <v/>
      </c>
      <c r="BZ46" s="52">
        <f>BY$46*(1+((1+INDEX(CarryTiers,3,1))^(1/12)-1))+BZ$37</f>
        <v/>
      </c>
      <c r="CA46" s="52">
        <f>BZ$46*(1+((1+INDEX(CarryTiers,3,1))^(1/12)-1))+CA$37</f>
        <v/>
      </c>
      <c r="CB46" s="52">
        <f>CA$46*(1+((1+INDEX(CarryTiers,3,1))^(1/12)-1))+CB$37</f>
        <v/>
      </c>
      <c r="CC46" s="52">
        <f>CB$46*(1+((1+INDEX(CarryTiers,3,1))^(1/12)-1))+CC$37</f>
        <v/>
      </c>
      <c r="CD46" s="52">
        <f>CC$46*(1+((1+INDEX(CarryTiers,3,1))^(1/12)-1))+CD$37</f>
        <v/>
      </c>
      <c r="CE46" s="52">
        <f>CD$46*(1+((1+INDEX(CarryTiers,3,1))^(1/12)-1))+CE$37</f>
        <v/>
      </c>
      <c r="CF46" s="52">
        <f>CE$46*(1+((1+INDEX(CarryTiers,3,1))^(1/12)-1))+CF$37</f>
        <v/>
      </c>
      <c r="CG46" s="52">
        <f>CF$46*(1+((1+INDEX(CarryTiers,3,1))^(1/12)-1))+CG$37</f>
        <v/>
      </c>
      <c r="CH46" s="52">
        <f>CG$46*(1+((1+INDEX(CarryTiers,3,1))^(1/12)-1))+CH$37</f>
        <v/>
      </c>
      <c r="CI46" s="52">
        <f>CH$46*(1+((1+INDEX(CarryTiers,3,1))^(1/12)-1))+CI$37</f>
        <v/>
      </c>
      <c r="CJ46" s="52">
        <f>CI$46*(1+((1+INDEX(CarryTiers,3,1))^(1/12)-1))+CJ$37</f>
        <v/>
      </c>
      <c r="CK46" s="52">
        <f>CJ$46*(1+((1+INDEX(CarryTiers,3,1))^(1/12)-1))+CK$37</f>
        <v/>
      </c>
      <c r="CL46" s="52">
        <f>CK$46*(1+((1+INDEX(CarryTiers,3,1))^(1/12)-1))+CL$37</f>
        <v/>
      </c>
      <c r="CM46" s="52">
        <f>CL$46*(1+((1+INDEX(CarryTiers,3,1))^(1/12)-1))+CM$37</f>
        <v/>
      </c>
      <c r="CN46" s="52">
        <f>CM$46*(1+((1+INDEX(CarryTiers,3,1))^(1/12)-1))+CN$37</f>
        <v/>
      </c>
      <c r="CO46" s="52">
        <f>CN$46*(1+((1+INDEX(CarryTiers,3,1))^(1/12)-1))+CO$37</f>
        <v/>
      </c>
      <c r="CP46" s="52">
        <f>CO$46*(1+((1+INDEX(CarryTiers,3,1))^(1/12)-1))+CP$37</f>
        <v/>
      </c>
      <c r="CQ46" s="52">
        <f>CP$46*(1+((1+INDEX(CarryTiers,3,1))^(1/12)-1))+CQ$37</f>
        <v/>
      </c>
      <c r="CR46" s="52">
        <f>CQ$46*(1+((1+INDEX(CarryTiers,3,1))^(1/12)-1))+CR$37</f>
        <v/>
      </c>
      <c r="CS46" s="52">
        <f>CR$46*(1+((1+INDEX(CarryTiers,3,1))^(1/12)-1))+CS$37</f>
        <v/>
      </c>
      <c r="CT46" s="52">
        <f>CS$46*(1+((1+INDEX(CarryTiers,3,1))^(1/12)-1))+CT$37</f>
        <v/>
      </c>
      <c r="CU46" s="52">
        <f>CT$46*(1+((1+INDEX(CarryTiers,3,1))^(1/12)-1))+CU$37</f>
        <v/>
      </c>
      <c r="CV46" s="52">
        <f>CU$46*(1+((1+INDEX(CarryTiers,3,1))^(1/12)-1))+CV$37</f>
        <v/>
      </c>
      <c r="CW46" s="52">
        <f>CV$46*(1+((1+INDEX(CarryTiers,3,1))^(1/12)-1))+CW$37</f>
        <v/>
      </c>
      <c r="CX46" s="52">
        <f>CW$46*(1+((1+INDEX(CarryTiers,3,1))^(1/12)-1))+CX$37</f>
        <v/>
      </c>
      <c r="CY46" s="52">
        <f>CX$46*(1+((1+INDEX(CarryTiers,3,1))^(1/12)-1))+CY$37</f>
        <v/>
      </c>
      <c r="CZ46" s="52">
        <f>CY$46*(1+((1+INDEX(CarryTiers,3,1))^(1/12)-1))+CZ$37</f>
        <v/>
      </c>
      <c r="DA46" s="52">
        <f>CZ$46*(1+((1+INDEX(CarryTiers,3,1))^(1/12)-1))+DA$37</f>
        <v/>
      </c>
      <c r="DB46" s="52">
        <f>DA$46*(1+((1+INDEX(CarryTiers,3,1))^(1/12)-1))+DB$37</f>
        <v/>
      </c>
      <c r="DC46" s="52">
        <f>DB$46*(1+((1+INDEX(CarryTiers,3,1))^(1/12)-1))+DC$37</f>
        <v/>
      </c>
      <c r="DD46" s="52">
        <f>DC$46*(1+((1+INDEX(CarryTiers,3,1))^(1/12)-1))+DD$37</f>
        <v/>
      </c>
      <c r="DE46" s="52">
        <f>DD$46*(1+((1+INDEX(CarryTiers,3,1))^(1/12)-1))+DE$37</f>
        <v/>
      </c>
      <c r="DF46" s="52">
        <f>DE$46*(1+((1+INDEX(CarryTiers,3,1))^(1/12)-1))+DF$37</f>
        <v/>
      </c>
      <c r="DG46" s="52">
        <f>DF$46*(1+((1+INDEX(CarryTiers,3,1))^(1/12)-1))+DG$37</f>
        <v/>
      </c>
      <c r="DH46" s="52">
        <f>DG$46*(1+((1+INDEX(CarryTiers,3,1))^(1/12)-1))+DH$37</f>
        <v/>
      </c>
      <c r="DI46" s="52">
        <f>DH$46*(1+((1+INDEX(CarryTiers,3,1))^(1/12)-1))+DI$37</f>
        <v/>
      </c>
      <c r="DJ46" s="52">
        <f>DI$46*(1+((1+INDEX(CarryTiers,3,1))^(1/12)-1))+DJ$37</f>
        <v/>
      </c>
      <c r="DK46" s="52">
        <f>DJ$46*(1+((1+INDEX(CarryTiers,3,1))^(1/12)-1))+DK$37</f>
        <v/>
      </c>
      <c r="DL46" s="52">
        <f>DK$46*(1+((1+INDEX(CarryTiers,3,1))^(1/12)-1))+DL$37</f>
        <v/>
      </c>
      <c r="DM46" s="52">
        <f>DL$46*(1+((1+INDEX(CarryTiers,3,1))^(1/12)-1))+DM$37</f>
        <v/>
      </c>
      <c r="DN46" s="52">
        <f>DM$46*(1+((1+INDEX(CarryTiers,3,1))^(1/12)-1))+DN$37</f>
        <v/>
      </c>
      <c r="DO46" s="52">
        <f>DN$46*(1+((1+INDEX(CarryTiers,3,1))^(1/12)-1))+DO$37</f>
        <v/>
      </c>
      <c r="DP46" s="52">
        <f>DO$46*(1+((1+INDEX(CarryTiers,3,1))^(1/12)-1))+DP$37</f>
        <v/>
      </c>
      <c r="DQ46" s="52">
        <f>DP$46*(1+((1+INDEX(CarryTiers,3,1))^(1/12)-1))+DQ$37</f>
        <v/>
      </c>
      <c r="DR46" s="52">
        <f>DQ$46*(1+((1+INDEX(CarryTiers,3,1))^(1/12)-1))+DR$37</f>
        <v/>
      </c>
      <c r="DS46" s="52">
        <f>DR$46*(1+((1+INDEX(CarryTiers,3,1))^(1/12)-1))+DS$37</f>
        <v/>
      </c>
      <c r="DT46" s="52">
        <f>DS$46*(1+((1+INDEX(CarryTiers,3,1))^(1/12)-1))+DT$37</f>
        <v/>
      </c>
    </row>
    <row r="47">
      <c r="A47" s="10" t="inlineStr">
        <is>
          <t>Tier 4a — residual to hurdle 2</t>
        </is>
      </c>
      <c r="E47" s="52">
        <f>MIN((E$38-E$40-E$41-E$42),MAX(0,E$45-(0+E$40+E$41+E$44))/INDEX(CarryTiers,2,2))</f>
        <v/>
      </c>
      <c r="F47" s="52">
        <f>MIN((F$38-F$40-F$41-F$42),MAX(0,F$45-(E$54+F$40+F$41+F$44))/INDEX(CarryTiers,2,2))</f>
        <v/>
      </c>
      <c r="G47" s="52">
        <f>MIN((G$38-G$40-G$41-G$42),MAX(0,G$45-(F$54+G$40+G$41+G$44))/INDEX(CarryTiers,2,2))</f>
        <v/>
      </c>
      <c r="H47" s="52">
        <f>MIN((H$38-H$40-H$41-H$42),MAX(0,H$45-(G$54+H$40+H$41+H$44))/INDEX(CarryTiers,2,2))</f>
        <v/>
      </c>
      <c r="I47" s="52">
        <f>MIN((I$38-I$40-I$41-I$42),MAX(0,I$45-(H$54+I$40+I$41+I$44))/INDEX(CarryTiers,2,2))</f>
        <v/>
      </c>
      <c r="J47" s="52">
        <f>MIN((J$38-J$40-J$41-J$42),MAX(0,J$45-(I$54+J$40+J$41+J$44))/INDEX(CarryTiers,2,2))</f>
        <v/>
      </c>
      <c r="K47" s="52">
        <f>MIN((K$38-K$40-K$41-K$42),MAX(0,K$45-(J$54+K$40+K$41+K$44))/INDEX(CarryTiers,2,2))</f>
        <v/>
      </c>
      <c r="L47" s="52">
        <f>MIN((L$38-L$40-L$41-L$42),MAX(0,L$45-(K$54+L$40+L$41+L$44))/INDEX(CarryTiers,2,2))</f>
        <v/>
      </c>
      <c r="M47" s="52">
        <f>MIN((M$38-M$40-M$41-M$42),MAX(0,M$45-(L$54+M$40+M$41+M$44))/INDEX(CarryTiers,2,2))</f>
        <v/>
      </c>
      <c r="N47" s="52">
        <f>MIN((N$38-N$40-N$41-N$42),MAX(0,N$45-(M$54+N$40+N$41+N$44))/INDEX(CarryTiers,2,2))</f>
        <v/>
      </c>
      <c r="O47" s="52">
        <f>MIN((O$38-O$40-O$41-O$42),MAX(0,O$45-(N$54+O$40+O$41+O$44))/INDEX(CarryTiers,2,2))</f>
        <v/>
      </c>
      <c r="P47" s="52">
        <f>MIN((P$38-P$40-P$41-P$42),MAX(0,P$45-(O$54+P$40+P$41+P$44))/INDEX(CarryTiers,2,2))</f>
        <v/>
      </c>
      <c r="Q47" s="52">
        <f>MIN((Q$38-Q$40-Q$41-Q$42),MAX(0,Q$45-(P$54+Q$40+Q$41+Q$44))/INDEX(CarryTiers,2,2))</f>
        <v/>
      </c>
      <c r="R47" s="52">
        <f>MIN((R$38-R$40-R$41-R$42),MAX(0,R$45-(Q$54+R$40+R$41+R$44))/INDEX(CarryTiers,2,2))</f>
        <v/>
      </c>
      <c r="S47" s="52">
        <f>MIN((S$38-S$40-S$41-S$42),MAX(0,S$45-(R$54+S$40+S$41+S$44))/INDEX(CarryTiers,2,2))</f>
        <v/>
      </c>
      <c r="T47" s="52">
        <f>MIN((T$38-T$40-T$41-T$42),MAX(0,T$45-(S$54+T$40+T$41+T$44))/INDEX(CarryTiers,2,2))</f>
        <v/>
      </c>
      <c r="U47" s="52">
        <f>MIN((U$38-U$40-U$41-U$42),MAX(0,U$45-(T$54+U$40+U$41+U$44))/INDEX(CarryTiers,2,2))</f>
        <v/>
      </c>
      <c r="V47" s="52">
        <f>MIN((V$38-V$40-V$41-V$42),MAX(0,V$45-(U$54+V$40+V$41+V$44))/INDEX(CarryTiers,2,2))</f>
        <v/>
      </c>
      <c r="W47" s="52">
        <f>MIN((W$38-W$40-W$41-W$42),MAX(0,W$45-(V$54+W$40+W$41+W$44))/INDEX(CarryTiers,2,2))</f>
        <v/>
      </c>
      <c r="X47" s="52">
        <f>MIN((X$38-X$40-X$41-X$42),MAX(0,X$45-(W$54+X$40+X$41+X$44))/INDEX(CarryTiers,2,2))</f>
        <v/>
      </c>
      <c r="Y47" s="52">
        <f>MIN((Y$38-Y$40-Y$41-Y$42),MAX(0,Y$45-(X$54+Y$40+Y$41+Y$44))/INDEX(CarryTiers,2,2))</f>
        <v/>
      </c>
      <c r="Z47" s="52">
        <f>MIN((Z$38-Z$40-Z$41-Z$42),MAX(0,Z$45-(Y$54+Z$40+Z$41+Z$44))/INDEX(CarryTiers,2,2))</f>
        <v/>
      </c>
      <c r="AA47" s="52">
        <f>MIN((AA$38-AA$40-AA$41-AA$42),MAX(0,AA$45-(Z$54+AA$40+AA$41+AA$44))/INDEX(CarryTiers,2,2))</f>
        <v/>
      </c>
      <c r="AB47" s="52">
        <f>MIN((AB$38-AB$40-AB$41-AB$42),MAX(0,AB$45-(AA$54+AB$40+AB$41+AB$44))/INDEX(CarryTiers,2,2))</f>
        <v/>
      </c>
      <c r="AC47" s="52">
        <f>MIN((AC$38-AC$40-AC$41-AC$42),MAX(0,AC$45-(AB$54+AC$40+AC$41+AC$44))/INDEX(CarryTiers,2,2))</f>
        <v/>
      </c>
      <c r="AD47" s="52">
        <f>MIN((AD$38-AD$40-AD$41-AD$42),MAX(0,AD$45-(AC$54+AD$40+AD$41+AD$44))/INDEX(CarryTiers,2,2))</f>
        <v/>
      </c>
      <c r="AE47" s="52">
        <f>MIN((AE$38-AE$40-AE$41-AE$42),MAX(0,AE$45-(AD$54+AE$40+AE$41+AE$44))/INDEX(CarryTiers,2,2))</f>
        <v/>
      </c>
      <c r="AF47" s="52">
        <f>MIN((AF$38-AF$40-AF$41-AF$42),MAX(0,AF$45-(AE$54+AF$40+AF$41+AF$44))/INDEX(CarryTiers,2,2))</f>
        <v/>
      </c>
      <c r="AG47" s="52">
        <f>MIN((AG$38-AG$40-AG$41-AG$42),MAX(0,AG$45-(AF$54+AG$40+AG$41+AG$44))/INDEX(CarryTiers,2,2))</f>
        <v/>
      </c>
      <c r="AH47" s="52">
        <f>MIN((AH$38-AH$40-AH$41-AH$42),MAX(0,AH$45-(AG$54+AH$40+AH$41+AH$44))/INDEX(CarryTiers,2,2))</f>
        <v/>
      </c>
      <c r="AI47" s="52">
        <f>MIN((AI$38-AI$40-AI$41-AI$42),MAX(0,AI$45-(AH$54+AI$40+AI$41+AI$44))/INDEX(CarryTiers,2,2))</f>
        <v/>
      </c>
      <c r="AJ47" s="52">
        <f>MIN((AJ$38-AJ$40-AJ$41-AJ$42),MAX(0,AJ$45-(AI$54+AJ$40+AJ$41+AJ$44))/INDEX(CarryTiers,2,2))</f>
        <v/>
      </c>
      <c r="AK47" s="52">
        <f>MIN((AK$38-AK$40-AK$41-AK$42),MAX(0,AK$45-(AJ$54+AK$40+AK$41+AK$44))/INDEX(CarryTiers,2,2))</f>
        <v/>
      </c>
      <c r="AL47" s="52">
        <f>MIN((AL$38-AL$40-AL$41-AL$42),MAX(0,AL$45-(AK$54+AL$40+AL$41+AL$44))/INDEX(CarryTiers,2,2))</f>
        <v/>
      </c>
      <c r="AM47" s="52">
        <f>MIN((AM$38-AM$40-AM$41-AM$42),MAX(0,AM$45-(AL$54+AM$40+AM$41+AM$44))/INDEX(CarryTiers,2,2))</f>
        <v/>
      </c>
      <c r="AN47" s="52">
        <f>MIN((AN$38-AN$40-AN$41-AN$42),MAX(0,AN$45-(AM$54+AN$40+AN$41+AN$44))/INDEX(CarryTiers,2,2))</f>
        <v/>
      </c>
      <c r="AO47" s="52">
        <f>MIN((AO$38-AO$40-AO$41-AO$42),MAX(0,AO$45-(AN$54+AO$40+AO$41+AO$44))/INDEX(CarryTiers,2,2))</f>
        <v/>
      </c>
      <c r="AP47" s="52">
        <f>MIN((AP$38-AP$40-AP$41-AP$42),MAX(0,AP$45-(AO$54+AP$40+AP$41+AP$44))/INDEX(CarryTiers,2,2))</f>
        <v/>
      </c>
      <c r="AQ47" s="52">
        <f>MIN((AQ$38-AQ$40-AQ$41-AQ$42),MAX(0,AQ$45-(AP$54+AQ$40+AQ$41+AQ$44))/INDEX(CarryTiers,2,2))</f>
        <v/>
      </c>
      <c r="AR47" s="52">
        <f>MIN((AR$38-AR$40-AR$41-AR$42),MAX(0,AR$45-(AQ$54+AR$40+AR$41+AR$44))/INDEX(CarryTiers,2,2))</f>
        <v/>
      </c>
      <c r="AS47" s="52">
        <f>MIN((AS$38-AS$40-AS$41-AS$42),MAX(0,AS$45-(AR$54+AS$40+AS$41+AS$44))/INDEX(CarryTiers,2,2))</f>
        <v/>
      </c>
      <c r="AT47" s="52">
        <f>MIN((AT$38-AT$40-AT$41-AT$42),MAX(0,AT$45-(AS$54+AT$40+AT$41+AT$44))/INDEX(CarryTiers,2,2))</f>
        <v/>
      </c>
      <c r="AU47" s="52">
        <f>MIN((AU$38-AU$40-AU$41-AU$42),MAX(0,AU$45-(AT$54+AU$40+AU$41+AU$44))/INDEX(CarryTiers,2,2))</f>
        <v/>
      </c>
      <c r="AV47" s="52">
        <f>MIN((AV$38-AV$40-AV$41-AV$42),MAX(0,AV$45-(AU$54+AV$40+AV$41+AV$44))/INDEX(CarryTiers,2,2))</f>
        <v/>
      </c>
      <c r="AW47" s="52">
        <f>MIN((AW$38-AW$40-AW$41-AW$42),MAX(0,AW$45-(AV$54+AW$40+AW$41+AW$44))/INDEX(CarryTiers,2,2))</f>
        <v/>
      </c>
      <c r="AX47" s="52">
        <f>MIN((AX$38-AX$40-AX$41-AX$42),MAX(0,AX$45-(AW$54+AX$40+AX$41+AX$44))/INDEX(CarryTiers,2,2))</f>
        <v/>
      </c>
      <c r="AY47" s="52">
        <f>MIN((AY$38-AY$40-AY$41-AY$42),MAX(0,AY$45-(AX$54+AY$40+AY$41+AY$44))/INDEX(CarryTiers,2,2))</f>
        <v/>
      </c>
      <c r="AZ47" s="52">
        <f>MIN((AZ$38-AZ$40-AZ$41-AZ$42),MAX(0,AZ$45-(AY$54+AZ$40+AZ$41+AZ$44))/INDEX(CarryTiers,2,2))</f>
        <v/>
      </c>
      <c r="BA47" s="52">
        <f>MIN((BA$38-BA$40-BA$41-BA$42),MAX(0,BA$45-(AZ$54+BA$40+BA$41+BA$44))/INDEX(CarryTiers,2,2))</f>
        <v/>
      </c>
      <c r="BB47" s="52">
        <f>MIN((BB$38-BB$40-BB$41-BB$42),MAX(0,BB$45-(BA$54+BB$40+BB$41+BB$44))/INDEX(CarryTiers,2,2))</f>
        <v/>
      </c>
      <c r="BC47" s="52">
        <f>MIN((BC$38-BC$40-BC$41-BC$42),MAX(0,BC$45-(BB$54+BC$40+BC$41+BC$44))/INDEX(CarryTiers,2,2))</f>
        <v/>
      </c>
      <c r="BD47" s="52">
        <f>MIN((BD$38-BD$40-BD$41-BD$42),MAX(0,BD$45-(BC$54+BD$40+BD$41+BD$44))/INDEX(CarryTiers,2,2))</f>
        <v/>
      </c>
      <c r="BE47" s="52">
        <f>MIN((BE$38-BE$40-BE$41-BE$42),MAX(0,BE$45-(BD$54+BE$40+BE$41+BE$44))/INDEX(CarryTiers,2,2))</f>
        <v/>
      </c>
      <c r="BF47" s="52">
        <f>MIN((BF$38-BF$40-BF$41-BF$42),MAX(0,BF$45-(BE$54+BF$40+BF$41+BF$44))/INDEX(CarryTiers,2,2))</f>
        <v/>
      </c>
      <c r="BG47" s="52">
        <f>MIN((BG$38-BG$40-BG$41-BG$42),MAX(0,BG$45-(BF$54+BG$40+BG$41+BG$44))/INDEX(CarryTiers,2,2))</f>
        <v/>
      </c>
      <c r="BH47" s="52">
        <f>MIN((BH$38-BH$40-BH$41-BH$42),MAX(0,BH$45-(BG$54+BH$40+BH$41+BH$44))/INDEX(CarryTiers,2,2))</f>
        <v/>
      </c>
      <c r="BI47" s="52">
        <f>MIN((BI$38-BI$40-BI$41-BI$42),MAX(0,BI$45-(BH$54+BI$40+BI$41+BI$44))/INDEX(CarryTiers,2,2))</f>
        <v/>
      </c>
      <c r="BJ47" s="52">
        <f>MIN((BJ$38-BJ$40-BJ$41-BJ$42),MAX(0,BJ$45-(BI$54+BJ$40+BJ$41+BJ$44))/INDEX(CarryTiers,2,2))</f>
        <v/>
      </c>
      <c r="BK47" s="52">
        <f>MIN((BK$38-BK$40-BK$41-BK$42),MAX(0,BK$45-(BJ$54+BK$40+BK$41+BK$44))/INDEX(CarryTiers,2,2))</f>
        <v/>
      </c>
      <c r="BL47" s="52">
        <f>MIN((BL$38-BL$40-BL$41-BL$42),MAX(0,BL$45-(BK$54+BL$40+BL$41+BL$44))/INDEX(CarryTiers,2,2))</f>
        <v/>
      </c>
      <c r="BM47" s="52">
        <f>MIN((BM$38-BM$40-BM$41-BM$42),MAX(0,BM$45-(BL$54+BM$40+BM$41+BM$44))/INDEX(CarryTiers,2,2))</f>
        <v/>
      </c>
      <c r="BN47" s="52">
        <f>MIN((BN$38-BN$40-BN$41-BN$42),MAX(0,BN$45-(BM$54+BN$40+BN$41+BN$44))/INDEX(CarryTiers,2,2))</f>
        <v/>
      </c>
      <c r="BO47" s="52">
        <f>MIN((BO$38-BO$40-BO$41-BO$42),MAX(0,BO$45-(BN$54+BO$40+BO$41+BO$44))/INDEX(CarryTiers,2,2))</f>
        <v/>
      </c>
      <c r="BP47" s="52">
        <f>MIN((BP$38-BP$40-BP$41-BP$42),MAX(0,BP$45-(BO$54+BP$40+BP$41+BP$44))/INDEX(CarryTiers,2,2))</f>
        <v/>
      </c>
      <c r="BQ47" s="52">
        <f>MIN((BQ$38-BQ$40-BQ$41-BQ$42),MAX(0,BQ$45-(BP$54+BQ$40+BQ$41+BQ$44))/INDEX(CarryTiers,2,2))</f>
        <v/>
      </c>
      <c r="BR47" s="52">
        <f>MIN((BR$38-BR$40-BR$41-BR$42),MAX(0,BR$45-(BQ$54+BR$40+BR$41+BR$44))/INDEX(CarryTiers,2,2))</f>
        <v/>
      </c>
      <c r="BS47" s="52">
        <f>MIN((BS$38-BS$40-BS$41-BS$42),MAX(0,BS$45-(BR$54+BS$40+BS$41+BS$44))/INDEX(CarryTiers,2,2))</f>
        <v/>
      </c>
      <c r="BT47" s="52">
        <f>MIN((BT$38-BT$40-BT$41-BT$42),MAX(0,BT$45-(BS$54+BT$40+BT$41+BT$44))/INDEX(CarryTiers,2,2))</f>
        <v/>
      </c>
      <c r="BU47" s="52">
        <f>MIN((BU$38-BU$40-BU$41-BU$42),MAX(0,BU$45-(BT$54+BU$40+BU$41+BU$44))/INDEX(CarryTiers,2,2))</f>
        <v/>
      </c>
      <c r="BV47" s="52">
        <f>MIN((BV$38-BV$40-BV$41-BV$42),MAX(0,BV$45-(BU$54+BV$40+BV$41+BV$44))/INDEX(CarryTiers,2,2))</f>
        <v/>
      </c>
      <c r="BW47" s="52">
        <f>MIN((BW$38-BW$40-BW$41-BW$42),MAX(0,BW$45-(BV$54+BW$40+BW$41+BW$44))/INDEX(CarryTiers,2,2))</f>
        <v/>
      </c>
      <c r="BX47" s="52">
        <f>MIN((BX$38-BX$40-BX$41-BX$42),MAX(0,BX$45-(BW$54+BX$40+BX$41+BX$44))/INDEX(CarryTiers,2,2))</f>
        <v/>
      </c>
      <c r="BY47" s="52">
        <f>MIN((BY$38-BY$40-BY$41-BY$42),MAX(0,BY$45-(BX$54+BY$40+BY$41+BY$44))/INDEX(CarryTiers,2,2))</f>
        <v/>
      </c>
      <c r="BZ47" s="52">
        <f>MIN((BZ$38-BZ$40-BZ$41-BZ$42),MAX(0,BZ$45-(BY$54+BZ$40+BZ$41+BZ$44))/INDEX(CarryTiers,2,2))</f>
        <v/>
      </c>
      <c r="CA47" s="52">
        <f>MIN((CA$38-CA$40-CA$41-CA$42),MAX(0,CA$45-(BZ$54+CA$40+CA$41+CA$44))/INDEX(CarryTiers,2,2))</f>
        <v/>
      </c>
      <c r="CB47" s="52">
        <f>MIN((CB$38-CB$40-CB$41-CB$42),MAX(0,CB$45-(CA$54+CB$40+CB$41+CB$44))/INDEX(CarryTiers,2,2))</f>
        <v/>
      </c>
      <c r="CC47" s="52">
        <f>MIN((CC$38-CC$40-CC$41-CC$42),MAX(0,CC$45-(CB$54+CC$40+CC$41+CC$44))/INDEX(CarryTiers,2,2))</f>
        <v/>
      </c>
      <c r="CD47" s="52">
        <f>MIN((CD$38-CD$40-CD$41-CD$42),MAX(0,CD$45-(CC$54+CD$40+CD$41+CD$44))/INDEX(CarryTiers,2,2))</f>
        <v/>
      </c>
      <c r="CE47" s="52">
        <f>MIN((CE$38-CE$40-CE$41-CE$42),MAX(0,CE$45-(CD$54+CE$40+CE$41+CE$44))/INDEX(CarryTiers,2,2))</f>
        <v/>
      </c>
      <c r="CF47" s="52">
        <f>MIN((CF$38-CF$40-CF$41-CF$42),MAX(0,CF$45-(CE$54+CF$40+CF$41+CF$44))/INDEX(CarryTiers,2,2))</f>
        <v/>
      </c>
      <c r="CG47" s="52">
        <f>MIN((CG$38-CG$40-CG$41-CG$42),MAX(0,CG$45-(CF$54+CG$40+CG$41+CG$44))/INDEX(CarryTiers,2,2))</f>
        <v/>
      </c>
      <c r="CH47" s="52">
        <f>MIN((CH$38-CH$40-CH$41-CH$42),MAX(0,CH$45-(CG$54+CH$40+CH$41+CH$44))/INDEX(CarryTiers,2,2))</f>
        <v/>
      </c>
      <c r="CI47" s="52">
        <f>MIN((CI$38-CI$40-CI$41-CI$42),MAX(0,CI$45-(CH$54+CI$40+CI$41+CI$44))/INDEX(CarryTiers,2,2))</f>
        <v/>
      </c>
      <c r="CJ47" s="52">
        <f>MIN((CJ$38-CJ$40-CJ$41-CJ$42),MAX(0,CJ$45-(CI$54+CJ$40+CJ$41+CJ$44))/INDEX(CarryTiers,2,2))</f>
        <v/>
      </c>
      <c r="CK47" s="52">
        <f>MIN((CK$38-CK$40-CK$41-CK$42),MAX(0,CK$45-(CJ$54+CK$40+CK$41+CK$44))/INDEX(CarryTiers,2,2))</f>
        <v/>
      </c>
      <c r="CL47" s="52">
        <f>MIN((CL$38-CL$40-CL$41-CL$42),MAX(0,CL$45-(CK$54+CL$40+CL$41+CL$44))/INDEX(CarryTiers,2,2))</f>
        <v/>
      </c>
      <c r="CM47" s="52">
        <f>MIN((CM$38-CM$40-CM$41-CM$42),MAX(0,CM$45-(CL$54+CM$40+CM$41+CM$44))/INDEX(CarryTiers,2,2))</f>
        <v/>
      </c>
      <c r="CN47" s="52">
        <f>MIN((CN$38-CN$40-CN$41-CN$42),MAX(0,CN$45-(CM$54+CN$40+CN$41+CN$44))/INDEX(CarryTiers,2,2))</f>
        <v/>
      </c>
      <c r="CO47" s="52">
        <f>MIN((CO$38-CO$40-CO$41-CO$42),MAX(0,CO$45-(CN$54+CO$40+CO$41+CO$44))/INDEX(CarryTiers,2,2))</f>
        <v/>
      </c>
      <c r="CP47" s="52">
        <f>MIN((CP$38-CP$40-CP$41-CP$42),MAX(0,CP$45-(CO$54+CP$40+CP$41+CP$44))/INDEX(CarryTiers,2,2))</f>
        <v/>
      </c>
      <c r="CQ47" s="52">
        <f>MIN((CQ$38-CQ$40-CQ$41-CQ$42),MAX(0,CQ$45-(CP$54+CQ$40+CQ$41+CQ$44))/INDEX(CarryTiers,2,2))</f>
        <v/>
      </c>
      <c r="CR47" s="52">
        <f>MIN((CR$38-CR$40-CR$41-CR$42),MAX(0,CR$45-(CQ$54+CR$40+CR$41+CR$44))/INDEX(CarryTiers,2,2))</f>
        <v/>
      </c>
      <c r="CS47" s="52">
        <f>MIN((CS$38-CS$40-CS$41-CS$42),MAX(0,CS$45-(CR$54+CS$40+CS$41+CS$44))/INDEX(CarryTiers,2,2))</f>
        <v/>
      </c>
      <c r="CT47" s="52">
        <f>MIN((CT$38-CT$40-CT$41-CT$42),MAX(0,CT$45-(CS$54+CT$40+CT$41+CT$44))/INDEX(CarryTiers,2,2))</f>
        <v/>
      </c>
      <c r="CU47" s="52">
        <f>MIN((CU$38-CU$40-CU$41-CU$42),MAX(0,CU$45-(CT$54+CU$40+CU$41+CU$44))/INDEX(CarryTiers,2,2))</f>
        <v/>
      </c>
      <c r="CV47" s="52">
        <f>MIN((CV$38-CV$40-CV$41-CV$42),MAX(0,CV$45-(CU$54+CV$40+CV$41+CV$44))/INDEX(CarryTiers,2,2))</f>
        <v/>
      </c>
      <c r="CW47" s="52">
        <f>MIN((CW$38-CW$40-CW$41-CW$42),MAX(0,CW$45-(CV$54+CW$40+CW$41+CW$44))/INDEX(CarryTiers,2,2))</f>
        <v/>
      </c>
      <c r="CX47" s="52">
        <f>MIN((CX$38-CX$40-CX$41-CX$42),MAX(0,CX$45-(CW$54+CX$40+CX$41+CX$44))/INDEX(CarryTiers,2,2))</f>
        <v/>
      </c>
      <c r="CY47" s="52">
        <f>MIN((CY$38-CY$40-CY$41-CY$42),MAX(0,CY$45-(CX$54+CY$40+CY$41+CY$44))/INDEX(CarryTiers,2,2))</f>
        <v/>
      </c>
      <c r="CZ47" s="52">
        <f>MIN((CZ$38-CZ$40-CZ$41-CZ$42),MAX(0,CZ$45-(CY$54+CZ$40+CZ$41+CZ$44))/INDEX(CarryTiers,2,2))</f>
        <v/>
      </c>
      <c r="DA47" s="52">
        <f>MIN((DA$38-DA$40-DA$41-DA$42),MAX(0,DA$45-(CZ$54+DA$40+DA$41+DA$44))/INDEX(CarryTiers,2,2))</f>
        <v/>
      </c>
      <c r="DB47" s="52">
        <f>MIN((DB$38-DB$40-DB$41-DB$42),MAX(0,DB$45-(DA$54+DB$40+DB$41+DB$44))/INDEX(CarryTiers,2,2))</f>
        <v/>
      </c>
      <c r="DC47" s="52">
        <f>MIN((DC$38-DC$40-DC$41-DC$42),MAX(0,DC$45-(DB$54+DC$40+DC$41+DC$44))/INDEX(CarryTiers,2,2))</f>
        <v/>
      </c>
      <c r="DD47" s="52">
        <f>MIN((DD$38-DD$40-DD$41-DD$42),MAX(0,DD$45-(DC$54+DD$40+DD$41+DD$44))/INDEX(CarryTiers,2,2))</f>
        <v/>
      </c>
      <c r="DE47" s="52">
        <f>MIN((DE$38-DE$40-DE$41-DE$42),MAX(0,DE$45-(DD$54+DE$40+DE$41+DE$44))/INDEX(CarryTiers,2,2))</f>
        <v/>
      </c>
      <c r="DF47" s="52">
        <f>MIN((DF$38-DF$40-DF$41-DF$42),MAX(0,DF$45-(DE$54+DF$40+DF$41+DF$44))/INDEX(CarryTiers,2,2))</f>
        <v/>
      </c>
      <c r="DG47" s="52">
        <f>MIN((DG$38-DG$40-DG$41-DG$42),MAX(0,DG$45-(DF$54+DG$40+DG$41+DG$44))/INDEX(CarryTiers,2,2))</f>
        <v/>
      </c>
      <c r="DH47" s="52">
        <f>MIN((DH$38-DH$40-DH$41-DH$42),MAX(0,DH$45-(DG$54+DH$40+DH$41+DH$44))/INDEX(CarryTiers,2,2))</f>
        <v/>
      </c>
      <c r="DI47" s="52">
        <f>MIN((DI$38-DI$40-DI$41-DI$42),MAX(0,DI$45-(DH$54+DI$40+DI$41+DI$44))/INDEX(CarryTiers,2,2))</f>
        <v/>
      </c>
      <c r="DJ47" s="52">
        <f>MIN((DJ$38-DJ$40-DJ$41-DJ$42),MAX(0,DJ$45-(DI$54+DJ$40+DJ$41+DJ$44))/INDEX(CarryTiers,2,2))</f>
        <v/>
      </c>
      <c r="DK47" s="52">
        <f>MIN((DK$38-DK$40-DK$41-DK$42),MAX(0,DK$45-(DJ$54+DK$40+DK$41+DK$44))/INDEX(CarryTiers,2,2))</f>
        <v/>
      </c>
      <c r="DL47" s="52">
        <f>MIN((DL$38-DL$40-DL$41-DL$42),MAX(0,DL$45-(DK$54+DL$40+DL$41+DL$44))/INDEX(CarryTiers,2,2))</f>
        <v/>
      </c>
      <c r="DM47" s="52">
        <f>MIN((DM$38-DM$40-DM$41-DM$42),MAX(0,DM$45-(DL$54+DM$40+DM$41+DM$44))/INDEX(CarryTiers,2,2))</f>
        <v/>
      </c>
      <c r="DN47" s="52">
        <f>MIN((DN$38-DN$40-DN$41-DN$42),MAX(0,DN$45-(DM$54+DN$40+DN$41+DN$44))/INDEX(CarryTiers,2,2))</f>
        <v/>
      </c>
      <c r="DO47" s="52">
        <f>MIN((DO$38-DO$40-DO$41-DO$42),MAX(0,DO$45-(DN$54+DO$40+DO$41+DO$44))/INDEX(CarryTiers,2,2))</f>
        <v/>
      </c>
      <c r="DP47" s="52">
        <f>MIN((DP$38-DP$40-DP$41-DP$42),MAX(0,DP$45-(DO$54+DP$40+DP$41+DP$44))/INDEX(CarryTiers,2,2))</f>
        <v/>
      </c>
      <c r="DQ47" s="52">
        <f>MIN((DQ$38-DQ$40-DQ$41-DQ$42),MAX(0,DQ$45-(DP$54+DQ$40+DQ$41+DQ$44))/INDEX(CarryTiers,2,2))</f>
        <v/>
      </c>
      <c r="DR47" s="52">
        <f>MIN((DR$38-DR$40-DR$41-DR$42),MAX(0,DR$45-(DQ$54+DR$40+DR$41+DR$44))/INDEX(CarryTiers,2,2))</f>
        <v/>
      </c>
      <c r="DS47" s="52">
        <f>MIN((DS$38-DS$40-DS$41-DS$42),MAX(0,DS$45-(DR$54+DS$40+DS$41+DS$44))/INDEX(CarryTiers,2,2))</f>
        <v/>
      </c>
      <c r="DT47" s="52">
        <f>MIN((DT$38-DT$40-DT$41-DT$42),MAX(0,DT$45-(DS$54+DT$40+DT$41+DT$44))/INDEX(CarryTiers,2,2))</f>
        <v/>
      </c>
    </row>
    <row r="48">
      <c r="A48" s="10" t="inlineStr">
        <is>
          <t>Tier 4b — residual to hurdle 3</t>
        </is>
      </c>
      <c r="E48" s="52">
        <f>MIN((E$38-E$40-E$41-E$42)-E$47,MAX(0,E$46-((0+E$40+E$41+E$44)+INDEX(CarryTiers,2,2)*E$47))/INDEX(CarryTiers,3,2))</f>
        <v/>
      </c>
      <c r="F48" s="52">
        <f>MIN((F$38-F$40-F$41-F$42)-F$47,MAX(0,F$46-((E$54+F$40+F$41+F$44)+INDEX(CarryTiers,2,2)*F$47))/INDEX(CarryTiers,3,2))</f>
        <v/>
      </c>
      <c r="G48" s="52">
        <f>MIN((G$38-G$40-G$41-G$42)-G$47,MAX(0,G$46-((F$54+G$40+G$41+G$44)+INDEX(CarryTiers,2,2)*G$47))/INDEX(CarryTiers,3,2))</f>
        <v/>
      </c>
      <c r="H48" s="52">
        <f>MIN((H$38-H$40-H$41-H$42)-H$47,MAX(0,H$46-((G$54+H$40+H$41+H$44)+INDEX(CarryTiers,2,2)*H$47))/INDEX(CarryTiers,3,2))</f>
        <v/>
      </c>
      <c r="I48" s="52">
        <f>MIN((I$38-I$40-I$41-I$42)-I$47,MAX(0,I$46-((H$54+I$40+I$41+I$44)+INDEX(CarryTiers,2,2)*I$47))/INDEX(CarryTiers,3,2))</f>
        <v/>
      </c>
      <c r="J48" s="52">
        <f>MIN((J$38-J$40-J$41-J$42)-J$47,MAX(0,J$46-((I$54+J$40+J$41+J$44)+INDEX(CarryTiers,2,2)*J$47))/INDEX(CarryTiers,3,2))</f>
        <v/>
      </c>
      <c r="K48" s="52">
        <f>MIN((K$38-K$40-K$41-K$42)-K$47,MAX(0,K$46-((J$54+K$40+K$41+K$44)+INDEX(CarryTiers,2,2)*K$47))/INDEX(CarryTiers,3,2))</f>
        <v/>
      </c>
      <c r="L48" s="52">
        <f>MIN((L$38-L$40-L$41-L$42)-L$47,MAX(0,L$46-((K$54+L$40+L$41+L$44)+INDEX(CarryTiers,2,2)*L$47))/INDEX(CarryTiers,3,2))</f>
        <v/>
      </c>
      <c r="M48" s="52">
        <f>MIN((M$38-M$40-M$41-M$42)-M$47,MAX(0,M$46-((L$54+M$40+M$41+M$44)+INDEX(CarryTiers,2,2)*M$47))/INDEX(CarryTiers,3,2))</f>
        <v/>
      </c>
      <c r="N48" s="52">
        <f>MIN((N$38-N$40-N$41-N$42)-N$47,MAX(0,N$46-((M$54+N$40+N$41+N$44)+INDEX(CarryTiers,2,2)*N$47))/INDEX(CarryTiers,3,2))</f>
        <v/>
      </c>
      <c r="O48" s="52">
        <f>MIN((O$38-O$40-O$41-O$42)-O$47,MAX(0,O$46-((N$54+O$40+O$41+O$44)+INDEX(CarryTiers,2,2)*O$47))/INDEX(CarryTiers,3,2))</f>
        <v/>
      </c>
      <c r="P48" s="52">
        <f>MIN((P$38-P$40-P$41-P$42)-P$47,MAX(0,P$46-((O$54+P$40+P$41+P$44)+INDEX(CarryTiers,2,2)*P$47))/INDEX(CarryTiers,3,2))</f>
        <v/>
      </c>
      <c r="Q48" s="52">
        <f>MIN((Q$38-Q$40-Q$41-Q$42)-Q$47,MAX(0,Q$46-((P$54+Q$40+Q$41+Q$44)+INDEX(CarryTiers,2,2)*Q$47))/INDEX(CarryTiers,3,2))</f>
        <v/>
      </c>
      <c r="R48" s="52">
        <f>MIN((R$38-R$40-R$41-R$42)-R$47,MAX(0,R$46-((Q$54+R$40+R$41+R$44)+INDEX(CarryTiers,2,2)*R$47))/INDEX(CarryTiers,3,2))</f>
        <v/>
      </c>
      <c r="S48" s="52">
        <f>MIN((S$38-S$40-S$41-S$42)-S$47,MAX(0,S$46-((R$54+S$40+S$41+S$44)+INDEX(CarryTiers,2,2)*S$47))/INDEX(CarryTiers,3,2))</f>
        <v/>
      </c>
      <c r="T48" s="52">
        <f>MIN((T$38-T$40-T$41-T$42)-T$47,MAX(0,T$46-((S$54+T$40+T$41+T$44)+INDEX(CarryTiers,2,2)*T$47))/INDEX(CarryTiers,3,2))</f>
        <v/>
      </c>
      <c r="U48" s="52">
        <f>MIN((U$38-U$40-U$41-U$42)-U$47,MAX(0,U$46-((T$54+U$40+U$41+U$44)+INDEX(CarryTiers,2,2)*U$47))/INDEX(CarryTiers,3,2))</f>
        <v/>
      </c>
      <c r="V48" s="52">
        <f>MIN((V$38-V$40-V$41-V$42)-V$47,MAX(0,V$46-((U$54+V$40+V$41+V$44)+INDEX(CarryTiers,2,2)*V$47))/INDEX(CarryTiers,3,2))</f>
        <v/>
      </c>
      <c r="W48" s="52">
        <f>MIN((W$38-W$40-W$41-W$42)-W$47,MAX(0,W$46-((V$54+W$40+W$41+W$44)+INDEX(CarryTiers,2,2)*W$47))/INDEX(CarryTiers,3,2))</f>
        <v/>
      </c>
      <c r="X48" s="52">
        <f>MIN((X$38-X$40-X$41-X$42)-X$47,MAX(0,X$46-((W$54+X$40+X$41+X$44)+INDEX(CarryTiers,2,2)*X$47))/INDEX(CarryTiers,3,2))</f>
        <v/>
      </c>
      <c r="Y48" s="52">
        <f>MIN((Y$38-Y$40-Y$41-Y$42)-Y$47,MAX(0,Y$46-((X$54+Y$40+Y$41+Y$44)+INDEX(CarryTiers,2,2)*Y$47))/INDEX(CarryTiers,3,2))</f>
        <v/>
      </c>
      <c r="Z48" s="52">
        <f>MIN((Z$38-Z$40-Z$41-Z$42)-Z$47,MAX(0,Z$46-((Y$54+Z$40+Z$41+Z$44)+INDEX(CarryTiers,2,2)*Z$47))/INDEX(CarryTiers,3,2))</f>
        <v/>
      </c>
      <c r="AA48" s="52">
        <f>MIN((AA$38-AA$40-AA$41-AA$42)-AA$47,MAX(0,AA$46-((Z$54+AA$40+AA$41+AA$44)+INDEX(CarryTiers,2,2)*AA$47))/INDEX(CarryTiers,3,2))</f>
        <v/>
      </c>
      <c r="AB48" s="52">
        <f>MIN((AB$38-AB$40-AB$41-AB$42)-AB$47,MAX(0,AB$46-((AA$54+AB$40+AB$41+AB$44)+INDEX(CarryTiers,2,2)*AB$47))/INDEX(CarryTiers,3,2))</f>
        <v/>
      </c>
      <c r="AC48" s="52">
        <f>MIN((AC$38-AC$40-AC$41-AC$42)-AC$47,MAX(0,AC$46-((AB$54+AC$40+AC$41+AC$44)+INDEX(CarryTiers,2,2)*AC$47))/INDEX(CarryTiers,3,2))</f>
        <v/>
      </c>
      <c r="AD48" s="52">
        <f>MIN((AD$38-AD$40-AD$41-AD$42)-AD$47,MAX(0,AD$46-((AC$54+AD$40+AD$41+AD$44)+INDEX(CarryTiers,2,2)*AD$47))/INDEX(CarryTiers,3,2))</f>
        <v/>
      </c>
      <c r="AE48" s="52">
        <f>MIN((AE$38-AE$40-AE$41-AE$42)-AE$47,MAX(0,AE$46-((AD$54+AE$40+AE$41+AE$44)+INDEX(CarryTiers,2,2)*AE$47))/INDEX(CarryTiers,3,2))</f>
        <v/>
      </c>
      <c r="AF48" s="52">
        <f>MIN((AF$38-AF$40-AF$41-AF$42)-AF$47,MAX(0,AF$46-((AE$54+AF$40+AF$41+AF$44)+INDEX(CarryTiers,2,2)*AF$47))/INDEX(CarryTiers,3,2))</f>
        <v/>
      </c>
      <c r="AG48" s="52">
        <f>MIN((AG$38-AG$40-AG$41-AG$42)-AG$47,MAX(0,AG$46-((AF$54+AG$40+AG$41+AG$44)+INDEX(CarryTiers,2,2)*AG$47))/INDEX(CarryTiers,3,2))</f>
        <v/>
      </c>
      <c r="AH48" s="52">
        <f>MIN((AH$38-AH$40-AH$41-AH$42)-AH$47,MAX(0,AH$46-((AG$54+AH$40+AH$41+AH$44)+INDEX(CarryTiers,2,2)*AH$47))/INDEX(CarryTiers,3,2))</f>
        <v/>
      </c>
      <c r="AI48" s="52">
        <f>MIN((AI$38-AI$40-AI$41-AI$42)-AI$47,MAX(0,AI$46-((AH$54+AI$40+AI$41+AI$44)+INDEX(CarryTiers,2,2)*AI$47))/INDEX(CarryTiers,3,2))</f>
        <v/>
      </c>
      <c r="AJ48" s="52">
        <f>MIN((AJ$38-AJ$40-AJ$41-AJ$42)-AJ$47,MAX(0,AJ$46-((AI$54+AJ$40+AJ$41+AJ$44)+INDEX(CarryTiers,2,2)*AJ$47))/INDEX(CarryTiers,3,2))</f>
        <v/>
      </c>
      <c r="AK48" s="52">
        <f>MIN((AK$38-AK$40-AK$41-AK$42)-AK$47,MAX(0,AK$46-((AJ$54+AK$40+AK$41+AK$44)+INDEX(CarryTiers,2,2)*AK$47))/INDEX(CarryTiers,3,2))</f>
        <v/>
      </c>
      <c r="AL48" s="52">
        <f>MIN((AL$38-AL$40-AL$41-AL$42)-AL$47,MAX(0,AL$46-((AK$54+AL$40+AL$41+AL$44)+INDEX(CarryTiers,2,2)*AL$47))/INDEX(CarryTiers,3,2))</f>
        <v/>
      </c>
      <c r="AM48" s="52">
        <f>MIN((AM$38-AM$40-AM$41-AM$42)-AM$47,MAX(0,AM$46-((AL$54+AM$40+AM$41+AM$44)+INDEX(CarryTiers,2,2)*AM$47))/INDEX(CarryTiers,3,2))</f>
        <v/>
      </c>
      <c r="AN48" s="52">
        <f>MIN((AN$38-AN$40-AN$41-AN$42)-AN$47,MAX(0,AN$46-((AM$54+AN$40+AN$41+AN$44)+INDEX(CarryTiers,2,2)*AN$47))/INDEX(CarryTiers,3,2))</f>
        <v/>
      </c>
      <c r="AO48" s="52">
        <f>MIN((AO$38-AO$40-AO$41-AO$42)-AO$47,MAX(0,AO$46-((AN$54+AO$40+AO$41+AO$44)+INDEX(CarryTiers,2,2)*AO$47))/INDEX(CarryTiers,3,2))</f>
        <v/>
      </c>
      <c r="AP48" s="52">
        <f>MIN((AP$38-AP$40-AP$41-AP$42)-AP$47,MAX(0,AP$46-((AO$54+AP$40+AP$41+AP$44)+INDEX(CarryTiers,2,2)*AP$47))/INDEX(CarryTiers,3,2))</f>
        <v/>
      </c>
      <c r="AQ48" s="52">
        <f>MIN((AQ$38-AQ$40-AQ$41-AQ$42)-AQ$47,MAX(0,AQ$46-((AP$54+AQ$40+AQ$41+AQ$44)+INDEX(CarryTiers,2,2)*AQ$47))/INDEX(CarryTiers,3,2))</f>
        <v/>
      </c>
      <c r="AR48" s="52">
        <f>MIN((AR$38-AR$40-AR$41-AR$42)-AR$47,MAX(0,AR$46-((AQ$54+AR$40+AR$41+AR$44)+INDEX(CarryTiers,2,2)*AR$47))/INDEX(CarryTiers,3,2))</f>
        <v/>
      </c>
      <c r="AS48" s="52">
        <f>MIN((AS$38-AS$40-AS$41-AS$42)-AS$47,MAX(0,AS$46-((AR$54+AS$40+AS$41+AS$44)+INDEX(CarryTiers,2,2)*AS$47))/INDEX(CarryTiers,3,2))</f>
        <v/>
      </c>
      <c r="AT48" s="52">
        <f>MIN((AT$38-AT$40-AT$41-AT$42)-AT$47,MAX(0,AT$46-((AS$54+AT$40+AT$41+AT$44)+INDEX(CarryTiers,2,2)*AT$47))/INDEX(CarryTiers,3,2))</f>
        <v/>
      </c>
      <c r="AU48" s="52">
        <f>MIN((AU$38-AU$40-AU$41-AU$42)-AU$47,MAX(0,AU$46-((AT$54+AU$40+AU$41+AU$44)+INDEX(CarryTiers,2,2)*AU$47))/INDEX(CarryTiers,3,2))</f>
        <v/>
      </c>
      <c r="AV48" s="52">
        <f>MIN((AV$38-AV$40-AV$41-AV$42)-AV$47,MAX(0,AV$46-((AU$54+AV$40+AV$41+AV$44)+INDEX(CarryTiers,2,2)*AV$47))/INDEX(CarryTiers,3,2))</f>
        <v/>
      </c>
      <c r="AW48" s="52">
        <f>MIN((AW$38-AW$40-AW$41-AW$42)-AW$47,MAX(0,AW$46-((AV$54+AW$40+AW$41+AW$44)+INDEX(CarryTiers,2,2)*AW$47))/INDEX(CarryTiers,3,2))</f>
        <v/>
      </c>
      <c r="AX48" s="52">
        <f>MIN((AX$38-AX$40-AX$41-AX$42)-AX$47,MAX(0,AX$46-((AW$54+AX$40+AX$41+AX$44)+INDEX(CarryTiers,2,2)*AX$47))/INDEX(CarryTiers,3,2))</f>
        <v/>
      </c>
      <c r="AY48" s="52">
        <f>MIN((AY$38-AY$40-AY$41-AY$42)-AY$47,MAX(0,AY$46-((AX$54+AY$40+AY$41+AY$44)+INDEX(CarryTiers,2,2)*AY$47))/INDEX(CarryTiers,3,2))</f>
        <v/>
      </c>
      <c r="AZ48" s="52">
        <f>MIN((AZ$38-AZ$40-AZ$41-AZ$42)-AZ$47,MAX(0,AZ$46-((AY$54+AZ$40+AZ$41+AZ$44)+INDEX(CarryTiers,2,2)*AZ$47))/INDEX(CarryTiers,3,2))</f>
        <v/>
      </c>
      <c r="BA48" s="52">
        <f>MIN((BA$38-BA$40-BA$41-BA$42)-BA$47,MAX(0,BA$46-((AZ$54+BA$40+BA$41+BA$44)+INDEX(CarryTiers,2,2)*BA$47))/INDEX(CarryTiers,3,2))</f>
        <v/>
      </c>
      <c r="BB48" s="52">
        <f>MIN((BB$38-BB$40-BB$41-BB$42)-BB$47,MAX(0,BB$46-((BA$54+BB$40+BB$41+BB$44)+INDEX(CarryTiers,2,2)*BB$47))/INDEX(CarryTiers,3,2))</f>
        <v/>
      </c>
      <c r="BC48" s="52">
        <f>MIN((BC$38-BC$40-BC$41-BC$42)-BC$47,MAX(0,BC$46-((BB$54+BC$40+BC$41+BC$44)+INDEX(CarryTiers,2,2)*BC$47))/INDEX(CarryTiers,3,2))</f>
        <v/>
      </c>
      <c r="BD48" s="52">
        <f>MIN((BD$38-BD$40-BD$41-BD$42)-BD$47,MAX(0,BD$46-((BC$54+BD$40+BD$41+BD$44)+INDEX(CarryTiers,2,2)*BD$47))/INDEX(CarryTiers,3,2))</f>
        <v/>
      </c>
      <c r="BE48" s="52">
        <f>MIN((BE$38-BE$40-BE$41-BE$42)-BE$47,MAX(0,BE$46-((BD$54+BE$40+BE$41+BE$44)+INDEX(CarryTiers,2,2)*BE$47))/INDEX(CarryTiers,3,2))</f>
        <v/>
      </c>
      <c r="BF48" s="52">
        <f>MIN((BF$38-BF$40-BF$41-BF$42)-BF$47,MAX(0,BF$46-((BE$54+BF$40+BF$41+BF$44)+INDEX(CarryTiers,2,2)*BF$47))/INDEX(CarryTiers,3,2))</f>
        <v/>
      </c>
      <c r="BG48" s="52">
        <f>MIN((BG$38-BG$40-BG$41-BG$42)-BG$47,MAX(0,BG$46-((BF$54+BG$40+BG$41+BG$44)+INDEX(CarryTiers,2,2)*BG$47))/INDEX(CarryTiers,3,2))</f>
        <v/>
      </c>
      <c r="BH48" s="52">
        <f>MIN((BH$38-BH$40-BH$41-BH$42)-BH$47,MAX(0,BH$46-((BG$54+BH$40+BH$41+BH$44)+INDEX(CarryTiers,2,2)*BH$47))/INDEX(CarryTiers,3,2))</f>
        <v/>
      </c>
      <c r="BI48" s="52">
        <f>MIN((BI$38-BI$40-BI$41-BI$42)-BI$47,MAX(0,BI$46-((BH$54+BI$40+BI$41+BI$44)+INDEX(CarryTiers,2,2)*BI$47))/INDEX(CarryTiers,3,2))</f>
        <v/>
      </c>
      <c r="BJ48" s="52">
        <f>MIN((BJ$38-BJ$40-BJ$41-BJ$42)-BJ$47,MAX(0,BJ$46-((BI$54+BJ$40+BJ$41+BJ$44)+INDEX(CarryTiers,2,2)*BJ$47))/INDEX(CarryTiers,3,2))</f>
        <v/>
      </c>
      <c r="BK48" s="52">
        <f>MIN((BK$38-BK$40-BK$41-BK$42)-BK$47,MAX(0,BK$46-((BJ$54+BK$40+BK$41+BK$44)+INDEX(CarryTiers,2,2)*BK$47))/INDEX(CarryTiers,3,2))</f>
        <v/>
      </c>
      <c r="BL48" s="52">
        <f>MIN((BL$38-BL$40-BL$41-BL$42)-BL$47,MAX(0,BL$46-((BK$54+BL$40+BL$41+BL$44)+INDEX(CarryTiers,2,2)*BL$47))/INDEX(CarryTiers,3,2))</f>
        <v/>
      </c>
      <c r="BM48" s="52">
        <f>MIN((BM$38-BM$40-BM$41-BM$42)-BM$47,MAX(0,BM$46-((BL$54+BM$40+BM$41+BM$44)+INDEX(CarryTiers,2,2)*BM$47))/INDEX(CarryTiers,3,2))</f>
        <v/>
      </c>
      <c r="BN48" s="52">
        <f>MIN((BN$38-BN$40-BN$41-BN$42)-BN$47,MAX(0,BN$46-((BM$54+BN$40+BN$41+BN$44)+INDEX(CarryTiers,2,2)*BN$47))/INDEX(CarryTiers,3,2))</f>
        <v/>
      </c>
      <c r="BO48" s="52">
        <f>MIN((BO$38-BO$40-BO$41-BO$42)-BO$47,MAX(0,BO$46-((BN$54+BO$40+BO$41+BO$44)+INDEX(CarryTiers,2,2)*BO$47))/INDEX(CarryTiers,3,2))</f>
        <v/>
      </c>
      <c r="BP48" s="52">
        <f>MIN((BP$38-BP$40-BP$41-BP$42)-BP$47,MAX(0,BP$46-((BO$54+BP$40+BP$41+BP$44)+INDEX(CarryTiers,2,2)*BP$47))/INDEX(CarryTiers,3,2))</f>
        <v/>
      </c>
      <c r="BQ48" s="52">
        <f>MIN((BQ$38-BQ$40-BQ$41-BQ$42)-BQ$47,MAX(0,BQ$46-((BP$54+BQ$40+BQ$41+BQ$44)+INDEX(CarryTiers,2,2)*BQ$47))/INDEX(CarryTiers,3,2))</f>
        <v/>
      </c>
      <c r="BR48" s="52">
        <f>MIN((BR$38-BR$40-BR$41-BR$42)-BR$47,MAX(0,BR$46-((BQ$54+BR$40+BR$41+BR$44)+INDEX(CarryTiers,2,2)*BR$47))/INDEX(CarryTiers,3,2))</f>
        <v/>
      </c>
      <c r="BS48" s="52">
        <f>MIN((BS$38-BS$40-BS$41-BS$42)-BS$47,MAX(0,BS$46-((BR$54+BS$40+BS$41+BS$44)+INDEX(CarryTiers,2,2)*BS$47))/INDEX(CarryTiers,3,2))</f>
        <v/>
      </c>
      <c r="BT48" s="52">
        <f>MIN((BT$38-BT$40-BT$41-BT$42)-BT$47,MAX(0,BT$46-((BS$54+BT$40+BT$41+BT$44)+INDEX(CarryTiers,2,2)*BT$47))/INDEX(CarryTiers,3,2))</f>
        <v/>
      </c>
      <c r="BU48" s="52">
        <f>MIN((BU$38-BU$40-BU$41-BU$42)-BU$47,MAX(0,BU$46-((BT$54+BU$40+BU$41+BU$44)+INDEX(CarryTiers,2,2)*BU$47))/INDEX(CarryTiers,3,2))</f>
        <v/>
      </c>
      <c r="BV48" s="52">
        <f>MIN((BV$38-BV$40-BV$41-BV$42)-BV$47,MAX(0,BV$46-((BU$54+BV$40+BV$41+BV$44)+INDEX(CarryTiers,2,2)*BV$47))/INDEX(CarryTiers,3,2))</f>
        <v/>
      </c>
      <c r="BW48" s="52">
        <f>MIN((BW$38-BW$40-BW$41-BW$42)-BW$47,MAX(0,BW$46-((BV$54+BW$40+BW$41+BW$44)+INDEX(CarryTiers,2,2)*BW$47))/INDEX(CarryTiers,3,2))</f>
        <v/>
      </c>
      <c r="BX48" s="52">
        <f>MIN((BX$38-BX$40-BX$41-BX$42)-BX$47,MAX(0,BX$46-((BW$54+BX$40+BX$41+BX$44)+INDEX(CarryTiers,2,2)*BX$47))/INDEX(CarryTiers,3,2))</f>
        <v/>
      </c>
      <c r="BY48" s="52">
        <f>MIN((BY$38-BY$40-BY$41-BY$42)-BY$47,MAX(0,BY$46-((BX$54+BY$40+BY$41+BY$44)+INDEX(CarryTiers,2,2)*BY$47))/INDEX(CarryTiers,3,2))</f>
        <v/>
      </c>
      <c r="BZ48" s="52">
        <f>MIN((BZ$38-BZ$40-BZ$41-BZ$42)-BZ$47,MAX(0,BZ$46-((BY$54+BZ$40+BZ$41+BZ$44)+INDEX(CarryTiers,2,2)*BZ$47))/INDEX(CarryTiers,3,2))</f>
        <v/>
      </c>
      <c r="CA48" s="52">
        <f>MIN((CA$38-CA$40-CA$41-CA$42)-CA$47,MAX(0,CA$46-((BZ$54+CA$40+CA$41+CA$44)+INDEX(CarryTiers,2,2)*CA$47))/INDEX(CarryTiers,3,2))</f>
        <v/>
      </c>
      <c r="CB48" s="52">
        <f>MIN((CB$38-CB$40-CB$41-CB$42)-CB$47,MAX(0,CB$46-((CA$54+CB$40+CB$41+CB$44)+INDEX(CarryTiers,2,2)*CB$47))/INDEX(CarryTiers,3,2))</f>
        <v/>
      </c>
      <c r="CC48" s="52">
        <f>MIN((CC$38-CC$40-CC$41-CC$42)-CC$47,MAX(0,CC$46-((CB$54+CC$40+CC$41+CC$44)+INDEX(CarryTiers,2,2)*CC$47))/INDEX(CarryTiers,3,2))</f>
        <v/>
      </c>
      <c r="CD48" s="52">
        <f>MIN((CD$38-CD$40-CD$41-CD$42)-CD$47,MAX(0,CD$46-((CC$54+CD$40+CD$41+CD$44)+INDEX(CarryTiers,2,2)*CD$47))/INDEX(CarryTiers,3,2))</f>
        <v/>
      </c>
      <c r="CE48" s="52">
        <f>MIN((CE$38-CE$40-CE$41-CE$42)-CE$47,MAX(0,CE$46-((CD$54+CE$40+CE$41+CE$44)+INDEX(CarryTiers,2,2)*CE$47))/INDEX(CarryTiers,3,2))</f>
        <v/>
      </c>
      <c r="CF48" s="52">
        <f>MIN((CF$38-CF$40-CF$41-CF$42)-CF$47,MAX(0,CF$46-((CE$54+CF$40+CF$41+CF$44)+INDEX(CarryTiers,2,2)*CF$47))/INDEX(CarryTiers,3,2))</f>
        <v/>
      </c>
      <c r="CG48" s="52">
        <f>MIN((CG$38-CG$40-CG$41-CG$42)-CG$47,MAX(0,CG$46-((CF$54+CG$40+CG$41+CG$44)+INDEX(CarryTiers,2,2)*CG$47))/INDEX(CarryTiers,3,2))</f>
        <v/>
      </c>
      <c r="CH48" s="52">
        <f>MIN((CH$38-CH$40-CH$41-CH$42)-CH$47,MAX(0,CH$46-((CG$54+CH$40+CH$41+CH$44)+INDEX(CarryTiers,2,2)*CH$47))/INDEX(CarryTiers,3,2))</f>
        <v/>
      </c>
      <c r="CI48" s="52">
        <f>MIN((CI$38-CI$40-CI$41-CI$42)-CI$47,MAX(0,CI$46-((CH$54+CI$40+CI$41+CI$44)+INDEX(CarryTiers,2,2)*CI$47))/INDEX(CarryTiers,3,2))</f>
        <v/>
      </c>
      <c r="CJ48" s="52">
        <f>MIN((CJ$38-CJ$40-CJ$41-CJ$42)-CJ$47,MAX(0,CJ$46-((CI$54+CJ$40+CJ$41+CJ$44)+INDEX(CarryTiers,2,2)*CJ$47))/INDEX(CarryTiers,3,2))</f>
        <v/>
      </c>
      <c r="CK48" s="52">
        <f>MIN((CK$38-CK$40-CK$41-CK$42)-CK$47,MAX(0,CK$46-((CJ$54+CK$40+CK$41+CK$44)+INDEX(CarryTiers,2,2)*CK$47))/INDEX(CarryTiers,3,2))</f>
        <v/>
      </c>
      <c r="CL48" s="52">
        <f>MIN((CL$38-CL$40-CL$41-CL$42)-CL$47,MAX(0,CL$46-((CK$54+CL$40+CL$41+CL$44)+INDEX(CarryTiers,2,2)*CL$47))/INDEX(CarryTiers,3,2))</f>
        <v/>
      </c>
      <c r="CM48" s="52">
        <f>MIN((CM$38-CM$40-CM$41-CM$42)-CM$47,MAX(0,CM$46-((CL$54+CM$40+CM$41+CM$44)+INDEX(CarryTiers,2,2)*CM$47))/INDEX(CarryTiers,3,2))</f>
        <v/>
      </c>
      <c r="CN48" s="52">
        <f>MIN((CN$38-CN$40-CN$41-CN$42)-CN$47,MAX(0,CN$46-((CM$54+CN$40+CN$41+CN$44)+INDEX(CarryTiers,2,2)*CN$47))/INDEX(CarryTiers,3,2))</f>
        <v/>
      </c>
      <c r="CO48" s="52">
        <f>MIN((CO$38-CO$40-CO$41-CO$42)-CO$47,MAX(0,CO$46-((CN$54+CO$40+CO$41+CO$44)+INDEX(CarryTiers,2,2)*CO$47))/INDEX(CarryTiers,3,2))</f>
        <v/>
      </c>
      <c r="CP48" s="52">
        <f>MIN((CP$38-CP$40-CP$41-CP$42)-CP$47,MAX(0,CP$46-((CO$54+CP$40+CP$41+CP$44)+INDEX(CarryTiers,2,2)*CP$47))/INDEX(CarryTiers,3,2))</f>
        <v/>
      </c>
      <c r="CQ48" s="52">
        <f>MIN((CQ$38-CQ$40-CQ$41-CQ$42)-CQ$47,MAX(0,CQ$46-((CP$54+CQ$40+CQ$41+CQ$44)+INDEX(CarryTiers,2,2)*CQ$47))/INDEX(CarryTiers,3,2))</f>
        <v/>
      </c>
      <c r="CR48" s="52">
        <f>MIN((CR$38-CR$40-CR$41-CR$42)-CR$47,MAX(0,CR$46-((CQ$54+CR$40+CR$41+CR$44)+INDEX(CarryTiers,2,2)*CR$47))/INDEX(CarryTiers,3,2))</f>
        <v/>
      </c>
      <c r="CS48" s="52">
        <f>MIN((CS$38-CS$40-CS$41-CS$42)-CS$47,MAX(0,CS$46-((CR$54+CS$40+CS$41+CS$44)+INDEX(CarryTiers,2,2)*CS$47))/INDEX(CarryTiers,3,2))</f>
        <v/>
      </c>
      <c r="CT48" s="52">
        <f>MIN((CT$38-CT$40-CT$41-CT$42)-CT$47,MAX(0,CT$46-((CS$54+CT$40+CT$41+CT$44)+INDEX(CarryTiers,2,2)*CT$47))/INDEX(CarryTiers,3,2))</f>
        <v/>
      </c>
      <c r="CU48" s="52">
        <f>MIN((CU$38-CU$40-CU$41-CU$42)-CU$47,MAX(0,CU$46-((CT$54+CU$40+CU$41+CU$44)+INDEX(CarryTiers,2,2)*CU$47))/INDEX(CarryTiers,3,2))</f>
        <v/>
      </c>
      <c r="CV48" s="52">
        <f>MIN((CV$38-CV$40-CV$41-CV$42)-CV$47,MAX(0,CV$46-((CU$54+CV$40+CV$41+CV$44)+INDEX(CarryTiers,2,2)*CV$47))/INDEX(CarryTiers,3,2))</f>
        <v/>
      </c>
      <c r="CW48" s="52">
        <f>MIN((CW$38-CW$40-CW$41-CW$42)-CW$47,MAX(0,CW$46-((CV$54+CW$40+CW$41+CW$44)+INDEX(CarryTiers,2,2)*CW$47))/INDEX(CarryTiers,3,2))</f>
        <v/>
      </c>
      <c r="CX48" s="52">
        <f>MIN((CX$38-CX$40-CX$41-CX$42)-CX$47,MAX(0,CX$46-((CW$54+CX$40+CX$41+CX$44)+INDEX(CarryTiers,2,2)*CX$47))/INDEX(CarryTiers,3,2))</f>
        <v/>
      </c>
      <c r="CY48" s="52">
        <f>MIN((CY$38-CY$40-CY$41-CY$42)-CY$47,MAX(0,CY$46-((CX$54+CY$40+CY$41+CY$44)+INDEX(CarryTiers,2,2)*CY$47))/INDEX(CarryTiers,3,2))</f>
        <v/>
      </c>
      <c r="CZ48" s="52">
        <f>MIN((CZ$38-CZ$40-CZ$41-CZ$42)-CZ$47,MAX(0,CZ$46-((CY$54+CZ$40+CZ$41+CZ$44)+INDEX(CarryTiers,2,2)*CZ$47))/INDEX(CarryTiers,3,2))</f>
        <v/>
      </c>
      <c r="DA48" s="52">
        <f>MIN((DA$38-DA$40-DA$41-DA$42)-DA$47,MAX(0,DA$46-((CZ$54+DA$40+DA$41+DA$44)+INDEX(CarryTiers,2,2)*DA$47))/INDEX(CarryTiers,3,2))</f>
        <v/>
      </c>
      <c r="DB48" s="52">
        <f>MIN((DB$38-DB$40-DB$41-DB$42)-DB$47,MAX(0,DB$46-((DA$54+DB$40+DB$41+DB$44)+INDEX(CarryTiers,2,2)*DB$47))/INDEX(CarryTiers,3,2))</f>
        <v/>
      </c>
      <c r="DC48" s="52">
        <f>MIN((DC$38-DC$40-DC$41-DC$42)-DC$47,MAX(0,DC$46-((DB$54+DC$40+DC$41+DC$44)+INDEX(CarryTiers,2,2)*DC$47))/INDEX(CarryTiers,3,2))</f>
        <v/>
      </c>
      <c r="DD48" s="52">
        <f>MIN((DD$38-DD$40-DD$41-DD$42)-DD$47,MAX(0,DD$46-((DC$54+DD$40+DD$41+DD$44)+INDEX(CarryTiers,2,2)*DD$47))/INDEX(CarryTiers,3,2))</f>
        <v/>
      </c>
      <c r="DE48" s="52">
        <f>MIN((DE$38-DE$40-DE$41-DE$42)-DE$47,MAX(0,DE$46-((DD$54+DE$40+DE$41+DE$44)+INDEX(CarryTiers,2,2)*DE$47))/INDEX(CarryTiers,3,2))</f>
        <v/>
      </c>
      <c r="DF48" s="52">
        <f>MIN((DF$38-DF$40-DF$41-DF$42)-DF$47,MAX(0,DF$46-((DE$54+DF$40+DF$41+DF$44)+INDEX(CarryTiers,2,2)*DF$47))/INDEX(CarryTiers,3,2))</f>
        <v/>
      </c>
      <c r="DG48" s="52">
        <f>MIN((DG$38-DG$40-DG$41-DG$42)-DG$47,MAX(0,DG$46-((DF$54+DG$40+DG$41+DG$44)+INDEX(CarryTiers,2,2)*DG$47))/INDEX(CarryTiers,3,2))</f>
        <v/>
      </c>
      <c r="DH48" s="52">
        <f>MIN((DH$38-DH$40-DH$41-DH$42)-DH$47,MAX(0,DH$46-((DG$54+DH$40+DH$41+DH$44)+INDEX(CarryTiers,2,2)*DH$47))/INDEX(CarryTiers,3,2))</f>
        <v/>
      </c>
      <c r="DI48" s="52">
        <f>MIN((DI$38-DI$40-DI$41-DI$42)-DI$47,MAX(0,DI$46-((DH$54+DI$40+DI$41+DI$44)+INDEX(CarryTiers,2,2)*DI$47))/INDEX(CarryTiers,3,2))</f>
        <v/>
      </c>
      <c r="DJ48" s="52">
        <f>MIN((DJ$38-DJ$40-DJ$41-DJ$42)-DJ$47,MAX(0,DJ$46-((DI$54+DJ$40+DJ$41+DJ$44)+INDEX(CarryTiers,2,2)*DJ$47))/INDEX(CarryTiers,3,2))</f>
        <v/>
      </c>
      <c r="DK48" s="52">
        <f>MIN((DK$38-DK$40-DK$41-DK$42)-DK$47,MAX(0,DK$46-((DJ$54+DK$40+DK$41+DK$44)+INDEX(CarryTiers,2,2)*DK$47))/INDEX(CarryTiers,3,2))</f>
        <v/>
      </c>
      <c r="DL48" s="52">
        <f>MIN((DL$38-DL$40-DL$41-DL$42)-DL$47,MAX(0,DL$46-((DK$54+DL$40+DL$41+DL$44)+INDEX(CarryTiers,2,2)*DL$47))/INDEX(CarryTiers,3,2))</f>
        <v/>
      </c>
      <c r="DM48" s="52">
        <f>MIN((DM$38-DM$40-DM$41-DM$42)-DM$47,MAX(0,DM$46-((DL$54+DM$40+DM$41+DM$44)+INDEX(CarryTiers,2,2)*DM$47))/INDEX(CarryTiers,3,2))</f>
        <v/>
      </c>
      <c r="DN48" s="52">
        <f>MIN((DN$38-DN$40-DN$41-DN$42)-DN$47,MAX(0,DN$46-((DM$54+DN$40+DN$41+DN$44)+INDEX(CarryTiers,2,2)*DN$47))/INDEX(CarryTiers,3,2))</f>
        <v/>
      </c>
      <c r="DO48" s="52">
        <f>MIN((DO$38-DO$40-DO$41-DO$42)-DO$47,MAX(0,DO$46-((DN$54+DO$40+DO$41+DO$44)+INDEX(CarryTiers,2,2)*DO$47))/INDEX(CarryTiers,3,2))</f>
        <v/>
      </c>
      <c r="DP48" s="52">
        <f>MIN((DP$38-DP$40-DP$41-DP$42)-DP$47,MAX(0,DP$46-((DO$54+DP$40+DP$41+DP$44)+INDEX(CarryTiers,2,2)*DP$47))/INDEX(CarryTiers,3,2))</f>
        <v/>
      </c>
      <c r="DQ48" s="52">
        <f>MIN((DQ$38-DQ$40-DQ$41-DQ$42)-DQ$47,MAX(0,DQ$46-((DP$54+DQ$40+DQ$41+DQ$44)+INDEX(CarryTiers,2,2)*DQ$47))/INDEX(CarryTiers,3,2))</f>
        <v/>
      </c>
      <c r="DR48" s="52">
        <f>MIN((DR$38-DR$40-DR$41-DR$42)-DR$47,MAX(0,DR$46-((DQ$54+DR$40+DR$41+DR$44)+INDEX(CarryTiers,2,2)*DR$47))/INDEX(CarryTiers,3,2))</f>
        <v/>
      </c>
      <c r="DS48" s="52">
        <f>MIN((DS$38-DS$40-DS$41-DS$42)-DS$47,MAX(0,DS$46-((DR$54+DS$40+DS$41+DS$44)+INDEX(CarryTiers,2,2)*DS$47))/INDEX(CarryTiers,3,2))</f>
        <v/>
      </c>
      <c r="DT48" s="52">
        <f>MIN((DT$38-DT$40-DT$41-DT$42)-DT$47,MAX(0,DT$46-((DS$54+DT$40+DT$41+DT$44)+INDEX(CarryTiers,2,2)*DT$47))/INDEX(CarryTiers,3,2))</f>
        <v/>
      </c>
    </row>
    <row r="49">
      <c r="A49" s="10" t="inlineStr">
        <is>
          <t>Tier 4c — residual above hurdle 3</t>
        </is>
      </c>
      <c r="E49" s="52">
        <f>(E$38-E$40-E$41-E$42)-E$47-E$48</f>
        <v/>
      </c>
      <c r="F49" s="52">
        <f>(F$38-F$40-F$41-F$42)-F$47-F$48</f>
        <v/>
      </c>
      <c r="G49" s="52">
        <f>(G$38-G$40-G$41-G$42)-G$47-G$48</f>
        <v/>
      </c>
      <c r="H49" s="52">
        <f>(H$38-H$40-H$41-H$42)-H$47-H$48</f>
        <v/>
      </c>
      <c r="I49" s="52">
        <f>(I$38-I$40-I$41-I$42)-I$47-I$48</f>
        <v/>
      </c>
      <c r="J49" s="52">
        <f>(J$38-J$40-J$41-J$42)-J$47-J$48</f>
        <v/>
      </c>
      <c r="K49" s="52">
        <f>(K$38-K$40-K$41-K$42)-K$47-K$48</f>
        <v/>
      </c>
      <c r="L49" s="52">
        <f>(L$38-L$40-L$41-L$42)-L$47-L$48</f>
        <v/>
      </c>
      <c r="M49" s="52">
        <f>(M$38-M$40-M$41-M$42)-M$47-M$48</f>
        <v/>
      </c>
      <c r="N49" s="52">
        <f>(N$38-N$40-N$41-N$42)-N$47-N$48</f>
        <v/>
      </c>
      <c r="O49" s="52">
        <f>(O$38-O$40-O$41-O$42)-O$47-O$48</f>
        <v/>
      </c>
      <c r="P49" s="52">
        <f>(P$38-P$40-P$41-P$42)-P$47-P$48</f>
        <v/>
      </c>
      <c r="Q49" s="52">
        <f>(Q$38-Q$40-Q$41-Q$42)-Q$47-Q$48</f>
        <v/>
      </c>
      <c r="R49" s="52">
        <f>(R$38-R$40-R$41-R$42)-R$47-R$48</f>
        <v/>
      </c>
      <c r="S49" s="52">
        <f>(S$38-S$40-S$41-S$42)-S$47-S$48</f>
        <v/>
      </c>
      <c r="T49" s="52">
        <f>(T$38-T$40-T$41-T$42)-T$47-T$48</f>
        <v/>
      </c>
      <c r="U49" s="52">
        <f>(U$38-U$40-U$41-U$42)-U$47-U$48</f>
        <v/>
      </c>
      <c r="V49" s="52">
        <f>(V$38-V$40-V$41-V$42)-V$47-V$48</f>
        <v/>
      </c>
      <c r="W49" s="52">
        <f>(W$38-W$40-W$41-W$42)-W$47-W$48</f>
        <v/>
      </c>
      <c r="X49" s="52">
        <f>(X$38-X$40-X$41-X$42)-X$47-X$48</f>
        <v/>
      </c>
      <c r="Y49" s="52">
        <f>(Y$38-Y$40-Y$41-Y$42)-Y$47-Y$48</f>
        <v/>
      </c>
      <c r="Z49" s="52">
        <f>(Z$38-Z$40-Z$41-Z$42)-Z$47-Z$48</f>
        <v/>
      </c>
      <c r="AA49" s="52">
        <f>(AA$38-AA$40-AA$41-AA$42)-AA$47-AA$48</f>
        <v/>
      </c>
      <c r="AB49" s="52">
        <f>(AB$38-AB$40-AB$41-AB$42)-AB$47-AB$48</f>
        <v/>
      </c>
      <c r="AC49" s="52">
        <f>(AC$38-AC$40-AC$41-AC$42)-AC$47-AC$48</f>
        <v/>
      </c>
      <c r="AD49" s="52">
        <f>(AD$38-AD$40-AD$41-AD$42)-AD$47-AD$48</f>
        <v/>
      </c>
      <c r="AE49" s="52">
        <f>(AE$38-AE$40-AE$41-AE$42)-AE$47-AE$48</f>
        <v/>
      </c>
      <c r="AF49" s="52">
        <f>(AF$38-AF$40-AF$41-AF$42)-AF$47-AF$48</f>
        <v/>
      </c>
      <c r="AG49" s="52">
        <f>(AG$38-AG$40-AG$41-AG$42)-AG$47-AG$48</f>
        <v/>
      </c>
      <c r="AH49" s="52">
        <f>(AH$38-AH$40-AH$41-AH$42)-AH$47-AH$48</f>
        <v/>
      </c>
      <c r="AI49" s="52">
        <f>(AI$38-AI$40-AI$41-AI$42)-AI$47-AI$48</f>
        <v/>
      </c>
      <c r="AJ49" s="52">
        <f>(AJ$38-AJ$40-AJ$41-AJ$42)-AJ$47-AJ$48</f>
        <v/>
      </c>
      <c r="AK49" s="52">
        <f>(AK$38-AK$40-AK$41-AK$42)-AK$47-AK$48</f>
        <v/>
      </c>
      <c r="AL49" s="52">
        <f>(AL$38-AL$40-AL$41-AL$42)-AL$47-AL$48</f>
        <v/>
      </c>
      <c r="AM49" s="52">
        <f>(AM$38-AM$40-AM$41-AM$42)-AM$47-AM$48</f>
        <v/>
      </c>
      <c r="AN49" s="52">
        <f>(AN$38-AN$40-AN$41-AN$42)-AN$47-AN$48</f>
        <v/>
      </c>
      <c r="AO49" s="52">
        <f>(AO$38-AO$40-AO$41-AO$42)-AO$47-AO$48</f>
        <v/>
      </c>
      <c r="AP49" s="52">
        <f>(AP$38-AP$40-AP$41-AP$42)-AP$47-AP$48</f>
        <v/>
      </c>
      <c r="AQ49" s="52">
        <f>(AQ$38-AQ$40-AQ$41-AQ$42)-AQ$47-AQ$48</f>
        <v/>
      </c>
      <c r="AR49" s="52">
        <f>(AR$38-AR$40-AR$41-AR$42)-AR$47-AR$48</f>
        <v/>
      </c>
      <c r="AS49" s="52">
        <f>(AS$38-AS$40-AS$41-AS$42)-AS$47-AS$48</f>
        <v/>
      </c>
      <c r="AT49" s="52">
        <f>(AT$38-AT$40-AT$41-AT$42)-AT$47-AT$48</f>
        <v/>
      </c>
      <c r="AU49" s="52">
        <f>(AU$38-AU$40-AU$41-AU$42)-AU$47-AU$48</f>
        <v/>
      </c>
      <c r="AV49" s="52">
        <f>(AV$38-AV$40-AV$41-AV$42)-AV$47-AV$48</f>
        <v/>
      </c>
      <c r="AW49" s="52">
        <f>(AW$38-AW$40-AW$41-AW$42)-AW$47-AW$48</f>
        <v/>
      </c>
      <c r="AX49" s="52">
        <f>(AX$38-AX$40-AX$41-AX$42)-AX$47-AX$48</f>
        <v/>
      </c>
      <c r="AY49" s="52">
        <f>(AY$38-AY$40-AY$41-AY$42)-AY$47-AY$48</f>
        <v/>
      </c>
      <c r="AZ49" s="52">
        <f>(AZ$38-AZ$40-AZ$41-AZ$42)-AZ$47-AZ$48</f>
        <v/>
      </c>
      <c r="BA49" s="52">
        <f>(BA$38-BA$40-BA$41-BA$42)-BA$47-BA$48</f>
        <v/>
      </c>
      <c r="BB49" s="52">
        <f>(BB$38-BB$40-BB$41-BB$42)-BB$47-BB$48</f>
        <v/>
      </c>
      <c r="BC49" s="52">
        <f>(BC$38-BC$40-BC$41-BC$42)-BC$47-BC$48</f>
        <v/>
      </c>
      <c r="BD49" s="52">
        <f>(BD$38-BD$40-BD$41-BD$42)-BD$47-BD$48</f>
        <v/>
      </c>
      <c r="BE49" s="52">
        <f>(BE$38-BE$40-BE$41-BE$42)-BE$47-BE$48</f>
        <v/>
      </c>
      <c r="BF49" s="52">
        <f>(BF$38-BF$40-BF$41-BF$42)-BF$47-BF$48</f>
        <v/>
      </c>
      <c r="BG49" s="52">
        <f>(BG$38-BG$40-BG$41-BG$42)-BG$47-BG$48</f>
        <v/>
      </c>
      <c r="BH49" s="52">
        <f>(BH$38-BH$40-BH$41-BH$42)-BH$47-BH$48</f>
        <v/>
      </c>
      <c r="BI49" s="52">
        <f>(BI$38-BI$40-BI$41-BI$42)-BI$47-BI$48</f>
        <v/>
      </c>
      <c r="BJ49" s="52">
        <f>(BJ$38-BJ$40-BJ$41-BJ$42)-BJ$47-BJ$48</f>
        <v/>
      </c>
      <c r="BK49" s="52">
        <f>(BK$38-BK$40-BK$41-BK$42)-BK$47-BK$48</f>
        <v/>
      </c>
      <c r="BL49" s="52">
        <f>(BL$38-BL$40-BL$41-BL$42)-BL$47-BL$48</f>
        <v/>
      </c>
      <c r="BM49" s="52">
        <f>(BM$38-BM$40-BM$41-BM$42)-BM$47-BM$48</f>
        <v/>
      </c>
      <c r="BN49" s="52">
        <f>(BN$38-BN$40-BN$41-BN$42)-BN$47-BN$48</f>
        <v/>
      </c>
      <c r="BO49" s="52">
        <f>(BO$38-BO$40-BO$41-BO$42)-BO$47-BO$48</f>
        <v/>
      </c>
      <c r="BP49" s="52">
        <f>(BP$38-BP$40-BP$41-BP$42)-BP$47-BP$48</f>
        <v/>
      </c>
      <c r="BQ49" s="52">
        <f>(BQ$38-BQ$40-BQ$41-BQ$42)-BQ$47-BQ$48</f>
        <v/>
      </c>
      <c r="BR49" s="52">
        <f>(BR$38-BR$40-BR$41-BR$42)-BR$47-BR$48</f>
        <v/>
      </c>
      <c r="BS49" s="52">
        <f>(BS$38-BS$40-BS$41-BS$42)-BS$47-BS$48</f>
        <v/>
      </c>
      <c r="BT49" s="52">
        <f>(BT$38-BT$40-BT$41-BT$42)-BT$47-BT$48</f>
        <v/>
      </c>
      <c r="BU49" s="52">
        <f>(BU$38-BU$40-BU$41-BU$42)-BU$47-BU$48</f>
        <v/>
      </c>
      <c r="BV49" s="52">
        <f>(BV$38-BV$40-BV$41-BV$42)-BV$47-BV$48</f>
        <v/>
      </c>
      <c r="BW49" s="52">
        <f>(BW$38-BW$40-BW$41-BW$42)-BW$47-BW$48</f>
        <v/>
      </c>
      <c r="BX49" s="52">
        <f>(BX$38-BX$40-BX$41-BX$42)-BX$47-BX$48</f>
        <v/>
      </c>
      <c r="BY49" s="52">
        <f>(BY$38-BY$40-BY$41-BY$42)-BY$47-BY$48</f>
        <v/>
      </c>
      <c r="BZ49" s="52">
        <f>(BZ$38-BZ$40-BZ$41-BZ$42)-BZ$47-BZ$48</f>
        <v/>
      </c>
      <c r="CA49" s="52">
        <f>(CA$38-CA$40-CA$41-CA$42)-CA$47-CA$48</f>
        <v/>
      </c>
      <c r="CB49" s="52">
        <f>(CB$38-CB$40-CB$41-CB$42)-CB$47-CB$48</f>
        <v/>
      </c>
      <c r="CC49" s="52">
        <f>(CC$38-CC$40-CC$41-CC$42)-CC$47-CC$48</f>
        <v/>
      </c>
      <c r="CD49" s="52">
        <f>(CD$38-CD$40-CD$41-CD$42)-CD$47-CD$48</f>
        <v/>
      </c>
      <c r="CE49" s="52">
        <f>(CE$38-CE$40-CE$41-CE$42)-CE$47-CE$48</f>
        <v/>
      </c>
      <c r="CF49" s="52">
        <f>(CF$38-CF$40-CF$41-CF$42)-CF$47-CF$48</f>
        <v/>
      </c>
      <c r="CG49" s="52">
        <f>(CG$38-CG$40-CG$41-CG$42)-CG$47-CG$48</f>
        <v/>
      </c>
      <c r="CH49" s="52">
        <f>(CH$38-CH$40-CH$41-CH$42)-CH$47-CH$48</f>
        <v/>
      </c>
      <c r="CI49" s="52">
        <f>(CI$38-CI$40-CI$41-CI$42)-CI$47-CI$48</f>
        <v/>
      </c>
      <c r="CJ49" s="52">
        <f>(CJ$38-CJ$40-CJ$41-CJ$42)-CJ$47-CJ$48</f>
        <v/>
      </c>
      <c r="CK49" s="52">
        <f>(CK$38-CK$40-CK$41-CK$42)-CK$47-CK$48</f>
        <v/>
      </c>
      <c r="CL49" s="52">
        <f>(CL$38-CL$40-CL$41-CL$42)-CL$47-CL$48</f>
        <v/>
      </c>
      <c r="CM49" s="52">
        <f>(CM$38-CM$40-CM$41-CM$42)-CM$47-CM$48</f>
        <v/>
      </c>
      <c r="CN49" s="52">
        <f>(CN$38-CN$40-CN$41-CN$42)-CN$47-CN$48</f>
        <v/>
      </c>
      <c r="CO49" s="52">
        <f>(CO$38-CO$40-CO$41-CO$42)-CO$47-CO$48</f>
        <v/>
      </c>
      <c r="CP49" s="52">
        <f>(CP$38-CP$40-CP$41-CP$42)-CP$47-CP$48</f>
        <v/>
      </c>
      <c r="CQ49" s="52">
        <f>(CQ$38-CQ$40-CQ$41-CQ$42)-CQ$47-CQ$48</f>
        <v/>
      </c>
      <c r="CR49" s="52">
        <f>(CR$38-CR$40-CR$41-CR$42)-CR$47-CR$48</f>
        <v/>
      </c>
      <c r="CS49" s="52">
        <f>(CS$38-CS$40-CS$41-CS$42)-CS$47-CS$48</f>
        <v/>
      </c>
      <c r="CT49" s="52">
        <f>(CT$38-CT$40-CT$41-CT$42)-CT$47-CT$48</f>
        <v/>
      </c>
      <c r="CU49" s="52">
        <f>(CU$38-CU$40-CU$41-CU$42)-CU$47-CU$48</f>
        <v/>
      </c>
      <c r="CV49" s="52">
        <f>(CV$38-CV$40-CV$41-CV$42)-CV$47-CV$48</f>
        <v/>
      </c>
      <c r="CW49" s="52">
        <f>(CW$38-CW$40-CW$41-CW$42)-CW$47-CW$48</f>
        <v/>
      </c>
      <c r="CX49" s="52">
        <f>(CX$38-CX$40-CX$41-CX$42)-CX$47-CX$48</f>
        <v/>
      </c>
      <c r="CY49" s="52">
        <f>(CY$38-CY$40-CY$41-CY$42)-CY$47-CY$48</f>
        <v/>
      </c>
      <c r="CZ49" s="52">
        <f>(CZ$38-CZ$40-CZ$41-CZ$42)-CZ$47-CZ$48</f>
        <v/>
      </c>
      <c r="DA49" s="52">
        <f>(DA$38-DA$40-DA$41-DA$42)-DA$47-DA$48</f>
        <v/>
      </c>
      <c r="DB49" s="52">
        <f>(DB$38-DB$40-DB$41-DB$42)-DB$47-DB$48</f>
        <v/>
      </c>
      <c r="DC49" s="52">
        <f>(DC$38-DC$40-DC$41-DC$42)-DC$47-DC$48</f>
        <v/>
      </c>
      <c r="DD49" s="52">
        <f>(DD$38-DD$40-DD$41-DD$42)-DD$47-DD$48</f>
        <v/>
      </c>
      <c r="DE49" s="52">
        <f>(DE$38-DE$40-DE$41-DE$42)-DE$47-DE$48</f>
        <v/>
      </c>
      <c r="DF49" s="52">
        <f>(DF$38-DF$40-DF$41-DF$42)-DF$47-DF$48</f>
        <v/>
      </c>
      <c r="DG49" s="52">
        <f>(DG$38-DG$40-DG$41-DG$42)-DG$47-DG$48</f>
        <v/>
      </c>
      <c r="DH49" s="52">
        <f>(DH$38-DH$40-DH$41-DH$42)-DH$47-DH$48</f>
        <v/>
      </c>
      <c r="DI49" s="52">
        <f>(DI$38-DI$40-DI$41-DI$42)-DI$47-DI$48</f>
        <v/>
      </c>
      <c r="DJ49" s="52">
        <f>(DJ$38-DJ$40-DJ$41-DJ$42)-DJ$47-DJ$48</f>
        <v/>
      </c>
      <c r="DK49" s="52">
        <f>(DK$38-DK$40-DK$41-DK$42)-DK$47-DK$48</f>
        <v/>
      </c>
      <c r="DL49" s="52">
        <f>(DL$38-DL$40-DL$41-DL$42)-DL$47-DL$48</f>
        <v/>
      </c>
      <c r="DM49" s="52">
        <f>(DM$38-DM$40-DM$41-DM$42)-DM$47-DM$48</f>
        <v/>
      </c>
      <c r="DN49" s="52">
        <f>(DN$38-DN$40-DN$41-DN$42)-DN$47-DN$48</f>
        <v/>
      </c>
      <c r="DO49" s="52">
        <f>(DO$38-DO$40-DO$41-DO$42)-DO$47-DO$48</f>
        <v/>
      </c>
      <c r="DP49" s="52">
        <f>(DP$38-DP$40-DP$41-DP$42)-DP$47-DP$48</f>
        <v/>
      </c>
      <c r="DQ49" s="52">
        <f>(DQ$38-DQ$40-DQ$41-DQ$42)-DQ$47-DQ$48</f>
        <v/>
      </c>
      <c r="DR49" s="52">
        <f>(DR$38-DR$40-DR$41-DR$42)-DR$47-DR$48</f>
        <v/>
      </c>
      <c r="DS49" s="52">
        <f>(DS$38-DS$40-DS$41-DS$42)-DS$47-DS$48</f>
        <v/>
      </c>
      <c r="DT49" s="52">
        <f>(DT$38-DT$40-DT$41-DT$42)-DT$47-DT$48</f>
        <v/>
      </c>
    </row>
    <row r="50">
      <c r="A50" s="10" t="inlineStr">
        <is>
          <t>Investor distribution (total)</t>
        </is>
      </c>
      <c r="E50" s="52">
        <f>E$40+E$41+E$44+INDEX(CarryTiers,2,2)*E$47+INDEX(CarryTiers,3,2)*E$48+INDEX(CarryTiers,4,2)*E$49</f>
        <v/>
      </c>
      <c r="F50" s="52">
        <f>F$40+F$41+F$44+INDEX(CarryTiers,2,2)*F$47+INDEX(CarryTiers,3,2)*F$48+INDEX(CarryTiers,4,2)*F$49</f>
        <v/>
      </c>
      <c r="G50" s="52">
        <f>G$40+G$41+G$44+INDEX(CarryTiers,2,2)*G$47+INDEX(CarryTiers,3,2)*G$48+INDEX(CarryTiers,4,2)*G$49</f>
        <v/>
      </c>
      <c r="H50" s="52">
        <f>H$40+H$41+H$44+INDEX(CarryTiers,2,2)*H$47+INDEX(CarryTiers,3,2)*H$48+INDEX(CarryTiers,4,2)*H$49</f>
        <v/>
      </c>
      <c r="I50" s="52">
        <f>I$40+I$41+I$44+INDEX(CarryTiers,2,2)*I$47+INDEX(CarryTiers,3,2)*I$48+INDEX(CarryTiers,4,2)*I$49</f>
        <v/>
      </c>
      <c r="J50" s="52">
        <f>J$40+J$41+J$44+INDEX(CarryTiers,2,2)*J$47+INDEX(CarryTiers,3,2)*J$48+INDEX(CarryTiers,4,2)*J$49</f>
        <v/>
      </c>
      <c r="K50" s="52">
        <f>K$40+K$41+K$44+INDEX(CarryTiers,2,2)*K$47+INDEX(CarryTiers,3,2)*K$48+INDEX(CarryTiers,4,2)*K$49</f>
        <v/>
      </c>
      <c r="L50" s="52">
        <f>L$40+L$41+L$44+INDEX(CarryTiers,2,2)*L$47+INDEX(CarryTiers,3,2)*L$48+INDEX(CarryTiers,4,2)*L$49</f>
        <v/>
      </c>
      <c r="M50" s="52">
        <f>M$40+M$41+M$44+INDEX(CarryTiers,2,2)*M$47+INDEX(CarryTiers,3,2)*M$48+INDEX(CarryTiers,4,2)*M$49</f>
        <v/>
      </c>
      <c r="N50" s="52">
        <f>N$40+N$41+N$44+INDEX(CarryTiers,2,2)*N$47+INDEX(CarryTiers,3,2)*N$48+INDEX(CarryTiers,4,2)*N$49</f>
        <v/>
      </c>
      <c r="O50" s="52">
        <f>O$40+O$41+O$44+INDEX(CarryTiers,2,2)*O$47+INDEX(CarryTiers,3,2)*O$48+INDEX(CarryTiers,4,2)*O$49</f>
        <v/>
      </c>
      <c r="P50" s="52">
        <f>P$40+P$41+P$44+INDEX(CarryTiers,2,2)*P$47+INDEX(CarryTiers,3,2)*P$48+INDEX(CarryTiers,4,2)*P$49</f>
        <v/>
      </c>
      <c r="Q50" s="52">
        <f>Q$40+Q$41+Q$44+INDEX(CarryTiers,2,2)*Q$47+INDEX(CarryTiers,3,2)*Q$48+INDEX(CarryTiers,4,2)*Q$49</f>
        <v/>
      </c>
      <c r="R50" s="52">
        <f>R$40+R$41+R$44+INDEX(CarryTiers,2,2)*R$47+INDEX(CarryTiers,3,2)*R$48+INDEX(CarryTiers,4,2)*R$49</f>
        <v/>
      </c>
      <c r="S50" s="52">
        <f>S$40+S$41+S$44+INDEX(CarryTiers,2,2)*S$47+INDEX(CarryTiers,3,2)*S$48+INDEX(CarryTiers,4,2)*S$49</f>
        <v/>
      </c>
      <c r="T50" s="52">
        <f>T$40+T$41+T$44+INDEX(CarryTiers,2,2)*T$47+INDEX(CarryTiers,3,2)*T$48+INDEX(CarryTiers,4,2)*T$49</f>
        <v/>
      </c>
      <c r="U50" s="52">
        <f>U$40+U$41+U$44+INDEX(CarryTiers,2,2)*U$47+INDEX(CarryTiers,3,2)*U$48+INDEX(CarryTiers,4,2)*U$49</f>
        <v/>
      </c>
      <c r="V50" s="52">
        <f>V$40+V$41+V$44+INDEX(CarryTiers,2,2)*V$47+INDEX(CarryTiers,3,2)*V$48+INDEX(CarryTiers,4,2)*V$49</f>
        <v/>
      </c>
      <c r="W50" s="52">
        <f>W$40+W$41+W$44+INDEX(CarryTiers,2,2)*W$47+INDEX(CarryTiers,3,2)*W$48+INDEX(CarryTiers,4,2)*W$49</f>
        <v/>
      </c>
      <c r="X50" s="52">
        <f>X$40+X$41+X$44+INDEX(CarryTiers,2,2)*X$47+INDEX(CarryTiers,3,2)*X$48+INDEX(CarryTiers,4,2)*X$49</f>
        <v/>
      </c>
      <c r="Y50" s="52">
        <f>Y$40+Y$41+Y$44+INDEX(CarryTiers,2,2)*Y$47+INDEX(CarryTiers,3,2)*Y$48+INDEX(CarryTiers,4,2)*Y$49</f>
        <v/>
      </c>
      <c r="Z50" s="52">
        <f>Z$40+Z$41+Z$44+INDEX(CarryTiers,2,2)*Z$47+INDEX(CarryTiers,3,2)*Z$48+INDEX(CarryTiers,4,2)*Z$49</f>
        <v/>
      </c>
      <c r="AA50" s="52">
        <f>AA$40+AA$41+AA$44+INDEX(CarryTiers,2,2)*AA$47+INDEX(CarryTiers,3,2)*AA$48+INDEX(CarryTiers,4,2)*AA$49</f>
        <v/>
      </c>
      <c r="AB50" s="52">
        <f>AB$40+AB$41+AB$44+INDEX(CarryTiers,2,2)*AB$47+INDEX(CarryTiers,3,2)*AB$48+INDEX(CarryTiers,4,2)*AB$49</f>
        <v/>
      </c>
      <c r="AC50" s="52">
        <f>AC$40+AC$41+AC$44+INDEX(CarryTiers,2,2)*AC$47+INDEX(CarryTiers,3,2)*AC$48+INDEX(CarryTiers,4,2)*AC$49</f>
        <v/>
      </c>
      <c r="AD50" s="52">
        <f>AD$40+AD$41+AD$44+INDEX(CarryTiers,2,2)*AD$47+INDEX(CarryTiers,3,2)*AD$48+INDEX(CarryTiers,4,2)*AD$49</f>
        <v/>
      </c>
      <c r="AE50" s="52">
        <f>AE$40+AE$41+AE$44+INDEX(CarryTiers,2,2)*AE$47+INDEX(CarryTiers,3,2)*AE$48+INDEX(CarryTiers,4,2)*AE$49</f>
        <v/>
      </c>
      <c r="AF50" s="52">
        <f>AF$40+AF$41+AF$44+INDEX(CarryTiers,2,2)*AF$47+INDEX(CarryTiers,3,2)*AF$48+INDEX(CarryTiers,4,2)*AF$49</f>
        <v/>
      </c>
      <c r="AG50" s="52">
        <f>AG$40+AG$41+AG$44+INDEX(CarryTiers,2,2)*AG$47+INDEX(CarryTiers,3,2)*AG$48+INDEX(CarryTiers,4,2)*AG$49</f>
        <v/>
      </c>
      <c r="AH50" s="52">
        <f>AH$40+AH$41+AH$44+INDEX(CarryTiers,2,2)*AH$47+INDEX(CarryTiers,3,2)*AH$48+INDEX(CarryTiers,4,2)*AH$49</f>
        <v/>
      </c>
      <c r="AI50" s="52">
        <f>AI$40+AI$41+AI$44+INDEX(CarryTiers,2,2)*AI$47+INDEX(CarryTiers,3,2)*AI$48+INDEX(CarryTiers,4,2)*AI$49</f>
        <v/>
      </c>
      <c r="AJ50" s="52">
        <f>AJ$40+AJ$41+AJ$44+INDEX(CarryTiers,2,2)*AJ$47+INDEX(CarryTiers,3,2)*AJ$48+INDEX(CarryTiers,4,2)*AJ$49</f>
        <v/>
      </c>
      <c r="AK50" s="52">
        <f>AK$40+AK$41+AK$44+INDEX(CarryTiers,2,2)*AK$47+INDEX(CarryTiers,3,2)*AK$48+INDEX(CarryTiers,4,2)*AK$49</f>
        <v/>
      </c>
      <c r="AL50" s="52">
        <f>AL$40+AL$41+AL$44+INDEX(CarryTiers,2,2)*AL$47+INDEX(CarryTiers,3,2)*AL$48+INDEX(CarryTiers,4,2)*AL$49</f>
        <v/>
      </c>
      <c r="AM50" s="52">
        <f>AM$40+AM$41+AM$44+INDEX(CarryTiers,2,2)*AM$47+INDEX(CarryTiers,3,2)*AM$48+INDEX(CarryTiers,4,2)*AM$49</f>
        <v/>
      </c>
      <c r="AN50" s="52">
        <f>AN$40+AN$41+AN$44+INDEX(CarryTiers,2,2)*AN$47+INDEX(CarryTiers,3,2)*AN$48+INDEX(CarryTiers,4,2)*AN$49</f>
        <v/>
      </c>
      <c r="AO50" s="52">
        <f>AO$40+AO$41+AO$44+INDEX(CarryTiers,2,2)*AO$47+INDEX(CarryTiers,3,2)*AO$48+INDEX(CarryTiers,4,2)*AO$49</f>
        <v/>
      </c>
      <c r="AP50" s="52">
        <f>AP$40+AP$41+AP$44+INDEX(CarryTiers,2,2)*AP$47+INDEX(CarryTiers,3,2)*AP$48+INDEX(CarryTiers,4,2)*AP$49</f>
        <v/>
      </c>
      <c r="AQ50" s="52">
        <f>AQ$40+AQ$41+AQ$44+INDEX(CarryTiers,2,2)*AQ$47+INDEX(CarryTiers,3,2)*AQ$48+INDEX(CarryTiers,4,2)*AQ$49</f>
        <v/>
      </c>
      <c r="AR50" s="52">
        <f>AR$40+AR$41+AR$44+INDEX(CarryTiers,2,2)*AR$47+INDEX(CarryTiers,3,2)*AR$48+INDEX(CarryTiers,4,2)*AR$49</f>
        <v/>
      </c>
      <c r="AS50" s="52">
        <f>AS$40+AS$41+AS$44+INDEX(CarryTiers,2,2)*AS$47+INDEX(CarryTiers,3,2)*AS$48+INDEX(CarryTiers,4,2)*AS$49</f>
        <v/>
      </c>
      <c r="AT50" s="52">
        <f>AT$40+AT$41+AT$44+INDEX(CarryTiers,2,2)*AT$47+INDEX(CarryTiers,3,2)*AT$48+INDEX(CarryTiers,4,2)*AT$49</f>
        <v/>
      </c>
      <c r="AU50" s="52">
        <f>AU$40+AU$41+AU$44+INDEX(CarryTiers,2,2)*AU$47+INDEX(CarryTiers,3,2)*AU$48+INDEX(CarryTiers,4,2)*AU$49</f>
        <v/>
      </c>
      <c r="AV50" s="52">
        <f>AV$40+AV$41+AV$44+INDEX(CarryTiers,2,2)*AV$47+INDEX(CarryTiers,3,2)*AV$48+INDEX(CarryTiers,4,2)*AV$49</f>
        <v/>
      </c>
      <c r="AW50" s="52">
        <f>AW$40+AW$41+AW$44+INDEX(CarryTiers,2,2)*AW$47+INDEX(CarryTiers,3,2)*AW$48+INDEX(CarryTiers,4,2)*AW$49</f>
        <v/>
      </c>
      <c r="AX50" s="52">
        <f>AX$40+AX$41+AX$44+INDEX(CarryTiers,2,2)*AX$47+INDEX(CarryTiers,3,2)*AX$48+INDEX(CarryTiers,4,2)*AX$49</f>
        <v/>
      </c>
      <c r="AY50" s="52">
        <f>AY$40+AY$41+AY$44+INDEX(CarryTiers,2,2)*AY$47+INDEX(CarryTiers,3,2)*AY$48+INDEX(CarryTiers,4,2)*AY$49</f>
        <v/>
      </c>
      <c r="AZ50" s="52">
        <f>AZ$40+AZ$41+AZ$44+INDEX(CarryTiers,2,2)*AZ$47+INDEX(CarryTiers,3,2)*AZ$48+INDEX(CarryTiers,4,2)*AZ$49</f>
        <v/>
      </c>
      <c r="BA50" s="52">
        <f>BA$40+BA$41+BA$44+INDEX(CarryTiers,2,2)*BA$47+INDEX(CarryTiers,3,2)*BA$48+INDEX(CarryTiers,4,2)*BA$49</f>
        <v/>
      </c>
      <c r="BB50" s="52">
        <f>BB$40+BB$41+BB$44+INDEX(CarryTiers,2,2)*BB$47+INDEX(CarryTiers,3,2)*BB$48+INDEX(CarryTiers,4,2)*BB$49</f>
        <v/>
      </c>
      <c r="BC50" s="52">
        <f>BC$40+BC$41+BC$44+INDEX(CarryTiers,2,2)*BC$47+INDEX(CarryTiers,3,2)*BC$48+INDEX(CarryTiers,4,2)*BC$49</f>
        <v/>
      </c>
      <c r="BD50" s="52">
        <f>BD$40+BD$41+BD$44+INDEX(CarryTiers,2,2)*BD$47+INDEX(CarryTiers,3,2)*BD$48+INDEX(CarryTiers,4,2)*BD$49</f>
        <v/>
      </c>
      <c r="BE50" s="52">
        <f>BE$40+BE$41+BE$44+INDEX(CarryTiers,2,2)*BE$47+INDEX(CarryTiers,3,2)*BE$48+INDEX(CarryTiers,4,2)*BE$49</f>
        <v/>
      </c>
      <c r="BF50" s="52">
        <f>BF$40+BF$41+BF$44+INDEX(CarryTiers,2,2)*BF$47+INDEX(CarryTiers,3,2)*BF$48+INDEX(CarryTiers,4,2)*BF$49</f>
        <v/>
      </c>
      <c r="BG50" s="52">
        <f>BG$40+BG$41+BG$44+INDEX(CarryTiers,2,2)*BG$47+INDEX(CarryTiers,3,2)*BG$48+INDEX(CarryTiers,4,2)*BG$49</f>
        <v/>
      </c>
      <c r="BH50" s="52">
        <f>BH$40+BH$41+BH$44+INDEX(CarryTiers,2,2)*BH$47+INDEX(CarryTiers,3,2)*BH$48+INDEX(CarryTiers,4,2)*BH$49</f>
        <v/>
      </c>
      <c r="BI50" s="52">
        <f>BI$40+BI$41+BI$44+INDEX(CarryTiers,2,2)*BI$47+INDEX(CarryTiers,3,2)*BI$48+INDEX(CarryTiers,4,2)*BI$49</f>
        <v/>
      </c>
      <c r="BJ50" s="52">
        <f>BJ$40+BJ$41+BJ$44+INDEX(CarryTiers,2,2)*BJ$47+INDEX(CarryTiers,3,2)*BJ$48+INDEX(CarryTiers,4,2)*BJ$49</f>
        <v/>
      </c>
      <c r="BK50" s="52">
        <f>BK$40+BK$41+BK$44+INDEX(CarryTiers,2,2)*BK$47+INDEX(CarryTiers,3,2)*BK$48+INDEX(CarryTiers,4,2)*BK$49</f>
        <v/>
      </c>
      <c r="BL50" s="52">
        <f>BL$40+BL$41+BL$44+INDEX(CarryTiers,2,2)*BL$47+INDEX(CarryTiers,3,2)*BL$48+INDEX(CarryTiers,4,2)*BL$49</f>
        <v/>
      </c>
      <c r="BM50" s="52">
        <f>BM$40+BM$41+BM$44+INDEX(CarryTiers,2,2)*BM$47+INDEX(CarryTiers,3,2)*BM$48+INDEX(CarryTiers,4,2)*BM$49</f>
        <v/>
      </c>
      <c r="BN50" s="52">
        <f>BN$40+BN$41+BN$44+INDEX(CarryTiers,2,2)*BN$47+INDEX(CarryTiers,3,2)*BN$48+INDEX(CarryTiers,4,2)*BN$49</f>
        <v/>
      </c>
      <c r="BO50" s="52">
        <f>BO$40+BO$41+BO$44+INDEX(CarryTiers,2,2)*BO$47+INDEX(CarryTiers,3,2)*BO$48+INDEX(CarryTiers,4,2)*BO$49</f>
        <v/>
      </c>
      <c r="BP50" s="52">
        <f>BP$40+BP$41+BP$44+INDEX(CarryTiers,2,2)*BP$47+INDEX(CarryTiers,3,2)*BP$48+INDEX(CarryTiers,4,2)*BP$49</f>
        <v/>
      </c>
      <c r="BQ50" s="52">
        <f>BQ$40+BQ$41+BQ$44+INDEX(CarryTiers,2,2)*BQ$47+INDEX(CarryTiers,3,2)*BQ$48+INDEX(CarryTiers,4,2)*BQ$49</f>
        <v/>
      </c>
      <c r="BR50" s="52">
        <f>BR$40+BR$41+BR$44+INDEX(CarryTiers,2,2)*BR$47+INDEX(CarryTiers,3,2)*BR$48+INDEX(CarryTiers,4,2)*BR$49</f>
        <v/>
      </c>
      <c r="BS50" s="52">
        <f>BS$40+BS$41+BS$44+INDEX(CarryTiers,2,2)*BS$47+INDEX(CarryTiers,3,2)*BS$48+INDEX(CarryTiers,4,2)*BS$49</f>
        <v/>
      </c>
      <c r="BT50" s="52">
        <f>BT$40+BT$41+BT$44+INDEX(CarryTiers,2,2)*BT$47+INDEX(CarryTiers,3,2)*BT$48+INDEX(CarryTiers,4,2)*BT$49</f>
        <v/>
      </c>
      <c r="BU50" s="52">
        <f>BU$40+BU$41+BU$44+INDEX(CarryTiers,2,2)*BU$47+INDEX(CarryTiers,3,2)*BU$48+INDEX(CarryTiers,4,2)*BU$49</f>
        <v/>
      </c>
      <c r="BV50" s="52">
        <f>BV$40+BV$41+BV$44+INDEX(CarryTiers,2,2)*BV$47+INDEX(CarryTiers,3,2)*BV$48+INDEX(CarryTiers,4,2)*BV$49</f>
        <v/>
      </c>
      <c r="BW50" s="52">
        <f>BW$40+BW$41+BW$44+INDEX(CarryTiers,2,2)*BW$47+INDEX(CarryTiers,3,2)*BW$48+INDEX(CarryTiers,4,2)*BW$49</f>
        <v/>
      </c>
      <c r="BX50" s="52">
        <f>BX$40+BX$41+BX$44+INDEX(CarryTiers,2,2)*BX$47+INDEX(CarryTiers,3,2)*BX$48+INDEX(CarryTiers,4,2)*BX$49</f>
        <v/>
      </c>
      <c r="BY50" s="52">
        <f>BY$40+BY$41+BY$44+INDEX(CarryTiers,2,2)*BY$47+INDEX(CarryTiers,3,2)*BY$48+INDEX(CarryTiers,4,2)*BY$49</f>
        <v/>
      </c>
      <c r="BZ50" s="52">
        <f>BZ$40+BZ$41+BZ$44+INDEX(CarryTiers,2,2)*BZ$47+INDEX(CarryTiers,3,2)*BZ$48+INDEX(CarryTiers,4,2)*BZ$49</f>
        <v/>
      </c>
      <c r="CA50" s="52">
        <f>CA$40+CA$41+CA$44+INDEX(CarryTiers,2,2)*CA$47+INDEX(CarryTiers,3,2)*CA$48+INDEX(CarryTiers,4,2)*CA$49</f>
        <v/>
      </c>
      <c r="CB50" s="52">
        <f>CB$40+CB$41+CB$44+INDEX(CarryTiers,2,2)*CB$47+INDEX(CarryTiers,3,2)*CB$48+INDEX(CarryTiers,4,2)*CB$49</f>
        <v/>
      </c>
      <c r="CC50" s="52">
        <f>CC$40+CC$41+CC$44+INDEX(CarryTiers,2,2)*CC$47+INDEX(CarryTiers,3,2)*CC$48+INDEX(CarryTiers,4,2)*CC$49</f>
        <v/>
      </c>
      <c r="CD50" s="52">
        <f>CD$40+CD$41+CD$44+INDEX(CarryTiers,2,2)*CD$47+INDEX(CarryTiers,3,2)*CD$48+INDEX(CarryTiers,4,2)*CD$49</f>
        <v/>
      </c>
      <c r="CE50" s="52">
        <f>CE$40+CE$41+CE$44+INDEX(CarryTiers,2,2)*CE$47+INDEX(CarryTiers,3,2)*CE$48+INDEX(CarryTiers,4,2)*CE$49</f>
        <v/>
      </c>
      <c r="CF50" s="52">
        <f>CF$40+CF$41+CF$44+INDEX(CarryTiers,2,2)*CF$47+INDEX(CarryTiers,3,2)*CF$48+INDEX(CarryTiers,4,2)*CF$49</f>
        <v/>
      </c>
      <c r="CG50" s="52">
        <f>CG$40+CG$41+CG$44+INDEX(CarryTiers,2,2)*CG$47+INDEX(CarryTiers,3,2)*CG$48+INDEX(CarryTiers,4,2)*CG$49</f>
        <v/>
      </c>
      <c r="CH50" s="52">
        <f>CH$40+CH$41+CH$44+INDEX(CarryTiers,2,2)*CH$47+INDEX(CarryTiers,3,2)*CH$48+INDEX(CarryTiers,4,2)*CH$49</f>
        <v/>
      </c>
      <c r="CI50" s="52">
        <f>CI$40+CI$41+CI$44+INDEX(CarryTiers,2,2)*CI$47+INDEX(CarryTiers,3,2)*CI$48+INDEX(CarryTiers,4,2)*CI$49</f>
        <v/>
      </c>
      <c r="CJ50" s="52">
        <f>CJ$40+CJ$41+CJ$44+INDEX(CarryTiers,2,2)*CJ$47+INDEX(CarryTiers,3,2)*CJ$48+INDEX(CarryTiers,4,2)*CJ$49</f>
        <v/>
      </c>
      <c r="CK50" s="52">
        <f>CK$40+CK$41+CK$44+INDEX(CarryTiers,2,2)*CK$47+INDEX(CarryTiers,3,2)*CK$48+INDEX(CarryTiers,4,2)*CK$49</f>
        <v/>
      </c>
      <c r="CL50" s="52">
        <f>CL$40+CL$41+CL$44+INDEX(CarryTiers,2,2)*CL$47+INDEX(CarryTiers,3,2)*CL$48+INDEX(CarryTiers,4,2)*CL$49</f>
        <v/>
      </c>
      <c r="CM50" s="52">
        <f>CM$40+CM$41+CM$44+INDEX(CarryTiers,2,2)*CM$47+INDEX(CarryTiers,3,2)*CM$48+INDEX(CarryTiers,4,2)*CM$49</f>
        <v/>
      </c>
      <c r="CN50" s="52">
        <f>CN$40+CN$41+CN$44+INDEX(CarryTiers,2,2)*CN$47+INDEX(CarryTiers,3,2)*CN$48+INDEX(CarryTiers,4,2)*CN$49</f>
        <v/>
      </c>
      <c r="CO50" s="52">
        <f>CO$40+CO$41+CO$44+INDEX(CarryTiers,2,2)*CO$47+INDEX(CarryTiers,3,2)*CO$48+INDEX(CarryTiers,4,2)*CO$49</f>
        <v/>
      </c>
      <c r="CP50" s="52">
        <f>CP$40+CP$41+CP$44+INDEX(CarryTiers,2,2)*CP$47+INDEX(CarryTiers,3,2)*CP$48+INDEX(CarryTiers,4,2)*CP$49</f>
        <v/>
      </c>
      <c r="CQ50" s="52">
        <f>CQ$40+CQ$41+CQ$44+INDEX(CarryTiers,2,2)*CQ$47+INDEX(CarryTiers,3,2)*CQ$48+INDEX(CarryTiers,4,2)*CQ$49</f>
        <v/>
      </c>
      <c r="CR50" s="52">
        <f>CR$40+CR$41+CR$44+INDEX(CarryTiers,2,2)*CR$47+INDEX(CarryTiers,3,2)*CR$48+INDEX(CarryTiers,4,2)*CR$49</f>
        <v/>
      </c>
      <c r="CS50" s="52">
        <f>CS$40+CS$41+CS$44+INDEX(CarryTiers,2,2)*CS$47+INDEX(CarryTiers,3,2)*CS$48+INDEX(CarryTiers,4,2)*CS$49</f>
        <v/>
      </c>
      <c r="CT50" s="52">
        <f>CT$40+CT$41+CT$44+INDEX(CarryTiers,2,2)*CT$47+INDEX(CarryTiers,3,2)*CT$48+INDEX(CarryTiers,4,2)*CT$49</f>
        <v/>
      </c>
      <c r="CU50" s="52">
        <f>CU$40+CU$41+CU$44+INDEX(CarryTiers,2,2)*CU$47+INDEX(CarryTiers,3,2)*CU$48+INDEX(CarryTiers,4,2)*CU$49</f>
        <v/>
      </c>
      <c r="CV50" s="52">
        <f>CV$40+CV$41+CV$44+INDEX(CarryTiers,2,2)*CV$47+INDEX(CarryTiers,3,2)*CV$48+INDEX(CarryTiers,4,2)*CV$49</f>
        <v/>
      </c>
      <c r="CW50" s="52">
        <f>CW$40+CW$41+CW$44+INDEX(CarryTiers,2,2)*CW$47+INDEX(CarryTiers,3,2)*CW$48+INDEX(CarryTiers,4,2)*CW$49</f>
        <v/>
      </c>
      <c r="CX50" s="52">
        <f>CX$40+CX$41+CX$44+INDEX(CarryTiers,2,2)*CX$47+INDEX(CarryTiers,3,2)*CX$48+INDEX(CarryTiers,4,2)*CX$49</f>
        <v/>
      </c>
      <c r="CY50" s="52">
        <f>CY$40+CY$41+CY$44+INDEX(CarryTiers,2,2)*CY$47+INDEX(CarryTiers,3,2)*CY$48+INDEX(CarryTiers,4,2)*CY$49</f>
        <v/>
      </c>
      <c r="CZ50" s="52">
        <f>CZ$40+CZ$41+CZ$44+INDEX(CarryTiers,2,2)*CZ$47+INDEX(CarryTiers,3,2)*CZ$48+INDEX(CarryTiers,4,2)*CZ$49</f>
        <v/>
      </c>
      <c r="DA50" s="52">
        <f>DA$40+DA$41+DA$44+INDEX(CarryTiers,2,2)*DA$47+INDEX(CarryTiers,3,2)*DA$48+INDEX(CarryTiers,4,2)*DA$49</f>
        <v/>
      </c>
      <c r="DB50" s="52">
        <f>DB$40+DB$41+DB$44+INDEX(CarryTiers,2,2)*DB$47+INDEX(CarryTiers,3,2)*DB$48+INDEX(CarryTiers,4,2)*DB$49</f>
        <v/>
      </c>
      <c r="DC50" s="52">
        <f>DC$40+DC$41+DC$44+INDEX(CarryTiers,2,2)*DC$47+INDEX(CarryTiers,3,2)*DC$48+INDEX(CarryTiers,4,2)*DC$49</f>
        <v/>
      </c>
      <c r="DD50" s="52">
        <f>DD$40+DD$41+DD$44+INDEX(CarryTiers,2,2)*DD$47+INDEX(CarryTiers,3,2)*DD$48+INDEX(CarryTiers,4,2)*DD$49</f>
        <v/>
      </c>
      <c r="DE50" s="52">
        <f>DE$40+DE$41+DE$44+INDEX(CarryTiers,2,2)*DE$47+INDEX(CarryTiers,3,2)*DE$48+INDEX(CarryTiers,4,2)*DE$49</f>
        <v/>
      </c>
      <c r="DF50" s="52">
        <f>DF$40+DF$41+DF$44+INDEX(CarryTiers,2,2)*DF$47+INDEX(CarryTiers,3,2)*DF$48+INDEX(CarryTiers,4,2)*DF$49</f>
        <v/>
      </c>
      <c r="DG50" s="52">
        <f>DG$40+DG$41+DG$44+INDEX(CarryTiers,2,2)*DG$47+INDEX(CarryTiers,3,2)*DG$48+INDEX(CarryTiers,4,2)*DG$49</f>
        <v/>
      </c>
      <c r="DH50" s="52">
        <f>DH$40+DH$41+DH$44+INDEX(CarryTiers,2,2)*DH$47+INDEX(CarryTiers,3,2)*DH$48+INDEX(CarryTiers,4,2)*DH$49</f>
        <v/>
      </c>
      <c r="DI50" s="52">
        <f>DI$40+DI$41+DI$44+INDEX(CarryTiers,2,2)*DI$47+INDEX(CarryTiers,3,2)*DI$48+INDEX(CarryTiers,4,2)*DI$49</f>
        <v/>
      </c>
      <c r="DJ50" s="52">
        <f>DJ$40+DJ$41+DJ$44+INDEX(CarryTiers,2,2)*DJ$47+INDEX(CarryTiers,3,2)*DJ$48+INDEX(CarryTiers,4,2)*DJ$49</f>
        <v/>
      </c>
      <c r="DK50" s="52">
        <f>DK$40+DK$41+DK$44+INDEX(CarryTiers,2,2)*DK$47+INDEX(CarryTiers,3,2)*DK$48+INDEX(CarryTiers,4,2)*DK$49</f>
        <v/>
      </c>
      <c r="DL50" s="52">
        <f>DL$40+DL$41+DL$44+INDEX(CarryTiers,2,2)*DL$47+INDEX(CarryTiers,3,2)*DL$48+INDEX(CarryTiers,4,2)*DL$49</f>
        <v/>
      </c>
      <c r="DM50" s="52">
        <f>DM$40+DM$41+DM$44+INDEX(CarryTiers,2,2)*DM$47+INDEX(CarryTiers,3,2)*DM$48+INDEX(CarryTiers,4,2)*DM$49</f>
        <v/>
      </c>
      <c r="DN50" s="52">
        <f>DN$40+DN$41+DN$44+INDEX(CarryTiers,2,2)*DN$47+INDEX(CarryTiers,3,2)*DN$48+INDEX(CarryTiers,4,2)*DN$49</f>
        <v/>
      </c>
      <c r="DO50" s="52">
        <f>DO$40+DO$41+DO$44+INDEX(CarryTiers,2,2)*DO$47+INDEX(CarryTiers,3,2)*DO$48+INDEX(CarryTiers,4,2)*DO$49</f>
        <v/>
      </c>
      <c r="DP50" s="52">
        <f>DP$40+DP$41+DP$44+INDEX(CarryTiers,2,2)*DP$47+INDEX(CarryTiers,3,2)*DP$48+INDEX(CarryTiers,4,2)*DP$49</f>
        <v/>
      </c>
      <c r="DQ50" s="52">
        <f>DQ$40+DQ$41+DQ$44+INDEX(CarryTiers,2,2)*DQ$47+INDEX(CarryTiers,3,2)*DQ$48+INDEX(CarryTiers,4,2)*DQ$49</f>
        <v/>
      </c>
      <c r="DR50" s="52">
        <f>DR$40+DR$41+DR$44+INDEX(CarryTiers,2,2)*DR$47+INDEX(CarryTiers,3,2)*DR$48+INDEX(CarryTiers,4,2)*DR$49</f>
        <v/>
      </c>
      <c r="DS50" s="52">
        <f>DS$40+DS$41+DS$44+INDEX(CarryTiers,2,2)*DS$47+INDEX(CarryTiers,3,2)*DS$48+INDEX(CarryTiers,4,2)*DS$49</f>
        <v/>
      </c>
      <c r="DT50" s="52">
        <f>DT$40+DT$41+DT$44+INDEX(CarryTiers,2,2)*DT$47+INDEX(CarryTiers,3,2)*DT$48+INDEX(CarryTiers,4,2)*DT$49</f>
        <v/>
      </c>
    </row>
    <row r="51">
      <c r="A51" s="10" t="inlineStr">
        <is>
          <t>GP promote (catch-up + carry)</t>
        </is>
      </c>
      <c r="E51" s="52">
        <f>E$43+INDEX(CarryTiers,2,3)*E$47+INDEX(CarryTiers,3,3)*E$48+INDEX(CarryTiers,4,3)*E$49</f>
        <v/>
      </c>
      <c r="F51" s="52">
        <f>F$43+INDEX(CarryTiers,2,3)*F$47+INDEX(CarryTiers,3,3)*F$48+INDEX(CarryTiers,4,3)*F$49</f>
        <v/>
      </c>
      <c r="G51" s="52">
        <f>G$43+INDEX(CarryTiers,2,3)*G$47+INDEX(CarryTiers,3,3)*G$48+INDEX(CarryTiers,4,3)*G$49</f>
        <v/>
      </c>
      <c r="H51" s="52">
        <f>H$43+INDEX(CarryTiers,2,3)*H$47+INDEX(CarryTiers,3,3)*H$48+INDEX(CarryTiers,4,3)*H$49</f>
        <v/>
      </c>
      <c r="I51" s="52">
        <f>I$43+INDEX(CarryTiers,2,3)*I$47+INDEX(CarryTiers,3,3)*I$48+INDEX(CarryTiers,4,3)*I$49</f>
        <v/>
      </c>
      <c r="J51" s="52">
        <f>J$43+INDEX(CarryTiers,2,3)*J$47+INDEX(CarryTiers,3,3)*J$48+INDEX(CarryTiers,4,3)*J$49</f>
        <v/>
      </c>
      <c r="K51" s="52">
        <f>K$43+INDEX(CarryTiers,2,3)*K$47+INDEX(CarryTiers,3,3)*K$48+INDEX(CarryTiers,4,3)*K$49</f>
        <v/>
      </c>
      <c r="L51" s="52">
        <f>L$43+INDEX(CarryTiers,2,3)*L$47+INDEX(CarryTiers,3,3)*L$48+INDEX(CarryTiers,4,3)*L$49</f>
        <v/>
      </c>
      <c r="M51" s="52">
        <f>M$43+INDEX(CarryTiers,2,3)*M$47+INDEX(CarryTiers,3,3)*M$48+INDEX(CarryTiers,4,3)*M$49</f>
        <v/>
      </c>
      <c r="N51" s="52">
        <f>N$43+INDEX(CarryTiers,2,3)*N$47+INDEX(CarryTiers,3,3)*N$48+INDEX(CarryTiers,4,3)*N$49</f>
        <v/>
      </c>
      <c r="O51" s="52">
        <f>O$43+INDEX(CarryTiers,2,3)*O$47+INDEX(CarryTiers,3,3)*O$48+INDEX(CarryTiers,4,3)*O$49</f>
        <v/>
      </c>
      <c r="P51" s="52">
        <f>P$43+INDEX(CarryTiers,2,3)*P$47+INDEX(CarryTiers,3,3)*P$48+INDEX(CarryTiers,4,3)*P$49</f>
        <v/>
      </c>
      <c r="Q51" s="52">
        <f>Q$43+INDEX(CarryTiers,2,3)*Q$47+INDEX(CarryTiers,3,3)*Q$48+INDEX(CarryTiers,4,3)*Q$49</f>
        <v/>
      </c>
      <c r="R51" s="52">
        <f>R$43+INDEX(CarryTiers,2,3)*R$47+INDEX(CarryTiers,3,3)*R$48+INDEX(CarryTiers,4,3)*R$49</f>
        <v/>
      </c>
      <c r="S51" s="52">
        <f>S$43+INDEX(CarryTiers,2,3)*S$47+INDEX(CarryTiers,3,3)*S$48+INDEX(CarryTiers,4,3)*S$49</f>
        <v/>
      </c>
      <c r="T51" s="52">
        <f>T$43+INDEX(CarryTiers,2,3)*T$47+INDEX(CarryTiers,3,3)*T$48+INDEX(CarryTiers,4,3)*T$49</f>
        <v/>
      </c>
      <c r="U51" s="52">
        <f>U$43+INDEX(CarryTiers,2,3)*U$47+INDEX(CarryTiers,3,3)*U$48+INDEX(CarryTiers,4,3)*U$49</f>
        <v/>
      </c>
      <c r="V51" s="52">
        <f>V$43+INDEX(CarryTiers,2,3)*V$47+INDEX(CarryTiers,3,3)*V$48+INDEX(CarryTiers,4,3)*V$49</f>
        <v/>
      </c>
      <c r="W51" s="52">
        <f>W$43+INDEX(CarryTiers,2,3)*W$47+INDEX(CarryTiers,3,3)*W$48+INDEX(CarryTiers,4,3)*W$49</f>
        <v/>
      </c>
      <c r="X51" s="52">
        <f>X$43+INDEX(CarryTiers,2,3)*X$47+INDEX(CarryTiers,3,3)*X$48+INDEX(CarryTiers,4,3)*X$49</f>
        <v/>
      </c>
      <c r="Y51" s="52">
        <f>Y$43+INDEX(CarryTiers,2,3)*Y$47+INDEX(CarryTiers,3,3)*Y$48+INDEX(CarryTiers,4,3)*Y$49</f>
        <v/>
      </c>
      <c r="Z51" s="52">
        <f>Z$43+INDEX(CarryTiers,2,3)*Z$47+INDEX(CarryTiers,3,3)*Z$48+INDEX(CarryTiers,4,3)*Z$49</f>
        <v/>
      </c>
      <c r="AA51" s="52">
        <f>AA$43+INDEX(CarryTiers,2,3)*AA$47+INDEX(CarryTiers,3,3)*AA$48+INDEX(CarryTiers,4,3)*AA$49</f>
        <v/>
      </c>
      <c r="AB51" s="52">
        <f>AB$43+INDEX(CarryTiers,2,3)*AB$47+INDEX(CarryTiers,3,3)*AB$48+INDEX(CarryTiers,4,3)*AB$49</f>
        <v/>
      </c>
      <c r="AC51" s="52">
        <f>AC$43+INDEX(CarryTiers,2,3)*AC$47+INDEX(CarryTiers,3,3)*AC$48+INDEX(CarryTiers,4,3)*AC$49</f>
        <v/>
      </c>
      <c r="AD51" s="52">
        <f>AD$43+INDEX(CarryTiers,2,3)*AD$47+INDEX(CarryTiers,3,3)*AD$48+INDEX(CarryTiers,4,3)*AD$49</f>
        <v/>
      </c>
      <c r="AE51" s="52">
        <f>AE$43+INDEX(CarryTiers,2,3)*AE$47+INDEX(CarryTiers,3,3)*AE$48+INDEX(CarryTiers,4,3)*AE$49</f>
        <v/>
      </c>
      <c r="AF51" s="52">
        <f>AF$43+INDEX(CarryTiers,2,3)*AF$47+INDEX(CarryTiers,3,3)*AF$48+INDEX(CarryTiers,4,3)*AF$49</f>
        <v/>
      </c>
      <c r="AG51" s="52">
        <f>AG$43+INDEX(CarryTiers,2,3)*AG$47+INDEX(CarryTiers,3,3)*AG$48+INDEX(CarryTiers,4,3)*AG$49</f>
        <v/>
      </c>
      <c r="AH51" s="52">
        <f>AH$43+INDEX(CarryTiers,2,3)*AH$47+INDEX(CarryTiers,3,3)*AH$48+INDEX(CarryTiers,4,3)*AH$49</f>
        <v/>
      </c>
      <c r="AI51" s="52">
        <f>AI$43+INDEX(CarryTiers,2,3)*AI$47+INDEX(CarryTiers,3,3)*AI$48+INDEX(CarryTiers,4,3)*AI$49</f>
        <v/>
      </c>
      <c r="AJ51" s="52">
        <f>AJ$43+INDEX(CarryTiers,2,3)*AJ$47+INDEX(CarryTiers,3,3)*AJ$48+INDEX(CarryTiers,4,3)*AJ$49</f>
        <v/>
      </c>
      <c r="AK51" s="52">
        <f>AK$43+INDEX(CarryTiers,2,3)*AK$47+INDEX(CarryTiers,3,3)*AK$48+INDEX(CarryTiers,4,3)*AK$49</f>
        <v/>
      </c>
      <c r="AL51" s="52">
        <f>AL$43+INDEX(CarryTiers,2,3)*AL$47+INDEX(CarryTiers,3,3)*AL$48+INDEX(CarryTiers,4,3)*AL$49</f>
        <v/>
      </c>
      <c r="AM51" s="52">
        <f>AM$43+INDEX(CarryTiers,2,3)*AM$47+INDEX(CarryTiers,3,3)*AM$48+INDEX(CarryTiers,4,3)*AM$49</f>
        <v/>
      </c>
      <c r="AN51" s="52">
        <f>AN$43+INDEX(CarryTiers,2,3)*AN$47+INDEX(CarryTiers,3,3)*AN$48+INDEX(CarryTiers,4,3)*AN$49</f>
        <v/>
      </c>
      <c r="AO51" s="52">
        <f>AO$43+INDEX(CarryTiers,2,3)*AO$47+INDEX(CarryTiers,3,3)*AO$48+INDEX(CarryTiers,4,3)*AO$49</f>
        <v/>
      </c>
      <c r="AP51" s="52">
        <f>AP$43+INDEX(CarryTiers,2,3)*AP$47+INDEX(CarryTiers,3,3)*AP$48+INDEX(CarryTiers,4,3)*AP$49</f>
        <v/>
      </c>
      <c r="AQ51" s="52">
        <f>AQ$43+INDEX(CarryTiers,2,3)*AQ$47+INDEX(CarryTiers,3,3)*AQ$48+INDEX(CarryTiers,4,3)*AQ$49</f>
        <v/>
      </c>
      <c r="AR51" s="52">
        <f>AR$43+INDEX(CarryTiers,2,3)*AR$47+INDEX(CarryTiers,3,3)*AR$48+INDEX(CarryTiers,4,3)*AR$49</f>
        <v/>
      </c>
      <c r="AS51" s="52">
        <f>AS$43+INDEX(CarryTiers,2,3)*AS$47+INDEX(CarryTiers,3,3)*AS$48+INDEX(CarryTiers,4,3)*AS$49</f>
        <v/>
      </c>
      <c r="AT51" s="52">
        <f>AT$43+INDEX(CarryTiers,2,3)*AT$47+INDEX(CarryTiers,3,3)*AT$48+INDEX(CarryTiers,4,3)*AT$49</f>
        <v/>
      </c>
      <c r="AU51" s="52">
        <f>AU$43+INDEX(CarryTiers,2,3)*AU$47+INDEX(CarryTiers,3,3)*AU$48+INDEX(CarryTiers,4,3)*AU$49</f>
        <v/>
      </c>
      <c r="AV51" s="52">
        <f>AV$43+INDEX(CarryTiers,2,3)*AV$47+INDEX(CarryTiers,3,3)*AV$48+INDEX(CarryTiers,4,3)*AV$49</f>
        <v/>
      </c>
      <c r="AW51" s="52">
        <f>AW$43+INDEX(CarryTiers,2,3)*AW$47+INDEX(CarryTiers,3,3)*AW$48+INDEX(CarryTiers,4,3)*AW$49</f>
        <v/>
      </c>
      <c r="AX51" s="52">
        <f>AX$43+INDEX(CarryTiers,2,3)*AX$47+INDEX(CarryTiers,3,3)*AX$48+INDEX(CarryTiers,4,3)*AX$49</f>
        <v/>
      </c>
      <c r="AY51" s="52">
        <f>AY$43+INDEX(CarryTiers,2,3)*AY$47+INDEX(CarryTiers,3,3)*AY$48+INDEX(CarryTiers,4,3)*AY$49</f>
        <v/>
      </c>
      <c r="AZ51" s="52">
        <f>AZ$43+INDEX(CarryTiers,2,3)*AZ$47+INDEX(CarryTiers,3,3)*AZ$48+INDEX(CarryTiers,4,3)*AZ$49</f>
        <v/>
      </c>
      <c r="BA51" s="52">
        <f>BA$43+INDEX(CarryTiers,2,3)*BA$47+INDEX(CarryTiers,3,3)*BA$48+INDEX(CarryTiers,4,3)*BA$49</f>
        <v/>
      </c>
      <c r="BB51" s="52">
        <f>BB$43+INDEX(CarryTiers,2,3)*BB$47+INDEX(CarryTiers,3,3)*BB$48+INDEX(CarryTiers,4,3)*BB$49</f>
        <v/>
      </c>
      <c r="BC51" s="52">
        <f>BC$43+INDEX(CarryTiers,2,3)*BC$47+INDEX(CarryTiers,3,3)*BC$48+INDEX(CarryTiers,4,3)*BC$49</f>
        <v/>
      </c>
      <c r="BD51" s="52">
        <f>BD$43+INDEX(CarryTiers,2,3)*BD$47+INDEX(CarryTiers,3,3)*BD$48+INDEX(CarryTiers,4,3)*BD$49</f>
        <v/>
      </c>
      <c r="BE51" s="52">
        <f>BE$43+INDEX(CarryTiers,2,3)*BE$47+INDEX(CarryTiers,3,3)*BE$48+INDEX(CarryTiers,4,3)*BE$49</f>
        <v/>
      </c>
      <c r="BF51" s="52">
        <f>BF$43+INDEX(CarryTiers,2,3)*BF$47+INDEX(CarryTiers,3,3)*BF$48+INDEX(CarryTiers,4,3)*BF$49</f>
        <v/>
      </c>
      <c r="BG51" s="52">
        <f>BG$43+INDEX(CarryTiers,2,3)*BG$47+INDEX(CarryTiers,3,3)*BG$48+INDEX(CarryTiers,4,3)*BG$49</f>
        <v/>
      </c>
      <c r="BH51" s="52">
        <f>BH$43+INDEX(CarryTiers,2,3)*BH$47+INDEX(CarryTiers,3,3)*BH$48+INDEX(CarryTiers,4,3)*BH$49</f>
        <v/>
      </c>
      <c r="BI51" s="52">
        <f>BI$43+INDEX(CarryTiers,2,3)*BI$47+INDEX(CarryTiers,3,3)*BI$48+INDEX(CarryTiers,4,3)*BI$49</f>
        <v/>
      </c>
      <c r="BJ51" s="52">
        <f>BJ$43+INDEX(CarryTiers,2,3)*BJ$47+INDEX(CarryTiers,3,3)*BJ$48+INDEX(CarryTiers,4,3)*BJ$49</f>
        <v/>
      </c>
      <c r="BK51" s="52">
        <f>BK$43+INDEX(CarryTiers,2,3)*BK$47+INDEX(CarryTiers,3,3)*BK$48+INDEX(CarryTiers,4,3)*BK$49</f>
        <v/>
      </c>
      <c r="BL51" s="52">
        <f>BL$43+INDEX(CarryTiers,2,3)*BL$47+INDEX(CarryTiers,3,3)*BL$48+INDEX(CarryTiers,4,3)*BL$49</f>
        <v/>
      </c>
      <c r="BM51" s="52">
        <f>BM$43+INDEX(CarryTiers,2,3)*BM$47+INDEX(CarryTiers,3,3)*BM$48+INDEX(CarryTiers,4,3)*BM$49</f>
        <v/>
      </c>
      <c r="BN51" s="52">
        <f>BN$43+INDEX(CarryTiers,2,3)*BN$47+INDEX(CarryTiers,3,3)*BN$48+INDEX(CarryTiers,4,3)*BN$49</f>
        <v/>
      </c>
      <c r="BO51" s="52">
        <f>BO$43+INDEX(CarryTiers,2,3)*BO$47+INDEX(CarryTiers,3,3)*BO$48+INDEX(CarryTiers,4,3)*BO$49</f>
        <v/>
      </c>
      <c r="BP51" s="52">
        <f>BP$43+INDEX(CarryTiers,2,3)*BP$47+INDEX(CarryTiers,3,3)*BP$48+INDEX(CarryTiers,4,3)*BP$49</f>
        <v/>
      </c>
      <c r="BQ51" s="52">
        <f>BQ$43+INDEX(CarryTiers,2,3)*BQ$47+INDEX(CarryTiers,3,3)*BQ$48+INDEX(CarryTiers,4,3)*BQ$49</f>
        <v/>
      </c>
      <c r="BR51" s="52">
        <f>BR$43+INDEX(CarryTiers,2,3)*BR$47+INDEX(CarryTiers,3,3)*BR$48+INDEX(CarryTiers,4,3)*BR$49</f>
        <v/>
      </c>
      <c r="BS51" s="52">
        <f>BS$43+INDEX(CarryTiers,2,3)*BS$47+INDEX(CarryTiers,3,3)*BS$48+INDEX(CarryTiers,4,3)*BS$49</f>
        <v/>
      </c>
      <c r="BT51" s="52">
        <f>BT$43+INDEX(CarryTiers,2,3)*BT$47+INDEX(CarryTiers,3,3)*BT$48+INDEX(CarryTiers,4,3)*BT$49</f>
        <v/>
      </c>
      <c r="BU51" s="52">
        <f>BU$43+INDEX(CarryTiers,2,3)*BU$47+INDEX(CarryTiers,3,3)*BU$48+INDEX(CarryTiers,4,3)*BU$49</f>
        <v/>
      </c>
      <c r="BV51" s="52">
        <f>BV$43+INDEX(CarryTiers,2,3)*BV$47+INDEX(CarryTiers,3,3)*BV$48+INDEX(CarryTiers,4,3)*BV$49</f>
        <v/>
      </c>
      <c r="BW51" s="52">
        <f>BW$43+INDEX(CarryTiers,2,3)*BW$47+INDEX(CarryTiers,3,3)*BW$48+INDEX(CarryTiers,4,3)*BW$49</f>
        <v/>
      </c>
      <c r="BX51" s="52">
        <f>BX$43+INDEX(CarryTiers,2,3)*BX$47+INDEX(CarryTiers,3,3)*BX$48+INDEX(CarryTiers,4,3)*BX$49</f>
        <v/>
      </c>
      <c r="BY51" s="52">
        <f>BY$43+INDEX(CarryTiers,2,3)*BY$47+INDEX(CarryTiers,3,3)*BY$48+INDEX(CarryTiers,4,3)*BY$49</f>
        <v/>
      </c>
      <c r="BZ51" s="52">
        <f>BZ$43+INDEX(CarryTiers,2,3)*BZ$47+INDEX(CarryTiers,3,3)*BZ$48+INDEX(CarryTiers,4,3)*BZ$49</f>
        <v/>
      </c>
      <c r="CA51" s="52">
        <f>CA$43+INDEX(CarryTiers,2,3)*CA$47+INDEX(CarryTiers,3,3)*CA$48+INDEX(CarryTiers,4,3)*CA$49</f>
        <v/>
      </c>
      <c r="CB51" s="52">
        <f>CB$43+INDEX(CarryTiers,2,3)*CB$47+INDEX(CarryTiers,3,3)*CB$48+INDEX(CarryTiers,4,3)*CB$49</f>
        <v/>
      </c>
      <c r="CC51" s="52">
        <f>CC$43+INDEX(CarryTiers,2,3)*CC$47+INDEX(CarryTiers,3,3)*CC$48+INDEX(CarryTiers,4,3)*CC$49</f>
        <v/>
      </c>
      <c r="CD51" s="52">
        <f>CD$43+INDEX(CarryTiers,2,3)*CD$47+INDEX(CarryTiers,3,3)*CD$48+INDEX(CarryTiers,4,3)*CD$49</f>
        <v/>
      </c>
      <c r="CE51" s="52">
        <f>CE$43+INDEX(CarryTiers,2,3)*CE$47+INDEX(CarryTiers,3,3)*CE$48+INDEX(CarryTiers,4,3)*CE$49</f>
        <v/>
      </c>
      <c r="CF51" s="52">
        <f>CF$43+INDEX(CarryTiers,2,3)*CF$47+INDEX(CarryTiers,3,3)*CF$48+INDEX(CarryTiers,4,3)*CF$49</f>
        <v/>
      </c>
      <c r="CG51" s="52">
        <f>CG$43+INDEX(CarryTiers,2,3)*CG$47+INDEX(CarryTiers,3,3)*CG$48+INDEX(CarryTiers,4,3)*CG$49</f>
        <v/>
      </c>
      <c r="CH51" s="52">
        <f>CH$43+INDEX(CarryTiers,2,3)*CH$47+INDEX(CarryTiers,3,3)*CH$48+INDEX(CarryTiers,4,3)*CH$49</f>
        <v/>
      </c>
      <c r="CI51" s="52">
        <f>CI$43+INDEX(CarryTiers,2,3)*CI$47+INDEX(CarryTiers,3,3)*CI$48+INDEX(CarryTiers,4,3)*CI$49</f>
        <v/>
      </c>
      <c r="CJ51" s="52">
        <f>CJ$43+INDEX(CarryTiers,2,3)*CJ$47+INDEX(CarryTiers,3,3)*CJ$48+INDEX(CarryTiers,4,3)*CJ$49</f>
        <v/>
      </c>
      <c r="CK51" s="52">
        <f>CK$43+INDEX(CarryTiers,2,3)*CK$47+INDEX(CarryTiers,3,3)*CK$48+INDEX(CarryTiers,4,3)*CK$49</f>
        <v/>
      </c>
      <c r="CL51" s="52">
        <f>CL$43+INDEX(CarryTiers,2,3)*CL$47+INDEX(CarryTiers,3,3)*CL$48+INDEX(CarryTiers,4,3)*CL$49</f>
        <v/>
      </c>
      <c r="CM51" s="52">
        <f>CM$43+INDEX(CarryTiers,2,3)*CM$47+INDEX(CarryTiers,3,3)*CM$48+INDEX(CarryTiers,4,3)*CM$49</f>
        <v/>
      </c>
      <c r="CN51" s="52">
        <f>CN$43+INDEX(CarryTiers,2,3)*CN$47+INDEX(CarryTiers,3,3)*CN$48+INDEX(CarryTiers,4,3)*CN$49</f>
        <v/>
      </c>
      <c r="CO51" s="52">
        <f>CO$43+INDEX(CarryTiers,2,3)*CO$47+INDEX(CarryTiers,3,3)*CO$48+INDEX(CarryTiers,4,3)*CO$49</f>
        <v/>
      </c>
      <c r="CP51" s="52">
        <f>CP$43+INDEX(CarryTiers,2,3)*CP$47+INDEX(CarryTiers,3,3)*CP$48+INDEX(CarryTiers,4,3)*CP$49</f>
        <v/>
      </c>
      <c r="CQ51" s="52">
        <f>CQ$43+INDEX(CarryTiers,2,3)*CQ$47+INDEX(CarryTiers,3,3)*CQ$48+INDEX(CarryTiers,4,3)*CQ$49</f>
        <v/>
      </c>
      <c r="CR51" s="52">
        <f>CR$43+INDEX(CarryTiers,2,3)*CR$47+INDEX(CarryTiers,3,3)*CR$48+INDEX(CarryTiers,4,3)*CR$49</f>
        <v/>
      </c>
      <c r="CS51" s="52">
        <f>CS$43+INDEX(CarryTiers,2,3)*CS$47+INDEX(CarryTiers,3,3)*CS$48+INDEX(CarryTiers,4,3)*CS$49</f>
        <v/>
      </c>
      <c r="CT51" s="52">
        <f>CT$43+INDEX(CarryTiers,2,3)*CT$47+INDEX(CarryTiers,3,3)*CT$48+INDEX(CarryTiers,4,3)*CT$49</f>
        <v/>
      </c>
      <c r="CU51" s="52">
        <f>CU$43+INDEX(CarryTiers,2,3)*CU$47+INDEX(CarryTiers,3,3)*CU$48+INDEX(CarryTiers,4,3)*CU$49</f>
        <v/>
      </c>
      <c r="CV51" s="52">
        <f>CV$43+INDEX(CarryTiers,2,3)*CV$47+INDEX(CarryTiers,3,3)*CV$48+INDEX(CarryTiers,4,3)*CV$49</f>
        <v/>
      </c>
      <c r="CW51" s="52">
        <f>CW$43+INDEX(CarryTiers,2,3)*CW$47+INDEX(CarryTiers,3,3)*CW$48+INDEX(CarryTiers,4,3)*CW$49</f>
        <v/>
      </c>
      <c r="CX51" s="52">
        <f>CX$43+INDEX(CarryTiers,2,3)*CX$47+INDEX(CarryTiers,3,3)*CX$48+INDEX(CarryTiers,4,3)*CX$49</f>
        <v/>
      </c>
      <c r="CY51" s="52">
        <f>CY$43+INDEX(CarryTiers,2,3)*CY$47+INDEX(CarryTiers,3,3)*CY$48+INDEX(CarryTiers,4,3)*CY$49</f>
        <v/>
      </c>
      <c r="CZ51" s="52">
        <f>CZ$43+INDEX(CarryTiers,2,3)*CZ$47+INDEX(CarryTiers,3,3)*CZ$48+INDEX(CarryTiers,4,3)*CZ$49</f>
        <v/>
      </c>
      <c r="DA51" s="52">
        <f>DA$43+INDEX(CarryTiers,2,3)*DA$47+INDEX(CarryTiers,3,3)*DA$48+INDEX(CarryTiers,4,3)*DA$49</f>
        <v/>
      </c>
      <c r="DB51" s="52">
        <f>DB$43+INDEX(CarryTiers,2,3)*DB$47+INDEX(CarryTiers,3,3)*DB$48+INDEX(CarryTiers,4,3)*DB$49</f>
        <v/>
      </c>
      <c r="DC51" s="52">
        <f>DC$43+INDEX(CarryTiers,2,3)*DC$47+INDEX(CarryTiers,3,3)*DC$48+INDEX(CarryTiers,4,3)*DC$49</f>
        <v/>
      </c>
      <c r="DD51" s="52">
        <f>DD$43+INDEX(CarryTiers,2,3)*DD$47+INDEX(CarryTiers,3,3)*DD$48+INDEX(CarryTiers,4,3)*DD$49</f>
        <v/>
      </c>
      <c r="DE51" s="52">
        <f>DE$43+INDEX(CarryTiers,2,3)*DE$47+INDEX(CarryTiers,3,3)*DE$48+INDEX(CarryTiers,4,3)*DE$49</f>
        <v/>
      </c>
      <c r="DF51" s="52">
        <f>DF$43+INDEX(CarryTiers,2,3)*DF$47+INDEX(CarryTiers,3,3)*DF$48+INDEX(CarryTiers,4,3)*DF$49</f>
        <v/>
      </c>
      <c r="DG51" s="52">
        <f>DG$43+INDEX(CarryTiers,2,3)*DG$47+INDEX(CarryTiers,3,3)*DG$48+INDEX(CarryTiers,4,3)*DG$49</f>
        <v/>
      </c>
      <c r="DH51" s="52">
        <f>DH$43+INDEX(CarryTiers,2,3)*DH$47+INDEX(CarryTiers,3,3)*DH$48+INDEX(CarryTiers,4,3)*DH$49</f>
        <v/>
      </c>
      <c r="DI51" s="52">
        <f>DI$43+INDEX(CarryTiers,2,3)*DI$47+INDEX(CarryTiers,3,3)*DI$48+INDEX(CarryTiers,4,3)*DI$49</f>
        <v/>
      </c>
      <c r="DJ51" s="52">
        <f>DJ$43+INDEX(CarryTiers,2,3)*DJ$47+INDEX(CarryTiers,3,3)*DJ$48+INDEX(CarryTiers,4,3)*DJ$49</f>
        <v/>
      </c>
      <c r="DK51" s="52">
        <f>DK$43+INDEX(CarryTiers,2,3)*DK$47+INDEX(CarryTiers,3,3)*DK$48+INDEX(CarryTiers,4,3)*DK$49</f>
        <v/>
      </c>
      <c r="DL51" s="52">
        <f>DL$43+INDEX(CarryTiers,2,3)*DL$47+INDEX(CarryTiers,3,3)*DL$48+INDEX(CarryTiers,4,3)*DL$49</f>
        <v/>
      </c>
      <c r="DM51" s="52">
        <f>DM$43+INDEX(CarryTiers,2,3)*DM$47+INDEX(CarryTiers,3,3)*DM$48+INDEX(CarryTiers,4,3)*DM$49</f>
        <v/>
      </c>
      <c r="DN51" s="52">
        <f>DN$43+INDEX(CarryTiers,2,3)*DN$47+INDEX(CarryTiers,3,3)*DN$48+INDEX(CarryTiers,4,3)*DN$49</f>
        <v/>
      </c>
      <c r="DO51" s="52">
        <f>DO$43+INDEX(CarryTiers,2,3)*DO$47+INDEX(CarryTiers,3,3)*DO$48+INDEX(CarryTiers,4,3)*DO$49</f>
        <v/>
      </c>
      <c r="DP51" s="52">
        <f>DP$43+INDEX(CarryTiers,2,3)*DP$47+INDEX(CarryTiers,3,3)*DP$48+INDEX(CarryTiers,4,3)*DP$49</f>
        <v/>
      </c>
      <c r="DQ51" s="52">
        <f>DQ$43+INDEX(CarryTiers,2,3)*DQ$47+INDEX(CarryTiers,3,3)*DQ$48+INDEX(CarryTiers,4,3)*DQ$49</f>
        <v/>
      </c>
      <c r="DR51" s="52">
        <f>DR$43+INDEX(CarryTiers,2,3)*DR$47+INDEX(CarryTiers,3,3)*DR$48+INDEX(CarryTiers,4,3)*DR$49</f>
        <v/>
      </c>
      <c r="DS51" s="52">
        <f>DS$43+INDEX(CarryTiers,2,3)*DS$47+INDEX(CarryTiers,3,3)*DS$48+INDEX(CarryTiers,4,3)*DS$49</f>
        <v/>
      </c>
      <c r="DT51" s="52">
        <f>DT$43+INDEX(CarryTiers,2,3)*DT$47+INDEX(CarryTiers,3,3)*DT$48+INDEX(CarryTiers,4,3)*DT$49</f>
        <v/>
      </c>
    </row>
    <row r="52">
      <c r="A52" s="10" t="inlineStr">
        <is>
          <t>Unreturned capital (end)</t>
        </is>
      </c>
      <c r="E52" s="52">
        <f>0+E$37-E$40</f>
        <v/>
      </c>
      <c r="F52" s="52">
        <f>E$52+F$37-F$40</f>
        <v/>
      </c>
      <c r="G52" s="52">
        <f>F$52+G$37-G$40</f>
        <v/>
      </c>
      <c r="H52" s="52">
        <f>G$52+H$37-H$40</f>
        <v/>
      </c>
      <c r="I52" s="52">
        <f>H$52+I$37-I$40</f>
        <v/>
      </c>
      <c r="J52" s="52">
        <f>I$52+J$37-J$40</f>
        <v/>
      </c>
      <c r="K52" s="52">
        <f>J$52+K$37-K$40</f>
        <v/>
      </c>
      <c r="L52" s="52">
        <f>K$52+L$37-L$40</f>
        <v/>
      </c>
      <c r="M52" s="52">
        <f>L$52+M$37-M$40</f>
        <v/>
      </c>
      <c r="N52" s="52">
        <f>M$52+N$37-N$40</f>
        <v/>
      </c>
      <c r="O52" s="52">
        <f>N$52+O$37-O$40</f>
        <v/>
      </c>
      <c r="P52" s="52">
        <f>O$52+P$37-P$40</f>
        <v/>
      </c>
      <c r="Q52" s="52">
        <f>P$52+Q$37-Q$40</f>
        <v/>
      </c>
      <c r="R52" s="52">
        <f>Q$52+R$37-R$40</f>
        <v/>
      </c>
      <c r="S52" s="52">
        <f>R$52+S$37-S$40</f>
        <v/>
      </c>
      <c r="T52" s="52">
        <f>S$52+T$37-T$40</f>
        <v/>
      </c>
      <c r="U52" s="52">
        <f>T$52+U$37-U$40</f>
        <v/>
      </c>
      <c r="V52" s="52">
        <f>U$52+V$37-V$40</f>
        <v/>
      </c>
      <c r="W52" s="52">
        <f>V$52+W$37-W$40</f>
        <v/>
      </c>
      <c r="X52" s="52">
        <f>W$52+X$37-X$40</f>
        <v/>
      </c>
      <c r="Y52" s="52">
        <f>X$52+Y$37-Y$40</f>
        <v/>
      </c>
      <c r="Z52" s="52">
        <f>Y$52+Z$37-Z$40</f>
        <v/>
      </c>
      <c r="AA52" s="52">
        <f>Z$52+AA$37-AA$40</f>
        <v/>
      </c>
      <c r="AB52" s="52">
        <f>AA$52+AB$37-AB$40</f>
        <v/>
      </c>
      <c r="AC52" s="52">
        <f>AB$52+AC$37-AC$40</f>
        <v/>
      </c>
      <c r="AD52" s="52">
        <f>AC$52+AD$37-AD$40</f>
        <v/>
      </c>
      <c r="AE52" s="52">
        <f>AD$52+AE$37-AE$40</f>
        <v/>
      </c>
      <c r="AF52" s="52">
        <f>AE$52+AF$37-AF$40</f>
        <v/>
      </c>
      <c r="AG52" s="52">
        <f>AF$52+AG$37-AG$40</f>
        <v/>
      </c>
      <c r="AH52" s="52">
        <f>AG$52+AH$37-AH$40</f>
        <v/>
      </c>
      <c r="AI52" s="52">
        <f>AH$52+AI$37-AI$40</f>
        <v/>
      </c>
      <c r="AJ52" s="52">
        <f>AI$52+AJ$37-AJ$40</f>
        <v/>
      </c>
      <c r="AK52" s="52">
        <f>AJ$52+AK$37-AK$40</f>
        <v/>
      </c>
      <c r="AL52" s="52">
        <f>AK$52+AL$37-AL$40</f>
        <v/>
      </c>
      <c r="AM52" s="52">
        <f>AL$52+AM$37-AM$40</f>
        <v/>
      </c>
      <c r="AN52" s="52">
        <f>AM$52+AN$37-AN$40</f>
        <v/>
      </c>
      <c r="AO52" s="52">
        <f>AN$52+AO$37-AO$40</f>
        <v/>
      </c>
      <c r="AP52" s="52">
        <f>AO$52+AP$37-AP$40</f>
        <v/>
      </c>
      <c r="AQ52" s="52">
        <f>AP$52+AQ$37-AQ$40</f>
        <v/>
      </c>
      <c r="AR52" s="52">
        <f>AQ$52+AR$37-AR$40</f>
        <v/>
      </c>
      <c r="AS52" s="52">
        <f>AR$52+AS$37-AS$40</f>
        <v/>
      </c>
      <c r="AT52" s="52">
        <f>AS$52+AT$37-AT$40</f>
        <v/>
      </c>
      <c r="AU52" s="52">
        <f>AT$52+AU$37-AU$40</f>
        <v/>
      </c>
      <c r="AV52" s="52">
        <f>AU$52+AV$37-AV$40</f>
        <v/>
      </c>
      <c r="AW52" s="52">
        <f>AV$52+AW$37-AW$40</f>
        <v/>
      </c>
      <c r="AX52" s="52">
        <f>AW$52+AX$37-AX$40</f>
        <v/>
      </c>
      <c r="AY52" s="52">
        <f>AX$52+AY$37-AY$40</f>
        <v/>
      </c>
      <c r="AZ52" s="52">
        <f>AY$52+AZ$37-AZ$40</f>
        <v/>
      </c>
      <c r="BA52" s="52">
        <f>AZ$52+BA$37-BA$40</f>
        <v/>
      </c>
      <c r="BB52" s="52">
        <f>BA$52+BB$37-BB$40</f>
        <v/>
      </c>
      <c r="BC52" s="52">
        <f>BB$52+BC$37-BC$40</f>
        <v/>
      </c>
      <c r="BD52" s="52">
        <f>BC$52+BD$37-BD$40</f>
        <v/>
      </c>
      <c r="BE52" s="52">
        <f>BD$52+BE$37-BE$40</f>
        <v/>
      </c>
      <c r="BF52" s="52">
        <f>BE$52+BF$37-BF$40</f>
        <v/>
      </c>
      <c r="BG52" s="52">
        <f>BF$52+BG$37-BG$40</f>
        <v/>
      </c>
      <c r="BH52" s="52">
        <f>BG$52+BH$37-BH$40</f>
        <v/>
      </c>
      <c r="BI52" s="52">
        <f>BH$52+BI$37-BI$40</f>
        <v/>
      </c>
      <c r="BJ52" s="52">
        <f>BI$52+BJ$37-BJ$40</f>
        <v/>
      </c>
      <c r="BK52" s="52">
        <f>BJ$52+BK$37-BK$40</f>
        <v/>
      </c>
      <c r="BL52" s="52">
        <f>BK$52+BL$37-BL$40</f>
        <v/>
      </c>
      <c r="BM52" s="52">
        <f>BL$52+BM$37-BM$40</f>
        <v/>
      </c>
      <c r="BN52" s="52">
        <f>BM$52+BN$37-BN$40</f>
        <v/>
      </c>
      <c r="BO52" s="52">
        <f>BN$52+BO$37-BO$40</f>
        <v/>
      </c>
      <c r="BP52" s="52">
        <f>BO$52+BP$37-BP$40</f>
        <v/>
      </c>
      <c r="BQ52" s="52">
        <f>BP$52+BQ$37-BQ$40</f>
        <v/>
      </c>
      <c r="BR52" s="52">
        <f>BQ$52+BR$37-BR$40</f>
        <v/>
      </c>
      <c r="BS52" s="52">
        <f>BR$52+BS$37-BS$40</f>
        <v/>
      </c>
      <c r="BT52" s="52">
        <f>BS$52+BT$37-BT$40</f>
        <v/>
      </c>
      <c r="BU52" s="52">
        <f>BT$52+BU$37-BU$40</f>
        <v/>
      </c>
      <c r="BV52" s="52">
        <f>BU$52+BV$37-BV$40</f>
        <v/>
      </c>
      <c r="BW52" s="52">
        <f>BV$52+BW$37-BW$40</f>
        <v/>
      </c>
      <c r="BX52" s="52">
        <f>BW$52+BX$37-BX$40</f>
        <v/>
      </c>
      <c r="BY52" s="52">
        <f>BX$52+BY$37-BY$40</f>
        <v/>
      </c>
      <c r="BZ52" s="52">
        <f>BY$52+BZ$37-BZ$40</f>
        <v/>
      </c>
      <c r="CA52" s="52">
        <f>BZ$52+CA$37-CA$40</f>
        <v/>
      </c>
      <c r="CB52" s="52">
        <f>CA$52+CB$37-CB$40</f>
        <v/>
      </c>
      <c r="CC52" s="52">
        <f>CB$52+CC$37-CC$40</f>
        <v/>
      </c>
      <c r="CD52" s="52">
        <f>CC$52+CD$37-CD$40</f>
        <v/>
      </c>
      <c r="CE52" s="52">
        <f>CD$52+CE$37-CE$40</f>
        <v/>
      </c>
      <c r="CF52" s="52">
        <f>CE$52+CF$37-CF$40</f>
        <v/>
      </c>
      <c r="CG52" s="52">
        <f>CF$52+CG$37-CG$40</f>
        <v/>
      </c>
      <c r="CH52" s="52">
        <f>CG$52+CH$37-CH$40</f>
        <v/>
      </c>
      <c r="CI52" s="52">
        <f>CH$52+CI$37-CI$40</f>
        <v/>
      </c>
      <c r="CJ52" s="52">
        <f>CI$52+CJ$37-CJ$40</f>
        <v/>
      </c>
      <c r="CK52" s="52">
        <f>CJ$52+CK$37-CK$40</f>
        <v/>
      </c>
      <c r="CL52" s="52">
        <f>CK$52+CL$37-CL$40</f>
        <v/>
      </c>
      <c r="CM52" s="52">
        <f>CL$52+CM$37-CM$40</f>
        <v/>
      </c>
      <c r="CN52" s="52">
        <f>CM$52+CN$37-CN$40</f>
        <v/>
      </c>
      <c r="CO52" s="52">
        <f>CN$52+CO$37-CO$40</f>
        <v/>
      </c>
      <c r="CP52" s="52">
        <f>CO$52+CP$37-CP$40</f>
        <v/>
      </c>
      <c r="CQ52" s="52">
        <f>CP$52+CQ$37-CQ$40</f>
        <v/>
      </c>
      <c r="CR52" s="52">
        <f>CQ$52+CR$37-CR$40</f>
        <v/>
      </c>
      <c r="CS52" s="52">
        <f>CR$52+CS$37-CS$40</f>
        <v/>
      </c>
      <c r="CT52" s="52">
        <f>CS$52+CT$37-CT$40</f>
        <v/>
      </c>
      <c r="CU52" s="52">
        <f>CT$52+CU$37-CU$40</f>
        <v/>
      </c>
      <c r="CV52" s="52">
        <f>CU$52+CV$37-CV$40</f>
        <v/>
      </c>
      <c r="CW52" s="52">
        <f>CV$52+CW$37-CW$40</f>
        <v/>
      </c>
      <c r="CX52" s="52">
        <f>CW$52+CX$37-CX$40</f>
        <v/>
      </c>
      <c r="CY52" s="52">
        <f>CX$52+CY$37-CY$40</f>
        <v/>
      </c>
      <c r="CZ52" s="52">
        <f>CY$52+CZ$37-CZ$40</f>
        <v/>
      </c>
      <c r="DA52" s="52">
        <f>CZ$52+DA$37-DA$40</f>
        <v/>
      </c>
      <c r="DB52" s="52">
        <f>DA$52+DB$37-DB$40</f>
        <v/>
      </c>
      <c r="DC52" s="52">
        <f>DB$52+DC$37-DC$40</f>
        <v/>
      </c>
      <c r="DD52" s="52">
        <f>DC$52+DD$37-DD$40</f>
        <v/>
      </c>
      <c r="DE52" s="52">
        <f>DD$52+DE$37-DE$40</f>
        <v/>
      </c>
      <c r="DF52" s="52">
        <f>DE$52+DF$37-DF$40</f>
        <v/>
      </c>
      <c r="DG52" s="52">
        <f>DF$52+DG$37-DG$40</f>
        <v/>
      </c>
      <c r="DH52" s="52">
        <f>DG$52+DH$37-DH$40</f>
        <v/>
      </c>
      <c r="DI52" s="52">
        <f>DH$52+DI$37-DI$40</f>
        <v/>
      </c>
      <c r="DJ52" s="52">
        <f>DI$52+DJ$37-DJ$40</f>
        <v/>
      </c>
      <c r="DK52" s="52">
        <f>DJ$52+DK$37-DK$40</f>
        <v/>
      </c>
      <c r="DL52" s="52">
        <f>DK$52+DL$37-DL$40</f>
        <v/>
      </c>
      <c r="DM52" s="52">
        <f>DL$52+DM$37-DM$40</f>
        <v/>
      </c>
      <c r="DN52" s="52">
        <f>DM$52+DN$37-DN$40</f>
        <v/>
      </c>
      <c r="DO52" s="52">
        <f>DN$52+DO$37-DO$40</f>
        <v/>
      </c>
      <c r="DP52" s="52">
        <f>DO$52+DP$37-DP$40</f>
        <v/>
      </c>
      <c r="DQ52" s="52">
        <f>DP$52+DQ$37-DQ$40</f>
        <v/>
      </c>
      <c r="DR52" s="52">
        <f>DQ$52+DR$37-DR$40</f>
        <v/>
      </c>
      <c r="DS52" s="52">
        <f>DR$52+DS$37-DS$40</f>
        <v/>
      </c>
      <c r="DT52" s="52">
        <f>DS$52+DT$37-DT$40</f>
        <v/>
      </c>
    </row>
    <row r="53">
      <c r="A53" s="10" t="inlineStr">
        <is>
          <t>Pref balance (end)</t>
        </is>
      </c>
      <c r="E53" s="52">
        <f>0+E$39-E$41</f>
        <v/>
      </c>
      <c r="F53" s="52">
        <f>E$53+F$39-F$41</f>
        <v/>
      </c>
      <c r="G53" s="52">
        <f>F$53+G$39-G$41</f>
        <v/>
      </c>
      <c r="H53" s="52">
        <f>G$53+H$39-H$41</f>
        <v/>
      </c>
      <c r="I53" s="52">
        <f>H$53+I$39-I$41</f>
        <v/>
      </c>
      <c r="J53" s="52">
        <f>I$53+J$39-J$41</f>
        <v/>
      </c>
      <c r="K53" s="52">
        <f>J$53+K$39-K$41</f>
        <v/>
      </c>
      <c r="L53" s="52">
        <f>K$53+L$39-L$41</f>
        <v/>
      </c>
      <c r="M53" s="52">
        <f>L$53+M$39-M$41</f>
        <v/>
      </c>
      <c r="N53" s="52">
        <f>M$53+N$39-N$41</f>
        <v/>
      </c>
      <c r="O53" s="52">
        <f>N$53+O$39-O$41</f>
        <v/>
      </c>
      <c r="P53" s="52">
        <f>O$53+P$39-P$41</f>
        <v/>
      </c>
      <c r="Q53" s="52">
        <f>P$53+Q$39-Q$41</f>
        <v/>
      </c>
      <c r="R53" s="52">
        <f>Q$53+R$39-R$41</f>
        <v/>
      </c>
      <c r="S53" s="52">
        <f>R$53+S$39-S$41</f>
        <v/>
      </c>
      <c r="T53" s="52">
        <f>S$53+T$39-T$41</f>
        <v/>
      </c>
      <c r="U53" s="52">
        <f>T$53+U$39-U$41</f>
        <v/>
      </c>
      <c r="V53" s="52">
        <f>U$53+V$39-V$41</f>
        <v/>
      </c>
      <c r="W53" s="52">
        <f>V$53+W$39-W$41</f>
        <v/>
      </c>
      <c r="X53" s="52">
        <f>W$53+X$39-X$41</f>
        <v/>
      </c>
      <c r="Y53" s="52">
        <f>X$53+Y$39-Y$41</f>
        <v/>
      </c>
      <c r="Z53" s="52">
        <f>Y$53+Z$39-Z$41</f>
        <v/>
      </c>
      <c r="AA53" s="52">
        <f>Z$53+AA$39-AA$41</f>
        <v/>
      </c>
      <c r="AB53" s="52">
        <f>AA$53+AB$39-AB$41</f>
        <v/>
      </c>
      <c r="AC53" s="52">
        <f>AB$53+AC$39-AC$41</f>
        <v/>
      </c>
      <c r="AD53" s="52">
        <f>AC$53+AD$39-AD$41</f>
        <v/>
      </c>
      <c r="AE53" s="52">
        <f>AD$53+AE$39-AE$41</f>
        <v/>
      </c>
      <c r="AF53" s="52">
        <f>AE$53+AF$39-AF$41</f>
        <v/>
      </c>
      <c r="AG53" s="52">
        <f>AF$53+AG$39-AG$41</f>
        <v/>
      </c>
      <c r="AH53" s="52">
        <f>AG$53+AH$39-AH$41</f>
        <v/>
      </c>
      <c r="AI53" s="52">
        <f>AH$53+AI$39-AI$41</f>
        <v/>
      </c>
      <c r="AJ53" s="52">
        <f>AI$53+AJ$39-AJ$41</f>
        <v/>
      </c>
      <c r="AK53" s="52">
        <f>AJ$53+AK$39-AK$41</f>
        <v/>
      </c>
      <c r="AL53" s="52">
        <f>AK$53+AL$39-AL$41</f>
        <v/>
      </c>
      <c r="AM53" s="52">
        <f>AL$53+AM$39-AM$41</f>
        <v/>
      </c>
      <c r="AN53" s="52">
        <f>AM$53+AN$39-AN$41</f>
        <v/>
      </c>
      <c r="AO53" s="52">
        <f>AN$53+AO$39-AO$41</f>
        <v/>
      </c>
      <c r="AP53" s="52">
        <f>AO$53+AP$39-AP$41</f>
        <v/>
      </c>
      <c r="AQ53" s="52">
        <f>AP$53+AQ$39-AQ$41</f>
        <v/>
      </c>
      <c r="AR53" s="52">
        <f>AQ$53+AR$39-AR$41</f>
        <v/>
      </c>
      <c r="AS53" s="52">
        <f>AR$53+AS$39-AS$41</f>
        <v/>
      </c>
      <c r="AT53" s="52">
        <f>AS$53+AT$39-AT$41</f>
        <v/>
      </c>
      <c r="AU53" s="52">
        <f>AT$53+AU$39-AU$41</f>
        <v/>
      </c>
      <c r="AV53" s="52">
        <f>AU$53+AV$39-AV$41</f>
        <v/>
      </c>
      <c r="AW53" s="52">
        <f>AV$53+AW$39-AW$41</f>
        <v/>
      </c>
      <c r="AX53" s="52">
        <f>AW$53+AX$39-AX$41</f>
        <v/>
      </c>
      <c r="AY53" s="52">
        <f>AX$53+AY$39-AY$41</f>
        <v/>
      </c>
      <c r="AZ53" s="52">
        <f>AY$53+AZ$39-AZ$41</f>
        <v/>
      </c>
      <c r="BA53" s="52">
        <f>AZ$53+BA$39-BA$41</f>
        <v/>
      </c>
      <c r="BB53" s="52">
        <f>BA$53+BB$39-BB$41</f>
        <v/>
      </c>
      <c r="BC53" s="52">
        <f>BB$53+BC$39-BC$41</f>
        <v/>
      </c>
      <c r="BD53" s="52">
        <f>BC$53+BD$39-BD$41</f>
        <v/>
      </c>
      <c r="BE53" s="52">
        <f>BD$53+BE$39-BE$41</f>
        <v/>
      </c>
      <c r="BF53" s="52">
        <f>BE$53+BF$39-BF$41</f>
        <v/>
      </c>
      <c r="BG53" s="52">
        <f>BF$53+BG$39-BG$41</f>
        <v/>
      </c>
      <c r="BH53" s="52">
        <f>BG$53+BH$39-BH$41</f>
        <v/>
      </c>
      <c r="BI53" s="52">
        <f>BH$53+BI$39-BI$41</f>
        <v/>
      </c>
      <c r="BJ53" s="52">
        <f>BI$53+BJ$39-BJ$41</f>
        <v/>
      </c>
      <c r="BK53" s="52">
        <f>BJ$53+BK$39-BK$41</f>
        <v/>
      </c>
      <c r="BL53" s="52">
        <f>BK$53+BL$39-BL$41</f>
        <v/>
      </c>
      <c r="BM53" s="52">
        <f>BL$53+BM$39-BM$41</f>
        <v/>
      </c>
      <c r="BN53" s="52">
        <f>BM$53+BN$39-BN$41</f>
        <v/>
      </c>
      <c r="BO53" s="52">
        <f>BN$53+BO$39-BO$41</f>
        <v/>
      </c>
      <c r="BP53" s="52">
        <f>BO$53+BP$39-BP$41</f>
        <v/>
      </c>
      <c r="BQ53" s="52">
        <f>BP$53+BQ$39-BQ$41</f>
        <v/>
      </c>
      <c r="BR53" s="52">
        <f>BQ$53+BR$39-BR$41</f>
        <v/>
      </c>
      <c r="BS53" s="52">
        <f>BR$53+BS$39-BS$41</f>
        <v/>
      </c>
      <c r="BT53" s="52">
        <f>BS$53+BT$39-BT$41</f>
        <v/>
      </c>
      <c r="BU53" s="52">
        <f>BT$53+BU$39-BU$41</f>
        <v/>
      </c>
      <c r="BV53" s="52">
        <f>BU$53+BV$39-BV$41</f>
        <v/>
      </c>
      <c r="BW53" s="52">
        <f>BV$53+BW$39-BW$41</f>
        <v/>
      </c>
      <c r="BX53" s="52">
        <f>BW$53+BX$39-BX$41</f>
        <v/>
      </c>
      <c r="BY53" s="52">
        <f>BX$53+BY$39-BY$41</f>
        <v/>
      </c>
      <c r="BZ53" s="52">
        <f>BY$53+BZ$39-BZ$41</f>
        <v/>
      </c>
      <c r="CA53" s="52">
        <f>BZ$53+CA$39-CA$41</f>
        <v/>
      </c>
      <c r="CB53" s="52">
        <f>CA$53+CB$39-CB$41</f>
        <v/>
      </c>
      <c r="CC53" s="52">
        <f>CB$53+CC$39-CC$41</f>
        <v/>
      </c>
      <c r="CD53" s="52">
        <f>CC$53+CD$39-CD$41</f>
        <v/>
      </c>
      <c r="CE53" s="52">
        <f>CD$53+CE$39-CE$41</f>
        <v/>
      </c>
      <c r="CF53" s="52">
        <f>CE$53+CF$39-CF$41</f>
        <v/>
      </c>
      <c r="CG53" s="52">
        <f>CF$53+CG$39-CG$41</f>
        <v/>
      </c>
      <c r="CH53" s="52">
        <f>CG$53+CH$39-CH$41</f>
        <v/>
      </c>
      <c r="CI53" s="52">
        <f>CH$53+CI$39-CI$41</f>
        <v/>
      </c>
      <c r="CJ53" s="52">
        <f>CI$53+CJ$39-CJ$41</f>
        <v/>
      </c>
      <c r="CK53" s="52">
        <f>CJ$53+CK$39-CK$41</f>
        <v/>
      </c>
      <c r="CL53" s="52">
        <f>CK$53+CL$39-CL$41</f>
        <v/>
      </c>
      <c r="CM53" s="52">
        <f>CL$53+CM$39-CM$41</f>
        <v/>
      </c>
      <c r="CN53" s="52">
        <f>CM$53+CN$39-CN$41</f>
        <v/>
      </c>
      <c r="CO53" s="52">
        <f>CN$53+CO$39-CO$41</f>
        <v/>
      </c>
      <c r="CP53" s="52">
        <f>CO$53+CP$39-CP$41</f>
        <v/>
      </c>
      <c r="CQ53" s="52">
        <f>CP$53+CQ$39-CQ$41</f>
        <v/>
      </c>
      <c r="CR53" s="52">
        <f>CQ$53+CR$39-CR$41</f>
        <v/>
      </c>
      <c r="CS53" s="52">
        <f>CR$53+CS$39-CS$41</f>
        <v/>
      </c>
      <c r="CT53" s="52">
        <f>CS$53+CT$39-CT$41</f>
        <v/>
      </c>
      <c r="CU53" s="52">
        <f>CT$53+CU$39-CU$41</f>
        <v/>
      </c>
      <c r="CV53" s="52">
        <f>CU$53+CV$39-CV$41</f>
        <v/>
      </c>
      <c r="CW53" s="52">
        <f>CV$53+CW$39-CW$41</f>
        <v/>
      </c>
      <c r="CX53" s="52">
        <f>CW$53+CX$39-CX$41</f>
        <v/>
      </c>
      <c r="CY53" s="52">
        <f>CX$53+CY$39-CY$41</f>
        <v/>
      </c>
      <c r="CZ53" s="52">
        <f>CY$53+CZ$39-CZ$41</f>
        <v/>
      </c>
      <c r="DA53" s="52">
        <f>CZ$53+DA$39-DA$41</f>
        <v/>
      </c>
      <c r="DB53" s="52">
        <f>DA$53+DB$39-DB$41</f>
        <v/>
      </c>
      <c r="DC53" s="52">
        <f>DB$53+DC$39-DC$41</f>
        <v/>
      </c>
      <c r="DD53" s="52">
        <f>DC$53+DD$39-DD$41</f>
        <v/>
      </c>
      <c r="DE53" s="52">
        <f>DD$53+DE$39-DE$41</f>
        <v/>
      </c>
      <c r="DF53" s="52">
        <f>DE$53+DF$39-DF$41</f>
        <v/>
      </c>
      <c r="DG53" s="52">
        <f>DF$53+DG$39-DG$41</f>
        <v/>
      </c>
      <c r="DH53" s="52">
        <f>DG$53+DH$39-DH$41</f>
        <v/>
      </c>
      <c r="DI53" s="52">
        <f>DH$53+DI$39-DI$41</f>
        <v/>
      </c>
      <c r="DJ53" s="52">
        <f>DI$53+DJ$39-DJ$41</f>
        <v/>
      </c>
      <c r="DK53" s="52">
        <f>DJ$53+DK$39-DK$41</f>
        <v/>
      </c>
      <c r="DL53" s="52">
        <f>DK$53+DL$39-DL$41</f>
        <v/>
      </c>
      <c r="DM53" s="52">
        <f>DL$53+DM$39-DM$41</f>
        <v/>
      </c>
      <c r="DN53" s="52">
        <f>DM$53+DN$39-DN$41</f>
        <v/>
      </c>
      <c r="DO53" s="52">
        <f>DN$53+DO$39-DO$41</f>
        <v/>
      </c>
      <c r="DP53" s="52">
        <f>DO$53+DP$39-DP$41</f>
        <v/>
      </c>
      <c r="DQ53" s="52">
        <f>DP$53+DQ$39-DQ$41</f>
        <v/>
      </c>
      <c r="DR53" s="52">
        <f>DQ$53+DR$39-DR$41</f>
        <v/>
      </c>
      <c r="DS53" s="52">
        <f>DR$53+DS$39-DS$41</f>
        <v/>
      </c>
      <c r="DT53" s="52">
        <f>DS$53+DT$39-DT$41</f>
        <v/>
      </c>
    </row>
    <row r="54">
      <c r="A54" s="10" t="inlineStr">
        <is>
          <t>Investor cumulative dist (end)</t>
        </is>
      </c>
      <c r="E54" s="52">
        <f>0+E$50</f>
        <v/>
      </c>
      <c r="F54" s="52">
        <f>E$54+F$50</f>
        <v/>
      </c>
      <c r="G54" s="52">
        <f>F$54+G$50</f>
        <v/>
      </c>
      <c r="H54" s="52">
        <f>G$54+H$50</f>
        <v/>
      </c>
      <c r="I54" s="52">
        <f>H$54+I$50</f>
        <v/>
      </c>
      <c r="J54" s="52">
        <f>I$54+J$50</f>
        <v/>
      </c>
      <c r="K54" s="52">
        <f>J$54+K$50</f>
        <v/>
      </c>
      <c r="L54" s="52">
        <f>K$54+L$50</f>
        <v/>
      </c>
      <c r="M54" s="52">
        <f>L$54+M$50</f>
        <v/>
      </c>
      <c r="N54" s="52">
        <f>M$54+N$50</f>
        <v/>
      </c>
      <c r="O54" s="52">
        <f>N$54+O$50</f>
        <v/>
      </c>
      <c r="P54" s="52">
        <f>O$54+P$50</f>
        <v/>
      </c>
      <c r="Q54" s="52">
        <f>P$54+Q$50</f>
        <v/>
      </c>
      <c r="R54" s="52">
        <f>Q$54+R$50</f>
        <v/>
      </c>
      <c r="S54" s="52">
        <f>R$54+S$50</f>
        <v/>
      </c>
      <c r="T54" s="52">
        <f>S$54+T$50</f>
        <v/>
      </c>
      <c r="U54" s="52">
        <f>T$54+U$50</f>
        <v/>
      </c>
      <c r="V54" s="52">
        <f>U$54+V$50</f>
        <v/>
      </c>
      <c r="W54" s="52">
        <f>V$54+W$50</f>
        <v/>
      </c>
      <c r="X54" s="52">
        <f>W$54+X$50</f>
        <v/>
      </c>
      <c r="Y54" s="52">
        <f>X$54+Y$50</f>
        <v/>
      </c>
      <c r="Z54" s="52">
        <f>Y$54+Z$50</f>
        <v/>
      </c>
      <c r="AA54" s="52">
        <f>Z$54+AA$50</f>
        <v/>
      </c>
      <c r="AB54" s="52">
        <f>AA$54+AB$50</f>
        <v/>
      </c>
      <c r="AC54" s="52">
        <f>AB$54+AC$50</f>
        <v/>
      </c>
      <c r="AD54" s="52">
        <f>AC$54+AD$50</f>
        <v/>
      </c>
      <c r="AE54" s="52">
        <f>AD$54+AE$50</f>
        <v/>
      </c>
      <c r="AF54" s="52">
        <f>AE$54+AF$50</f>
        <v/>
      </c>
      <c r="AG54" s="52">
        <f>AF$54+AG$50</f>
        <v/>
      </c>
      <c r="AH54" s="52">
        <f>AG$54+AH$50</f>
        <v/>
      </c>
      <c r="AI54" s="52">
        <f>AH$54+AI$50</f>
        <v/>
      </c>
      <c r="AJ54" s="52">
        <f>AI$54+AJ$50</f>
        <v/>
      </c>
      <c r="AK54" s="52">
        <f>AJ$54+AK$50</f>
        <v/>
      </c>
      <c r="AL54" s="52">
        <f>AK$54+AL$50</f>
        <v/>
      </c>
      <c r="AM54" s="52">
        <f>AL$54+AM$50</f>
        <v/>
      </c>
      <c r="AN54" s="52">
        <f>AM$54+AN$50</f>
        <v/>
      </c>
      <c r="AO54" s="52">
        <f>AN$54+AO$50</f>
        <v/>
      </c>
      <c r="AP54" s="52">
        <f>AO$54+AP$50</f>
        <v/>
      </c>
      <c r="AQ54" s="52">
        <f>AP$54+AQ$50</f>
        <v/>
      </c>
      <c r="AR54" s="52">
        <f>AQ$54+AR$50</f>
        <v/>
      </c>
      <c r="AS54" s="52">
        <f>AR$54+AS$50</f>
        <v/>
      </c>
      <c r="AT54" s="52">
        <f>AS$54+AT$50</f>
        <v/>
      </c>
      <c r="AU54" s="52">
        <f>AT$54+AU$50</f>
        <v/>
      </c>
      <c r="AV54" s="52">
        <f>AU$54+AV$50</f>
        <v/>
      </c>
      <c r="AW54" s="52">
        <f>AV$54+AW$50</f>
        <v/>
      </c>
      <c r="AX54" s="52">
        <f>AW$54+AX$50</f>
        <v/>
      </c>
      <c r="AY54" s="52">
        <f>AX$54+AY$50</f>
        <v/>
      </c>
      <c r="AZ54" s="52">
        <f>AY$54+AZ$50</f>
        <v/>
      </c>
      <c r="BA54" s="52">
        <f>AZ$54+BA$50</f>
        <v/>
      </c>
      <c r="BB54" s="52">
        <f>BA$54+BB$50</f>
        <v/>
      </c>
      <c r="BC54" s="52">
        <f>BB$54+BC$50</f>
        <v/>
      </c>
      <c r="BD54" s="52">
        <f>BC$54+BD$50</f>
        <v/>
      </c>
      <c r="BE54" s="52">
        <f>BD$54+BE$50</f>
        <v/>
      </c>
      <c r="BF54" s="52">
        <f>BE$54+BF$50</f>
        <v/>
      </c>
      <c r="BG54" s="52">
        <f>BF$54+BG$50</f>
        <v/>
      </c>
      <c r="BH54" s="52">
        <f>BG$54+BH$50</f>
        <v/>
      </c>
      <c r="BI54" s="52">
        <f>BH$54+BI$50</f>
        <v/>
      </c>
      <c r="BJ54" s="52">
        <f>BI$54+BJ$50</f>
        <v/>
      </c>
      <c r="BK54" s="52">
        <f>BJ$54+BK$50</f>
        <v/>
      </c>
      <c r="BL54" s="52">
        <f>BK$54+BL$50</f>
        <v/>
      </c>
      <c r="BM54" s="52">
        <f>BL$54+BM$50</f>
        <v/>
      </c>
      <c r="BN54" s="52">
        <f>BM$54+BN$50</f>
        <v/>
      </c>
      <c r="BO54" s="52">
        <f>BN$54+BO$50</f>
        <v/>
      </c>
      <c r="BP54" s="52">
        <f>BO$54+BP$50</f>
        <v/>
      </c>
      <c r="BQ54" s="52">
        <f>BP$54+BQ$50</f>
        <v/>
      </c>
      <c r="BR54" s="52">
        <f>BQ$54+BR$50</f>
        <v/>
      </c>
      <c r="BS54" s="52">
        <f>BR$54+BS$50</f>
        <v/>
      </c>
      <c r="BT54" s="52">
        <f>BS$54+BT$50</f>
        <v/>
      </c>
      <c r="BU54" s="52">
        <f>BT$54+BU$50</f>
        <v/>
      </c>
      <c r="BV54" s="52">
        <f>BU$54+BV$50</f>
        <v/>
      </c>
      <c r="BW54" s="52">
        <f>BV$54+BW$50</f>
        <v/>
      </c>
      <c r="BX54" s="52">
        <f>BW$54+BX$50</f>
        <v/>
      </c>
      <c r="BY54" s="52">
        <f>BX$54+BY$50</f>
        <v/>
      </c>
      <c r="BZ54" s="52">
        <f>BY$54+BZ$50</f>
        <v/>
      </c>
      <c r="CA54" s="52">
        <f>BZ$54+CA$50</f>
        <v/>
      </c>
      <c r="CB54" s="52">
        <f>CA$54+CB$50</f>
        <v/>
      </c>
      <c r="CC54" s="52">
        <f>CB$54+CC$50</f>
        <v/>
      </c>
      <c r="CD54" s="52">
        <f>CC$54+CD$50</f>
        <v/>
      </c>
      <c r="CE54" s="52">
        <f>CD$54+CE$50</f>
        <v/>
      </c>
      <c r="CF54" s="52">
        <f>CE$54+CF$50</f>
        <v/>
      </c>
      <c r="CG54" s="52">
        <f>CF$54+CG$50</f>
        <v/>
      </c>
      <c r="CH54" s="52">
        <f>CG$54+CH$50</f>
        <v/>
      </c>
      <c r="CI54" s="52">
        <f>CH$54+CI$50</f>
        <v/>
      </c>
      <c r="CJ54" s="52">
        <f>CI$54+CJ$50</f>
        <v/>
      </c>
      <c r="CK54" s="52">
        <f>CJ$54+CK$50</f>
        <v/>
      </c>
      <c r="CL54" s="52">
        <f>CK$54+CL$50</f>
        <v/>
      </c>
      <c r="CM54" s="52">
        <f>CL$54+CM$50</f>
        <v/>
      </c>
      <c r="CN54" s="52">
        <f>CM$54+CN$50</f>
        <v/>
      </c>
      <c r="CO54" s="52">
        <f>CN$54+CO$50</f>
        <v/>
      </c>
      <c r="CP54" s="52">
        <f>CO$54+CP$50</f>
        <v/>
      </c>
      <c r="CQ54" s="52">
        <f>CP$54+CQ$50</f>
        <v/>
      </c>
      <c r="CR54" s="52">
        <f>CQ$54+CR$50</f>
        <v/>
      </c>
      <c r="CS54" s="52">
        <f>CR$54+CS$50</f>
        <v/>
      </c>
      <c r="CT54" s="52">
        <f>CS$54+CT$50</f>
        <v/>
      </c>
      <c r="CU54" s="52">
        <f>CT$54+CU$50</f>
        <v/>
      </c>
      <c r="CV54" s="52">
        <f>CU$54+CV$50</f>
        <v/>
      </c>
      <c r="CW54" s="52">
        <f>CV$54+CW$50</f>
        <v/>
      </c>
      <c r="CX54" s="52">
        <f>CW$54+CX$50</f>
        <v/>
      </c>
      <c r="CY54" s="52">
        <f>CX$54+CY$50</f>
        <v/>
      </c>
      <c r="CZ54" s="52">
        <f>CY$54+CZ$50</f>
        <v/>
      </c>
      <c r="DA54" s="52">
        <f>CZ$54+DA$50</f>
        <v/>
      </c>
      <c r="DB54" s="52">
        <f>DA$54+DB$50</f>
        <v/>
      </c>
      <c r="DC54" s="52">
        <f>DB$54+DC$50</f>
        <v/>
      </c>
      <c r="DD54" s="52">
        <f>DC$54+DD$50</f>
        <v/>
      </c>
      <c r="DE54" s="52">
        <f>DD$54+DE$50</f>
        <v/>
      </c>
      <c r="DF54" s="52">
        <f>DE$54+DF$50</f>
        <v/>
      </c>
      <c r="DG54" s="52">
        <f>DF$54+DG$50</f>
        <v/>
      </c>
      <c r="DH54" s="52">
        <f>DG$54+DH$50</f>
        <v/>
      </c>
      <c r="DI54" s="52">
        <f>DH$54+DI$50</f>
        <v/>
      </c>
      <c r="DJ54" s="52">
        <f>DI$54+DJ$50</f>
        <v/>
      </c>
      <c r="DK54" s="52">
        <f>DJ$54+DK$50</f>
        <v/>
      </c>
      <c r="DL54" s="52">
        <f>DK$54+DL$50</f>
        <v/>
      </c>
      <c r="DM54" s="52">
        <f>DL$54+DM$50</f>
        <v/>
      </c>
      <c r="DN54" s="52">
        <f>DM$54+DN$50</f>
        <v/>
      </c>
      <c r="DO54" s="52">
        <f>DN$54+DO$50</f>
        <v/>
      </c>
      <c r="DP54" s="52">
        <f>DO$54+DP$50</f>
        <v/>
      </c>
      <c r="DQ54" s="52">
        <f>DP$54+DQ$50</f>
        <v/>
      </c>
      <c r="DR54" s="52">
        <f>DQ$54+DR$50</f>
        <v/>
      </c>
      <c r="DS54" s="52">
        <f>DR$54+DS$50</f>
        <v/>
      </c>
      <c r="DT54" s="52">
        <f>DS$54+DT$50</f>
        <v/>
      </c>
    </row>
    <row r="55">
      <c r="A55" s="10" t="inlineStr">
        <is>
          <t>Cumulative pref paid (end)</t>
        </is>
      </c>
      <c r="E55" s="52">
        <f>0+E$41</f>
        <v/>
      </c>
      <c r="F55" s="52">
        <f>E$55+F$41</f>
        <v/>
      </c>
      <c r="G55" s="52">
        <f>F$55+G$41</f>
        <v/>
      </c>
      <c r="H55" s="52">
        <f>G$55+H$41</f>
        <v/>
      </c>
      <c r="I55" s="52">
        <f>H$55+I$41</f>
        <v/>
      </c>
      <c r="J55" s="52">
        <f>I$55+J$41</f>
        <v/>
      </c>
      <c r="K55" s="52">
        <f>J$55+K$41</f>
        <v/>
      </c>
      <c r="L55" s="52">
        <f>K$55+L$41</f>
        <v/>
      </c>
      <c r="M55" s="52">
        <f>L$55+M$41</f>
        <v/>
      </c>
      <c r="N55" s="52">
        <f>M$55+N$41</f>
        <v/>
      </c>
      <c r="O55" s="52">
        <f>N$55+O$41</f>
        <v/>
      </c>
      <c r="P55" s="52">
        <f>O$55+P$41</f>
        <v/>
      </c>
      <c r="Q55" s="52">
        <f>P$55+Q$41</f>
        <v/>
      </c>
      <c r="R55" s="52">
        <f>Q$55+R$41</f>
        <v/>
      </c>
      <c r="S55" s="52">
        <f>R$55+S$41</f>
        <v/>
      </c>
      <c r="T55" s="52">
        <f>S$55+T$41</f>
        <v/>
      </c>
      <c r="U55" s="52">
        <f>T$55+U$41</f>
        <v/>
      </c>
      <c r="V55" s="52">
        <f>U$55+V$41</f>
        <v/>
      </c>
      <c r="W55" s="52">
        <f>V$55+W$41</f>
        <v/>
      </c>
      <c r="X55" s="52">
        <f>W$55+X$41</f>
        <v/>
      </c>
      <c r="Y55" s="52">
        <f>X$55+Y$41</f>
        <v/>
      </c>
      <c r="Z55" s="52">
        <f>Y$55+Z$41</f>
        <v/>
      </c>
      <c r="AA55" s="52">
        <f>Z$55+AA$41</f>
        <v/>
      </c>
      <c r="AB55" s="52">
        <f>AA$55+AB$41</f>
        <v/>
      </c>
      <c r="AC55" s="52">
        <f>AB$55+AC$41</f>
        <v/>
      </c>
      <c r="AD55" s="52">
        <f>AC$55+AD$41</f>
        <v/>
      </c>
      <c r="AE55" s="52">
        <f>AD$55+AE$41</f>
        <v/>
      </c>
      <c r="AF55" s="52">
        <f>AE$55+AF$41</f>
        <v/>
      </c>
      <c r="AG55" s="52">
        <f>AF$55+AG$41</f>
        <v/>
      </c>
      <c r="AH55" s="52">
        <f>AG$55+AH$41</f>
        <v/>
      </c>
      <c r="AI55" s="52">
        <f>AH$55+AI$41</f>
        <v/>
      </c>
      <c r="AJ55" s="52">
        <f>AI$55+AJ$41</f>
        <v/>
      </c>
      <c r="AK55" s="52">
        <f>AJ$55+AK$41</f>
        <v/>
      </c>
      <c r="AL55" s="52">
        <f>AK$55+AL$41</f>
        <v/>
      </c>
      <c r="AM55" s="52">
        <f>AL$55+AM$41</f>
        <v/>
      </c>
      <c r="AN55" s="52">
        <f>AM$55+AN$41</f>
        <v/>
      </c>
      <c r="AO55" s="52">
        <f>AN$55+AO$41</f>
        <v/>
      </c>
      <c r="AP55" s="52">
        <f>AO$55+AP$41</f>
        <v/>
      </c>
      <c r="AQ55" s="52">
        <f>AP$55+AQ$41</f>
        <v/>
      </c>
      <c r="AR55" s="52">
        <f>AQ$55+AR$41</f>
        <v/>
      </c>
      <c r="AS55" s="52">
        <f>AR$55+AS$41</f>
        <v/>
      </c>
      <c r="AT55" s="52">
        <f>AS$55+AT$41</f>
        <v/>
      </c>
      <c r="AU55" s="52">
        <f>AT$55+AU$41</f>
        <v/>
      </c>
      <c r="AV55" s="52">
        <f>AU$55+AV$41</f>
        <v/>
      </c>
      <c r="AW55" s="52">
        <f>AV$55+AW$41</f>
        <v/>
      </c>
      <c r="AX55" s="52">
        <f>AW$55+AX$41</f>
        <v/>
      </c>
      <c r="AY55" s="52">
        <f>AX$55+AY$41</f>
        <v/>
      </c>
      <c r="AZ55" s="52">
        <f>AY$55+AZ$41</f>
        <v/>
      </c>
      <c r="BA55" s="52">
        <f>AZ$55+BA$41</f>
        <v/>
      </c>
      <c r="BB55" s="52">
        <f>BA$55+BB$41</f>
        <v/>
      </c>
      <c r="BC55" s="52">
        <f>BB$55+BC$41</f>
        <v/>
      </c>
      <c r="BD55" s="52">
        <f>BC$55+BD$41</f>
        <v/>
      </c>
      <c r="BE55" s="52">
        <f>BD$55+BE$41</f>
        <v/>
      </c>
      <c r="BF55" s="52">
        <f>BE$55+BF$41</f>
        <v/>
      </c>
      <c r="BG55" s="52">
        <f>BF$55+BG$41</f>
        <v/>
      </c>
      <c r="BH55" s="52">
        <f>BG$55+BH$41</f>
        <v/>
      </c>
      <c r="BI55" s="52">
        <f>BH$55+BI$41</f>
        <v/>
      </c>
      <c r="BJ55" s="52">
        <f>BI$55+BJ$41</f>
        <v/>
      </c>
      <c r="BK55" s="52">
        <f>BJ$55+BK$41</f>
        <v/>
      </c>
      <c r="BL55" s="52">
        <f>BK$55+BL$41</f>
        <v/>
      </c>
      <c r="BM55" s="52">
        <f>BL$55+BM$41</f>
        <v/>
      </c>
      <c r="BN55" s="52">
        <f>BM$55+BN$41</f>
        <v/>
      </c>
      <c r="BO55" s="52">
        <f>BN$55+BO$41</f>
        <v/>
      </c>
      <c r="BP55" s="52">
        <f>BO$55+BP$41</f>
        <v/>
      </c>
      <c r="BQ55" s="52">
        <f>BP$55+BQ$41</f>
        <v/>
      </c>
      <c r="BR55" s="52">
        <f>BQ$55+BR$41</f>
        <v/>
      </c>
      <c r="BS55" s="52">
        <f>BR$55+BS$41</f>
        <v/>
      </c>
      <c r="BT55" s="52">
        <f>BS$55+BT$41</f>
        <v/>
      </c>
      <c r="BU55" s="52">
        <f>BT$55+BU$41</f>
        <v/>
      </c>
      <c r="BV55" s="52">
        <f>BU$55+BV$41</f>
        <v/>
      </c>
      <c r="BW55" s="52">
        <f>BV$55+BW$41</f>
        <v/>
      </c>
      <c r="BX55" s="52">
        <f>BW$55+BX$41</f>
        <v/>
      </c>
      <c r="BY55" s="52">
        <f>BX$55+BY$41</f>
        <v/>
      </c>
      <c r="BZ55" s="52">
        <f>BY$55+BZ$41</f>
        <v/>
      </c>
      <c r="CA55" s="52">
        <f>BZ$55+CA$41</f>
        <v/>
      </c>
      <c r="CB55" s="52">
        <f>CA$55+CB$41</f>
        <v/>
      </c>
      <c r="CC55" s="52">
        <f>CB$55+CC$41</f>
        <v/>
      </c>
      <c r="CD55" s="52">
        <f>CC$55+CD$41</f>
        <v/>
      </c>
      <c r="CE55" s="52">
        <f>CD$55+CE$41</f>
        <v/>
      </c>
      <c r="CF55" s="52">
        <f>CE$55+CF$41</f>
        <v/>
      </c>
      <c r="CG55" s="52">
        <f>CF$55+CG$41</f>
        <v/>
      </c>
      <c r="CH55" s="52">
        <f>CG$55+CH$41</f>
        <v/>
      </c>
      <c r="CI55" s="52">
        <f>CH$55+CI$41</f>
        <v/>
      </c>
      <c r="CJ55" s="52">
        <f>CI$55+CJ$41</f>
        <v/>
      </c>
      <c r="CK55" s="52">
        <f>CJ$55+CK$41</f>
        <v/>
      </c>
      <c r="CL55" s="52">
        <f>CK$55+CL$41</f>
        <v/>
      </c>
      <c r="CM55" s="52">
        <f>CL$55+CM$41</f>
        <v/>
      </c>
      <c r="CN55" s="52">
        <f>CM$55+CN$41</f>
        <v/>
      </c>
      <c r="CO55" s="52">
        <f>CN$55+CO$41</f>
        <v/>
      </c>
      <c r="CP55" s="52">
        <f>CO$55+CP$41</f>
        <v/>
      </c>
      <c r="CQ55" s="52">
        <f>CP$55+CQ$41</f>
        <v/>
      </c>
      <c r="CR55" s="52">
        <f>CQ$55+CR$41</f>
        <v/>
      </c>
      <c r="CS55" s="52">
        <f>CR$55+CS$41</f>
        <v/>
      </c>
      <c r="CT55" s="52">
        <f>CS$55+CT$41</f>
        <v/>
      </c>
      <c r="CU55" s="52">
        <f>CT$55+CU$41</f>
        <v/>
      </c>
      <c r="CV55" s="52">
        <f>CU$55+CV$41</f>
        <v/>
      </c>
      <c r="CW55" s="52">
        <f>CV$55+CW$41</f>
        <v/>
      </c>
      <c r="CX55" s="52">
        <f>CW$55+CX$41</f>
        <v/>
      </c>
      <c r="CY55" s="52">
        <f>CX$55+CY$41</f>
        <v/>
      </c>
      <c r="CZ55" s="52">
        <f>CY$55+CZ$41</f>
        <v/>
      </c>
      <c r="DA55" s="52">
        <f>CZ$55+DA$41</f>
        <v/>
      </c>
      <c r="DB55" s="52">
        <f>DA$55+DB$41</f>
        <v/>
      </c>
      <c r="DC55" s="52">
        <f>DB$55+DC$41</f>
        <v/>
      </c>
      <c r="DD55" s="52">
        <f>DC$55+DD$41</f>
        <v/>
      </c>
      <c r="DE55" s="52">
        <f>DD$55+DE$41</f>
        <v/>
      </c>
      <c r="DF55" s="52">
        <f>DE$55+DF$41</f>
        <v/>
      </c>
      <c r="DG55" s="52">
        <f>DF$55+DG$41</f>
        <v/>
      </c>
      <c r="DH55" s="52">
        <f>DG$55+DH$41</f>
        <v/>
      </c>
      <c r="DI55" s="52">
        <f>DH$55+DI$41</f>
        <v/>
      </c>
      <c r="DJ55" s="52">
        <f>DI$55+DJ$41</f>
        <v/>
      </c>
      <c r="DK55" s="52">
        <f>DJ$55+DK$41</f>
        <v/>
      </c>
      <c r="DL55" s="52">
        <f>DK$55+DL$41</f>
        <v/>
      </c>
      <c r="DM55" s="52">
        <f>DL$55+DM$41</f>
        <v/>
      </c>
      <c r="DN55" s="52">
        <f>DM$55+DN$41</f>
        <v/>
      </c>
      <c r="DO55" s="52">
        <f>DN$55+DO$41</f>
        <v/>
      </c>
      <c r="DP55" s="52">
        <f>DO$55+DP$41</f>
        <v/>
      </c>
      <c r="DQ55" s="52">
        <f>DP$55+DQ$41</f>
        <v/>
      </c>
      <c r="DR55" s="52">
        <f>DQ$55+DR$41</f>
        <v/>
      </c>
      <c r="DS55" s="52">
        <f>DR$55+DS$41</f>
        <v/>
      </c>
      <c r="DT55" s="52">
        <f>DS$55+DT$41</f>
        <v/>
      </c>
    </row>
    <row r="56">
      <c r="A56" s="10" t="inlineStr">
        <is>
          <t>Cumulative catch-up to GP (end)</t>
        </is>
      </c>
      <c r="E56" s="52">
        <f>0+E$43</f>
        <v/>
      </c>
      <c r="F56" s="52">
        <f>E$56+F$43</f>
        <v/>
      </c>
      <c r="G56" s="52">
        <f>F$56+G$43</f>
        <v/>
      </c>
      <c r="H56" s="52">
        <f>G$56+H$43</f>
        <v/>
      </c>
      <c r="I56" s="52">
        <f>H$56+I$43</f>
        <v/>
      </c>
      <c r="J56" s="52">
        <f>I$56+J$43</f>
        <v/>
      </c>
      <c r="K56" s="52">
        <f>J$56+K$43</f>
        <v/>
      </c>
      <c r="L56" s="52">
        <f>K$56+L$43</f>
        <v/>
      </c>
      <c r="M56" s="52">
        <f>L$56+M$43</f>
        <v/>
      </c>
      <c r="N56" s="52">
        <f>M$56+N$43</f>
        <v/>
      </c>
      <c r="O56" s="52">
        <f>N$56+O$43</f>
        <v/>
      </c>
      <c r="P56" s="52">
        <f>O$56+P$43</f>
        <v/>
      </c>
      <c r="Q56" s="52">
        <f>P$56+Q$43</f>
        <v/>
      </c>
      <c r="R56" s="52">
        <f>Q$56+R$43</f>
        <v/>
      </c>
      <c r="S56" s="52">
        <f>R$56+S$43</f>
        <v/>
      </c>
      <c r="T56" s="52">
        <f>S$56+T$43</f>
        <v/>
      </c>
      <c r="U56" s="52">
        <f>T$56+U$43</f>
        <v/>
      </c>
      <c r="V56" s="52">
        <f>U$56+V$43</f>
        <v/>
      </c>
      <c r="W56" s="52">
        <f>V$56+W$43</f>
        <v/>
      </c>
      <c r="X56" s="52">
        <f>W$56+X$43</f>
        <v/>
      </c>
      <c r="Y56" s="52">
        <f>X$56+Y$43</f>
        <v/>
      </c>
      <c r="Z56" s="52">
        <f>Y$56+Z$43</f>
        <v/>
      </c>
      <c r="AA56" s="52">
        <f>Z$56+AA$43</f>
        <v/>
      </c>
      <c r="AB56" s="52">
        <f>AA$56+AB$43</f>
        <v/>
      </c>
      <c r="AC56" s="52">
        <f>AB$56+AC$43</f>
        <v/>
      </c>
      <c r="AD56" s="52">
        <f>AC$56+AD$43</f>
        <v/>
      </c>
      <c r="AE56" s="52">
        <f>AD$56+AE$43</f>
        <v/>
      </c>
      <c r="AF56" s="52">
        <f>AE$56+AF$43</f>
        <v/>
      </c>
      <c r="AG56" s="52">
        <f>AF$56+AG$43</f>
        <v/>
      </c>
      <c r="AH56" s="52">
        <f>AG$56+AH$43</f>
        <v/>
      </c>
      <c r="AI56" s="52">
        <f>AH$56+AI$43</f>
        <v/>
      </c>
      <c r="AJ56" s="52">
        <f>AI$56+AJ$43</f>
        <v/>
      </c>
      <c r="AK56" s="52">
        <f>AJ$56+AK$43</f>
        <v/>
      </c>
      <c r="AL56" s="52">
        <f>AK$56+AL$43</f>
        <v/>
      </c>
      <c r="AM56" s="52">
        <f>AL$56+AM$43</f>
        <v/>
      </c>
      <c r="AN56" s="52">
        <f>AM$56+AN$43</f>
        <v/>
      </c>
      <c r="AO56" s="52">
        <f>AN$56+AO$43</f>
        <v/>
      </c>
      <c r="AP56" s="52">
        <f>AO$56+AP$43</f>
        <v/>
      </c>
      <c r="AQ56" s="52">
        <f>AP$56+AQ$43</f>
        <v/>
      </c>
      <c r="AR56" s="52">
        <f>AQ$56+AR$43</f>
        <v/>
      </c>
      <c r="AS56" s="52">
        <f>AR$56+AS$43</f>
        <v/>
      </c>
      <c r="AT56" s="52">
        <f>AS$56+AT$43</f>
        <v/>
      </c>
      <c r="AU56" s="52">
        <f>AT$56+AU$43</f>
        <v/>
      </c>
      <c r="AV56" s="52">
        <f>AU$56+AV$43</f>
        <v/>
      </c>
      <c r="AW56" s="52">
        <f>AV$56+AW$43</f>
        <v/>
      </c>
      <c r="AX56" s="52">
        <f>AW$56+AX$43</f>
        <v/>
      </c>
      <c r="AY56" s="52">
        <f>AX$56+AY$43</f>
        <v/>
      </c>
      <c r="AZ56" s="52">
        <f>AY$56+AZ$43</f>
        <v/>
      </c>
      <c r="BA56" s="52">
        <f>AZ$56+BA$43</f>
        <v/>
      </c>
      <c r="BB56" s="52">
        <f>BA$56+BB$43</f>
        <v/>
      </c>
      <c r="BC56" s="52">
        <f>BB$56+BC$43</f>
        <v/>
      </c>
      <c r="BD56" s="52">
        <f>BC$56+BD$43</f>
        <v/>
      </c>
      <c r="BE56" s="52">
        <f>BD$56+BE$43</f>
        <v/>
      </c>
      <c r="BF56" s="52">
        <f>BE$56+BF$43</f>
        <v/>
      </c>
      <c r="BG56" s="52">
        <f>BF$56+BG$43</f>
        <v/>
      </c>
      <c r="BH56" s="52">
        <f>BG$56+BH$43</f>
        <v/>
      </c>
      <c r="BI56" s="52">
        <f>BH$56+BI$43</f>
        <v/>
      </c>
      <c r="BJ56" s="52">
        <f>BI$56+BJ$43</f>
        <v/>
      </c>
      <c r="BK56" s="52">
        <f>BJ$56+BK$43</f>
        <v/>
      </c>
      <c r="BL56" s="52">
        <f>BK$56+BL$43</f>
        <v/>
      </c>
      <c r="BM56" s="52">
        <f>BL$56+BM$43</f>
        <v/>
      </c>
      <c r="BN56" s="52">
        <f>BM$56+BN$43</f>
        <v/>
      </c>
      <c r="BO56" s="52">
        <f>BN$56+BO$43</f>
        <v/>
      </c>
      <c r="BP56" s="52">
        <f>BO$56+BP$43</f>
        <v/>
      </c>
      <c r="BQ56" s="52">
        <f>BP$56+BQ$43</f>
        <v/>
      </c>
      <c r="BR56" s="52">
        <f>BQ$56+BR$43</f>
        <v/>
      </c>
      <c r="BS56" s="52">
        <f>BR$56+BS$43</f>
        <v/>
      </c>
      <c r="BT56" s="52">
        <f>BS$56+BT$43</f>
        <v/>
      </c>
      <c r="BU56" s="52">
        <f>BT$56+BU$43</f>
        <v/>
      </c>
      <c r="BV56" s="52">
        <f>BU$56+BV$43</f>
        <v/>
      </c>
      <c r="BW56" s="52">
        <f>BV$56+BW$43</f>
        <v/>
      </c>
      <c r="BX56" s="52">
        <f>BW$56+BX$43</f>
        <v/>
      </c>
      <c r="BY56" s="52">
        <f>BX$56+BY$43</f>
        <v/>
      </c>
      <c r="BZ56" s="52">
        <f>BY$56+BZ$43</f>
        <v/>
      </c>
      <c r="CA56" s="52">
        <f>BZ$56+CA$43</f>
        <v/>
      </c>
      <c r="CB56" s="52">
        <f>CA$56+CB$43</f>
        <v/>
      </c>
      <c r="CC56" s="52">
        <f>CB$56+CC$43</f>
        <v/>
      </c>
      <c r="CD56" s="52">
        <f>CC$56+CD$43</f>
        <v/>
      </c>
      <c r="CE56" s="52">
        <f>CD$56+CE$43</f>
        <v/>
      </c>
      <c r="CF56" s="52">
        <f>CE$56+CF$43</f>
        <v/>
      </c>
      <c r="CG56" s="52">
        <f>CF$56+CG$43</f>
        <v/>
      </c>
      <c r="CH56" s="52">
        <f>CG$56+CH$43</f>
        <v/>
      </c>
      <c r="CI56" s="52">
        <f>CH$56+CI$43</f>
        <v/>
      </c>
      <c r="CJ56" s="52">
        <f>CI$56+CJ$43</f>
        <v/>
      </c>
      <c r="CK56" s="52">
        <f>CJ$56+CK$43</f>
        <v/>
      </c>
      <c r="CL56" s="52">
        <f>CK$56+CL$43</f>
        <v/>
      </c>
      <c r="CM56" s="52">
        <f>CL$56+CM$43</f>
        <v/>
      </c>
      <c r="CN56" s="52">
        <f>CM$56+CN$43</f>
        <v/>
      </c>
      <c r="CO56" s="52">
        <f>CN$56+CO$43</f>
        <v/>
      </c>
      <c r="CP56" s="52">
        <f>CO$56+CP$43</f>
        <v/>
      </c>
      <c r="CQ56" s="52">
        <f>CP$56+CQ$43</f>
        <v/>
      </c>
      <c r="CR56" s="52">
        <f>CQ$56+CR$43</f>
        <v/>
      </c>
      <c r="CS56" s="52">
        <f>CR$56+CS$43</f>
        <v/>
      </c>
      <c r="CT56" s="52">
        <f>CS$56+CT$43</f>
        <v/>
      </c>
      <c r="CU56" s="52">
        <f>CT$56+CU$43</f>
        <v/>
      </c>
      <c r="CV56" s="52">
        <f>CU$56+CV$43</f>
        <v/>
      </c>
      <c r="CW56" s="52">
        <f>CV$56+CW$43</f>
        <v/>
      </c>
      <c r="CX56" s="52">
        <f>CW$56+CX$43</f>
        <v/>
      </c>
      <c r="CY56" s="52">
        <f>CX$56+CY$43</f>
        <v/>
      </c>
      <c r="CZ56" s="52">
        <f>CY$56+CZ$43</f>
        <v/>
      </c>
      <c r="DA56" s="52">
        <f>CZ$56+DA$43</f>
        <v/>
      </c>
      <c r="DB56" s="52">
        <f>DA$56+DB$43</f>
        <v/>
      </c>
      <c r="DC56" s="52">
        <f>DB$56+DC$43</f>
        <v/>
      </c>
      <c r="DD56" s="52">
        <f>DC$56+DD$43</f>
        <v/>
      </c>
      <c r="DE56" s="52">
        <f>DD$56+DE$43</f>
        <v/>
      </c>
      <c r="DF56" s="52">
        <f>DE$56+DF$43</f>
        <v/>
      </c>
      <c r="DG56" s="52">
        <f>DF$56+DG$43</f>
        <v/>
      </c>
      <c r="DH56" s="52">
        <f>DG$56+DH$43</f>
        <v/>
      </c>
      <c r="DI56" s="52">
        <f>DH$56+DI$43</f>
        <v/>
      </c>
      <c r="DJ56" s="52">
        <f>DI$56+DJ$43</f>
        <v/>
      </c>
      <c r="DK56" s="52">
        <f>DJ$56+DK$43</f>
        <v/>
      </c>
      <c r="DL56" s="52">
        <f>DK$56+DL$43</f>
        <v/>
      </c>
      <c r="DM56" s="52">
        <f>DL$56+DM$43</f>
        <v/>
      </c>
      <c r="DN56" s="52">
        <f>DM$56+DN$43</f>
        <v/>
      </c>
      <c r="DO56" s="52">
        <f>DN$56+DO$43</f>
        <v/>
      </c>
      <c r="DP56" s="52">
        <f>DO$56+DP$43</f>
        <v/>
      </c>
      <c r="DQ56" s="52">
        <f>DP$56+DQ$43</f>
        <v/>
      </c>
      <c r="DR56" s="52">
        <f>DQ$56+DR$43</f>
        <v/>
      </c>
      <c r="DS56" s="52">
        <f>DR$56+DS$43</f>
        <v/>
      </c>
      <c r="DT56" s="52">
        <f>DS$56+DT$43</f>
        <v/>
      </c>
    </row>
    <row r="57">
      <c r="A57" s="3" t="inlineStr">
        <is>
          <t>LP distribution</t>
        </is>
      </c>
      <c r="E57" s="62">
        <f>IF(LP_Present="No",0,E$50*(LP_Split+GP_Split*(1-GP_CoInvest)))</f>
        <v/>
      </c>
      <c r="F57" s="62">
        <f>IF(LP_Present="No",0,F$50*(LP_Split+GP_Split*(1-GP_CoInvest)))</f>
        <v/>
      </c>
      <c r="G57" s="62">
        <f>IF(LP_Present="No",0,G$50*(LP_Split+GP_Split*(1-GP_CoInvest)))</f>
        <v/>
      </c>
      <c r="H57" s="62">
        <f>IF(LP_Present="No",0,H$50*(LP_Split+GP_Split*(1-GP_CoInvest)))</f>
        <v/>
      </c>
      <c r="I57" s="62">
        <f>IF(LP_Present="No",0,I$50*(LP_Split+GP_Split*(1-GP_CoInvest)))</f>
        <v/>
      </c>
      <c r="J57" s="62">
        <f>IF(LP_Present="No",0,J$50*(LP_Split+GP_Split*(1-GP_CoInvest)))</f>
        <v/>
      </c>
      <c r="K57" s="62">
        <f>IF(LP_Present="No",0,K$50*(LP_Split+GP_Split*(1-GP_CoInvest)))</f>
        <v/>
      </c>
      <c r="L57" s="62">
        <f>IF(LP_Present="No",0,L$50*(LP_Split+GP_Split*(1-GP_CoInvest)))</f>
        <v/>
      </c>
      <c r="M57" s="62">
        <f>IF(LP_Present="No",0,M$50*(LP_Split+GP_Split*(1-GP_CoInvest)))</f>
        <v/>
      </c>
      <c r="N57" s="62">
        <f>IF(LP_Present="No",0,N$50*(LP_Split+GP_Split*(1-GP_CoInvest)))</f>
        <v/>
      </c>
      <c r="O57" s="62">
        <f>IF(LP_Present="No",0,O$50*(LP_Split+GP_Split*(1-GP_CoInvest)))</f>
        <v/>
      </c>
      <c r="P57" s="62">
        <f>IF(LP_Present="No",0,P$50*(LP_Split+GP_Split*(1-GP_CoInvest)))</f>
        <v/>
      </c>
      <c r="Q57" s="62">
        <f>IF(LP_Present="No",0,Q$50*(LP_Split+GP_Split*(1-GP_CoInvest)))</f>
        <v/>
      </c>
      <c r="R57" s="62">
        <f>IF(LP_Present="No",0,R$50*(LP_Split+GP_Split*(1-GP_CoInvest)))</f>
        <v/>
      </c>
      <c r="S57" s="62">
        <f>IF(LP_Present="No",0,S$50*(LP_Split+GP_Split*(1-GP_CoInvest)))</f>
        <v/>
      </c>
      <c r="T57" s="62">
        <f>IF(LP_Present="No",0,T$50*(LP_Split+GP_Split*(1-GP_CoInvest)))</f>
        <v/>
      </c>
      <c r="U57" s="62">
        <f>IF(LP_Present="No",0,U$50*(LP_Split+GP_Split*(1-GP_CoInvest)))</f>
        <v/>
      </c>
      <c r="V57" s="62">
        <f>IF(LP_Present="No",0,V$50*(LP_Split+GP_Split*(1-GP_CoInvest)))</f>
        <v/>
      </c>
      <c r="W57" s="62">
        <f>IF(LP_Present="No",0,W$50*(LP_Split+GP_Split*(1-GP_CoInvest)))</f>
        <v/>
      </c>
      <c r="X57" s="62">
        <f>IF(LP_Present="No",0,X$50*(LP_Split+GP_Split*(1-GP_CoInvest)))</f>
        <v/>
      </c>
      <c r="Y57" s="62">
        <f>IF(LP_Present="No",0,Y$50*(LP_Split+GP_Split*(1-GP_CoInvest)))</f>
        <v/>
      </c>
      <c r="Z57" s="62">
        <f>IF(LP_Present="No",0,Z$50*(LP_Split+GP_Split*(1-GP_CoInvest)))</f>
        <v/>
      </c>
      <c r="AA57" s="62">
        <f>IF(LP_Present="No",0,AA$50*(LP_Split+GP_Split*(1-GP_CoInvest)))</f>
        <v/>
      </c>
      <c r="AB57" s="62">
        <f>IF(LP_Present="No",0,AB$50*(LP_Split+GP_Split*(1-GP_CoInvest)))</f>
        <v/>
      </c>
      <c r="AC57" s="62">
        <f>IF(LP_Present="No",0,AC$50*(LP_Split+GP_Split*(1-GP_CoInvest)))</f>
        <v/>
      </c>
      <c r="AD57" s="62">
        <f>IF(LP_Present="No",0,AD$50*(LP_Split+GP_Split*(1-GP_CoInvest)))</f>
        <v/>
      </c>
      <c r="AE57" s="62">
        <f>IF(LP_Present="No",0,AE$50*(LP_Split+GP_Split*(1-GP_CoInvest)))</f>
        <v/>
      </c>
      <c r="AF57" s="62">
        <f>IF(LP_Present="No",0,AF$50*(LP_Split+GP_Split*(1-GP_CoInvest)))</f>
        <v/>
      </c>
      <c r="AG57" s="62">
        <f>IF(LP_Present="No",0,AG$50*(LP_Split+GP_Split*(1-GP_CoInvest)))</f>
        <v/>
      </c>
      <c r="AH57" s="62">
        <f>IF(LP_Present="No",0,AH$50*(LP_Split+GP_Split*(1-GP_CoInvest)))</f>
        <v/>
      </c>
      <c r="AI57" s="62">
        <f>IF(LP_Present="No",0,AI$50*(LP_Split+GP_Split*(1-GP_CoInvest)))</f>
        <v/>
      </c>
      <c r="AJ57" s="62">
        <f>IF(LP_Present="No",0,AJ$50*(LP_Split+GP_Split*(1-GP_CoInvest)))</f>
        <v/>
      </c>
      <c r="AK57" s="62">
        <f>IF(LP_Present="No",0,AK$50*(LP_Split+GP_Split*(1-GP_CoInvest)))</f>
        <v/>
      </c>
      <c r="AL57" s="62">
        <f>IF(LP_Present="No",0,AL$50*(LP_Split+GP_Split*(1-GP_CoInvest)))</f>
        <v/>
      </c>
      <c r="AM57" s="62">
        <f>IF(LP_Present="No",0,AM$50*(LP_Split+GP_Split*(1-GP_CoInvest)))</f>
        <v/>
      </c>
      <c r="AN57" s="62">
        <f>IF(LP_Present="No",0,AN$50*(LP_Split+GP_Split*(1-GP_CoInvest)))</f>
        <v/>
      </c>
      <c r="AO57" s="62">
        <f>IF(LP_Present="No",0,AO$50*(LP_Split+GP_Split*(1-GP_CoInvest)))</f>
        <v/>
      </c>
      <c r="AP57" s="62">
        <f>IF(LP_Present="No",0,AP$50*(LP_Split+GP_Split*(1-GP_CoInvest)))</f>
        <v/>
      </c>
      <c r="AQ57" s="62">
        <f>IF(LP_Present="No",0,AQ$50*(LP_Split+GP_Split*(1-GP_CoInvest)))</f>
        <v/>
      </c>
      <c r="AR57" s="62">
        <f>IF(LP_Present="No",0,AR$50*(LP_Split+GP_Split*(1-GP_CoInvest)))</f>
        <v/>
      </c>
      <c r="AS57" s="62">
        <f>IF(LP_Present="No",0,AS$50*(LP_Split+GP_Split*(1-GP_CoInvest)))</f>
        <v/>
      </c>
      <c r="AT57" s="62">
        <f>IF(LP_Present="No",0,AT$50*(LP_Split+GP_Split*(1-GP_CoInvest)))</f>
        <v/>
      </c>
      <c r="AU57" s="62">
        <f>IF(LP_Present="No",0,AU$50*(LP_Split+GP_Split*(1-GP_CoInvest)))</f>
        <v/>
      </c>
      <c r="AV57" s="62">
        <f>IF(LP_Present="No",0,AV$50*(LP_Split+GP_Split*(1-GP_CoInvest)))</f>
        <v/>
      </c>
      <c r="AW57" s="62">
        <f>IF(LP_Present="No",0,AW$50*(LP_Split+GP_Split*(1-GP_CoInvest)))</f>
        <v/>
      </c>
      <c r="AX57" s="62">
        <f>IF(LP_Present="No",0,AX$50*(LP_Split+GP_Split*(1-GP_CoInvest)))</f>
        <v/>
      </c>
      <c r="AY57" s="62">
        <f>IF(LP_Present="No",0,AY$50*(LP_Split+GP_Split*(1-GP_CoInvest)))</f>
        <v/>
      </c>
      <c r="AZ57" s="62">
        <f>IF(LP_Present="No",0,AZ$50*(LP_Split+GP_Split*(1-GP_CoInvest)))</f>
        <v/>
      </c>
      <c r="BA57" s="62">
        <f>IF(LP_Present="No",0,BA$50*(LP_Split+GP_Split*(1-GP_CoInvest)))</f>
        <v/>
      </c>
      <c r="BB57" s="62">
        <f>IF(LP_Present="No",0,BB$50*(LP_Split+GP_Split*(1-GP_CoInvest)))</f>
        <v/>
      </c>
      <c r="BC57" s="62">
        <f>IF(LP_Present="No",0,BC$50*(LP_Split+GP_Split*(1-GP_CoInvest)))</f>
        <v/>
      </c>
      <c r="BD57" s="62">
        <f>IF(LP_Present="No",0,BD$50*(LP_Split+GP_Split*(1-GP_CoInvest)))</f>
        <v/>
      </c>
      <c r="BE57" s="62">
        <f>IF(LP_Present="No",0,BE$50*(LP_Split+GP_Split*(1-GP_CoInvest)))</f>
        <v/>
      </c>
      <c r="BF57" s="62">
        <f>IF(LP_Present="No",0,BF$50*(LP_Split+GP_Split*(1-GP_CoInvest)))</f>
        <v/>
      </c>
      <c r="BG57" s="62">
        <f>IF(LP_Present="No",0,BG$50*(LP_Split+GP_Split*(1-GP_CoInvest)))</f>
        <v/>
      </c>
      <c r="BH57" s="62">
        <f>IF(LP_Present="No",0,BH$50*(LP_Split+GP_Split*(1-GP_CoInvest)))</f>
        <v/>
      </c>
      <c r="BI57" s="62">
        <f>IF(LP_Present="No",0,BI$50*(LP_Split+GP_Split*(1-GP_CoInvest)))</f>
        <v/>
      </c>
      <c r="BJ57" s="62">
        <f>IF(LP_Present="No",0,BJ$50*(LP_Split+GP_Split*(1-GP_CoInvest)))</f>
        <v/>
      </c>
      <c r="BK57" s="62">
        <f>IF(LP_Present="No",0,BK$50*(LP_Split+GP_Split*(1-GP_CoInvest)))</f>
        <v/>
      </c>
      <c r="BL57" s="62">
        <f>IF(LP_Present="No",0,BL$50*(LP_Split+GP_Split*(1-GP_CoInvest)))</f>
        <v/>
      </c>
      <c r="BM57" s="62">
        <f>IF(LP_Present="No",0,BM$50*(LP_Split+GP_Split*(1-GP_CoInvest)))</f>
        <v/>
      </c>
      <c r="BN57" s="62">
        <f>IF(LP_Present="No",0,BN$50*(LP_Split+GP_Split*(1-GP_CoInvest)))</f>
        <v/>
      </c>
      <c r="BO57" s="62">
        <f>IF(LP_Present="No",0,BO$50*(LP_Split+GP_Split*(1-GP_CoInvest)))</f>
        <v/>
      </c>
      <c r="BP57" s="62">
        <f>IF(LP_Present="No",0,BP$50*(LP_Split+GP_Split*(1-GP_CoInvest)))</f>
        <v/>
      </c>
      <c r="BQ57" s="62">
        <f>IF(LP_Present="No",0,BQ$50*(LP_Split+GP_Split*(1-GP_CoInvest)))</f>
        <v/>
      </c>
      <c r="BR57" s="62">
        <f>IF(LP_Present="No",0,BR$50*(LP_Split+GP_Split*(1-GP_CoInvest)))</f>
        <v/>
      </c>
      <c r="BS57" s="62">
        <f>IF(LP_Present="No",0,BS$50*(LP_Split+GP_Split*(1-GP_CoInvest)))</f>
        <v/>
      </c>
      <c r="BT57" s="62">
        <f>IF(LP_Present="No",0,BT$50*(LP_Split+GP_Split*(1-GP_CoInvest)))</f>
        <v/>
      </c>
      <c r="BU57" s="62">
        <f>IF(LP_Present="No",0,BU$50*(LP_Split+GP_Split*(1-GP_CoInvest)))</f>
        <v/>
      </c>
      <c r="BV57" s="62">
        <f>IF(LP_Present="No",0,BV$50*(LP_Split+GP_Split*(1-GP_CoInvest)))</f>
        <v/>
      </c>
      <c r="BW57" s="62">
        <f>IF(LP_Present="No",0,BW$50*(LP_Split+GP_Split*(1-GP_CoInvest)))</f>
        <v/>
      </c>
      <c r="BX57" s="62">
        <f>IF(LP_Present="No",0,BX$50*(LP_Split+GP_Split*(1-GP_CoInvest)))</f>
        <v/>
      </c>
      <c r="BY57" s="62">
        <f>IF(LP_Present="No",0,BY$50*(LP_Split+GP_Split*(1-GP_CoInvest)))</f>
        <v/>
      </c>
      <c r="BZ57" s="62">
        <f>IF(LP_Present="No",0,BZ$50*(LP_Split+GP_Split*(1-GP_CoInvest)))</f>
        <v/>
      </c>
      <c r="CA57" s="62">
        <f>IF(LP_Present="No",0,CA$50*(LP_Split+GP_Split*(1-GP_CoInvest)))</f>
        <v/>
      </c>
      <c r="CB57" s="62">
        <f>IF(LP_Present="No",0,CB$50*(LP_Split+GP_Split*(1-GP_CoInvest)))</f>
        <v/>
      </c>
      <c r="CC57" s="62">
        <f>IF(LP_Present="No",0,CC$50*(LP_Split+GP_Split*(1-GP_CoInvest)))</f>
        <v/>
      </c>
      <c r="CD57" s="62">
        <f>IF(LP_Present="No",0,CD$50*(LP_Split+GP_Split*(1-GP_CoInvest)))</f>
        <v/>
      </c>
      <c r="CE57" s="62">
        <f>IF(LP_Present="No",0,CE$50*(LP_Split+GP_Split*(1-GP_CoInvest)))</f>
        <v/>
      </c>
      <c r="CF57" s="62">
        <f>IF(LP_Present="No",0,CF$50*(LP_Split+GP_Split*(1-GP_CoInvest)))</f>
        <v/>
      </c>
      <c r="CG57" s="62">
        <f>IF(LP_Present="No",0,CG$50*(LP_Split+GP_Split*(1-GP_CoInvest)))</f>
        <v/>
      </c>
      <c r="CH57" s="62">
        <f>IF(LP_Present="No",0,CH$50*(LP_Split+GP_Split*(1-GP_CoInvest)))</f>
        <v/>
      </c>
      <c r="CI57" s="62">
        <f>IF(LP_Present="No",0,CI$50*(LP_Split+GP_Split*(1-GP_CoInvest)))</f>
        <v/>
      </c>
      <c r="CJ57" s="62">
        <f>IF(LP_Present="No",0,CJ$50*(LP_Split+GP_Split*(1-GP_CoInvest)))</f>
        <v/>
      </c>
      <c r="CK57" s="62">
        <f>IF(LP_Present="No",0,CK$50*(LP_Split+GP_Split*(1-GP_CoInvest)))</f>
        <v/>
      </c>
      <c r="CL57" s="62">
        <f>IF(LP_Present="No",0,CL$50*(LP_Split+GP_Split*(1-GP_CoInvest)))</f>
        <v/>
      </c>
      <c r="CM57" s="62">
        <f>IF(LP_Present="No",0,CM$50*(LP_Split+GP_Split*(1-GP_CoInvest)))</f>
        <v/>
      </c>
      <c r="CN57" s="62">
        <f>IF(LP_Present="No",0,CN$50*(LP_Split+GP_Split*(1-GP_CoInvest)))</f>
        <v/>
      </c>
      <c r="CO57" s="62">
        <f>IF(LP_Present="No",0,CO$50*(LP_Split+GP_Split*(1-GP_CoInvest)))</f>
        <v/>
      </c>
      <c r="CP57" s="62">
        <f>IF(LP_Present="No",0,CP$50*(LP_Split+GP_Split*(1-GP_CoInvest)))</f>
        <v/>
      </c>
      <c r="CQ57" s="62">
        <f>IF(LP_Present="No",0,CQ$50*(LP_Split+GP_Split*(1-GP_CoInvest)))</f>
        <v/>
      </c>
      <c r="CR57" s="62">
        <f>IF(LP_Present="No",0,CR$50*(LP_Split+GP_Split*(1-GP_CoInvest)))</f>
        <v/>
      </c>
      <c r="CS57" s="62">
        <f>IF(LP_Present="No",0,CS$50*(LP_Split+GP_Split*(1-GP_CoInvest)))</f>
        <v/>
      </c>
      <c r="CT57" s="62">
        <f>IF(LP_Present="No",0,CT$50*(LP_Split+GP_Split*(1-GP_CoInvest)))</f>
        <v/>
      </c>
      <c r="CU57" s="62">
        <f>IF(LP_Present="No",0,CU$50*(LP_Split+GP_Split*(1-GP_CoInvest)))</f>
        <v/>
      </c>
      <c r="CV57" s="62">
        <f>IF(LP_Present="No",0,CV$50*(LP_Split+GP_Split*(1-GP_CoInvest)))</f>
        <v/>
      </c>
      <c r="CW57" s="62">
        <f>IF(LP_Present="No",0,CW$50*(LP_Split+GP_Split*(1-GP_CoInvest)))</f>
        <v/>
      </c>
      <c r="CX57" s="62">
        <f>IF(LP_Present="No",0,CX$50*(LP_Split+GP_Split*(1-GP_CoInvest)))</f>
        <v/>
      </c>
      <c r="CY57" s="62">
        <f>IF(LP_Present="No",0,CY$50*(LP_Split+GP_Split*(1-GP_CoInvest)))</f>
        <v/>
      </c>
      <c r="CZ57" s="62">
        <f>IF(LP_Present="No",0,CZ$50*(LP_Split+GP_Split*(1-GP_CoInvest)))</f>
        <v/>
      </c>
      <c r="DA57" s="62">
        <f>IF(LP_Present="No",0,DA$50*(LP_Split+GP_Split*(1-GP_CoInvest)))</f>
        <v/>
      </c>
      <c r="DB57" s="62">
        <f>IF(LP_Present="No",0,DB$50*(LP_Split+GP_Split*(1-GP_CoInvest)))</f>
        <v/>
      </c>
      <c r="DC57" s="62">
        <f>IF(LP_Present="No",0,DC$50*(LP_Split+GP_Split*(1-GP_CoInvest)))</f>
        <v/>
      </c>
      <c r="DD57" s="62">
        <f>IF(LP_Present="No",0,DD$50*(LP_Split+GP_Split*(1-GP_CoInvest)))</f>
        <v/>
      </c>
      <c r="DE57" s="62">
        <f>IF(LP_Present="No",0,DE$50*(LP_Split+GP_Split*(1-GP_CoInvest)))</f>
        <v/>
      </c>
      <c r="DF57" s="62">
        <f>IF(LP_Present="No",0,DF$50*(LP_Split+GP_Split*(1-GP_CoInvest)))</f>
        <v/>
      </c>
      <c r="DG57" s="62">
        <f>IF(LP_Present="No",0,DG$50*(LP_Split+GP_Split*(1-GP_CoInvest)))</f>
        <v/>
      </c>
      <c r="DH57" s="62">
        <f>IF(LP_Present="No",0,DH$50*(LP_Split+GP_Split*(1-GP_CoInvest)))</f>
        <v/>
      </c>
      <c r="DI57" s="62">
        <f>IF(LP_Present="No",0,DI$50*(LP_Split+GP_Split*(1-GP_CoInvest)))</f>
        <v/>
      </c>
      <c r="DJ57" s="62">
        <f>IF(LP_Present="No",0,DJ$50*(LP_Split+GP_Split*(1-GP_CoInvest)))</f>
        <v/>
      </c>
      <c r="DK57" s="62">
        <f>IF(LP_Present="No",0,DK$50*(LP_Split+GP_Split*(1-GP_CoInvest)))</f>
        <v/>
      </c>
      <c r="DL57" s="62">
        <f>IF(LP_Present="No",0,DL$50*(LP_Split+GP_Split*(1-GP_CoInvest)))</f>
        <v/>
      </c>
      <c r="DM57" s="62">
        <f>IF(LP_Present="No",0,DM$50*(LP_Split+GP_Split*(1-GP_CoInvest)))</f>
        <v/>
      </c>
      <c r="DN57" s="62">
        <f>IF(LP_Present="No",0,DN$50*(LP_Split+GP_Split*(1-GP_CoInvest)))</f>
        <v/>
      </c>
      <c r="DO57" s="62">
        <f>IF(LP_Present="No",0,DO$50*(LP_Split+GP_Split*(1-GP_CoInvest)))</f>
        <v/>
      </c>
      <c r="DP57" s="62">
        <f>IF(LP_Present="No",0,DP$50*(LP_Split+GP_Split*(1-GP_CoInvest)))</f>
        <v/>
      </c>
      <c r="DQ57" s="62">
        <f>IF(LP_Present="No",0,DQ$50*(LP_Split+GP_Split*(1-GP_CoInvest)))</f>
        <v/>
      </c>
      <c r="DR57" s="62">
        <f>IF(LP_Present="No",0,DR$50*(LP_Split+GP_Split*(1-GP_CoInvest)))</f>
        <v/>
      </c>
      <c r="DS57" s="62">
        <f>IF(LP_Present="No",0,DS$50*(LP_Split+GP_Split*(1-GP_CoInvest)))</f>
        <v/>
      </c>
      <c r="DT57" s="62">
        <f>IF(LP_Present="No",0,DT$50*(LP_Split+GP_Split*(1-GP_CoInvest)))</f>
        <v/>
      </c>
    </row>
    <row r="58">
      <c r="A58" s="10" t="inlineStr">
        <is>
          <t>GP co-invest distribution</t>
        </is>
      </c>
      <c r="E58" s="52">
        <f>IF(LP_Present="No",0,E$50*(GP_Split*GP_CoInvest))</f>
        <v/>
      </c>
      <c r="F58" s="52">
        <f>IF(LP_Present="No",0,F$50*(GP_Split*GP_CoInvest))</f>
        <v/>
      </c>
      <c r="G58" s="52">
        <f>IF(LP_Present="No",0,G$50*(GP_Split*GP_CoInvest))</f>
        <v/>
      </c>
      <c r="H58" s="52">
        <f>IF(LP_Present="No",0,H$50*(GP_Split*GP_CoInvest))</f>
        <v/>
      </c>
      <c r="I58" s="52">
        <f>IF(LP_Present="No",0,I$50*(GP_Split*GP_CoInvest))</f>
        <v/>
      </c>
      <c r="J58" s="52">
        <f>IF(LP_Present="No",0,J$50*(GP_Split*GP_CoInvest))</f>
        <v/>
      </c>
      <c r="K58" s="52">
        <f>IF(LP_Present="No",0,K$50*(GP_Split*GP_CoInvest))</f>
        <v/>
      </c>
      <c r="L58" s="52">
        <f>IF(LP_Present="No",0,L$50*(GP_Split*GP_CoInvest))</f>
        <v/>
      </c>
      <c r="M58" s="52">
        <f>IF(LP_Present="No",0,M$50*(GP_Split*GP_CoInvest))</f>
        <v/>
      </c>
      <c r="N58" s="52">
        <f>IF(LP_Present="No",0,N$50*(GP_Split*GP_CoInvest))</f>
        <v/>
      </c>
      <c r="O58" s="52">
        <f>IF(LP_Present="No",0,O$50*(GP_Split*GP_CoInvest))</f>
        <v/>
      </c>
      <c r="P58" s="52">
        <f>IF(LP_Present="No",0,P$50*(GP_Split*GP_CoInvest))</f>
        <v/>
      </c>
      <c r="Q58" s="52">
        <f>IF(LP_Present="No",0,Q$50*(GP_Split*GP_CoInvest))</f>
        <v/>
      </c>
      <c r="R58" s="52">
        <f>IF(LP_Present="No",0,R$50*(GP_Split*GP_CoInvest))</f>
        <v/>
      </c>
      <c r="S58" s="52">
        <f>IF(LP_Present="No",0,S$50*(GP_Split*GP_CoInvest))</f>
        <v/>
      </c>
      <c r="T58" s="52">
        <f>IF(LP_Present="No",0,T$50*(GP_Split*GP_CoInvest))</f>
        <v/>
      </c>
      <c r="U58" s="52">
        <f>IF(LP_Present="No",0,U$50*(GP_Split*GP_CoInvest))</f>
        <v/>
      </c>
      <c r="V58" s="52">
        <f>IF(LP_Present="No",0,V$50*(GP_Split*GP_CoInvest))</f>
        <v/>
      </c>
      <c r="W58" s="52">
        <f>IF(LP_Present="No",0,W$50*(GP_Split*GP_CoInvest))</f>
        <v/>
      </c>
      <c r="X58" s="52">
        <f>IF(LP_Present="No",0,X$50*(GP_Split*GP_CoInvest))</f>
        <v/>
      </c>
      <c r="Y58" s="52">
        <f>IF(LP_Present="No",0,Y$50*(GP_Split*GP_CoInvest))</f>
        <v/>
      </c>
      <c r="Z58" s="52">
        <f>IF(LP_Present="No",0,Z$50*(GP_Split*GP_CoInvest))</f>
        <v/>
      </c>
      <c r="AA58" s="52">
        <f>IF(LP_Present="No",0,AA$50*(GP_Split*GP_CoInvest))</f>
        <v/>
      </c>
      <c r="AB58" s="52">
        <f>IF(LP_Present="No",0,AB$50*(GP_Split*GP_CoInvest))</f>
        <v/>
      </c>
      <c r="AC58" s="52">
        <f>IF(LP_Present="No",0,AC$50*(GP_Split*GP_CoInvest))</f>
        <v/>
      </c>
      <c r="AD58" s="52">
        <f>IF(LP_Present="No",0,AD$50*(GP_Split*GP_CoInvest))</f>
        <v/>
      </c>
      <c r="AE58" s="52">
        <f>IF(LP_Present="No",0,AE$50*(GP_Split*GP_CoInvest))</f>
        <v/>
      </c>
      <c r="AF58" s="52">
        <f>IF(LP_Present="No",0,AF$50*(GP_Split*GP_CoInvest))</f>
        <v/>
      </c>
      <c r="AG58" s="52">
        <f>IF(LP_Present="No",0,AG$50*(GP_Split*GP_CoInvest))</f>
        <v/>
      </c>
      <c r="AH58" s="52">
        <f>IF(LP_Present="No",0,AH$50*(GP_Split*GP_CoInvest))</f>
        <v/>
      </c>
      <c r="AI58" s="52">
        <f>IF(LP_Present="No",0,AI$50*(GP_Split*GP_CoInvest))</f>
        <v/>
      </c>
      <c r="AJ58" s="52">
        <f>IF(LP_Present="No",0,AJ$50*(GP_Split*GP_CoInvest))</f>
        <v/>
      </c>
      <c r="AK58" s="52">
        <f>IF(LP_Present="No",0,AK$50*(GP_Split*GP_CoInvest))</f>
        <v/>
      </c>
      <c r="AL58" s="52">
        <f>IF(LP_Present="No",0,AL$50*(GP_Split*GP_CoInvest))</f>
        <v/>
      </c>
      <c r="AM58" s="52">
        <f>IF(LP_Present="No",0,AM$50*(GP_Split*GP_CoInvest))</f>
        <v/>
      </c>
      <c r="AN58" s="52">
        <f>IF(LP_Present="No",0,AN$50*(GP_Split*GP_CoInvest))</f>
        <v/>
      </c>
      <c r="AO58" s="52">
        <f>IF(LP_Present="No",0,AO$50*(GP_Split*GP_CoInvest))</f>
        <v/>
      </c>
      <c r="AP58" s="52">
        <f>IF(LP_Present="No",0,AP$50*(GP_Split*GP_CoInvest))</f>
        <v/>
      </c>
      <c r="AQ58" s="52">
        <f>IF(LP_Present="No",0,AQ$50*(GP_Split*GP_CoInvest))</f>
        <v/>
      </c>
      <c r="AR58" s="52">
        <f>IF(LP_Present="No",0,AR$50*(GP_Split*GP_CoInvest))</f>
        <v/>
      </c>
      <c r="AS58" s="52">
        <f>IF(LP_Present="No",0,AS$50*(GP_Split*GP_CoInvest))</f>
        <v/>
      </c>
      <c r="AT58" s="52">
        <f>IF(LP_Present="No",0,AT$50*(GP_Split*GP_CoInvest))</f>
        <v/>
      </c>
      <c r="AU58" s="52">
        <f>IF(LP_Present="No",0,AU$50*(GP_Split*GP_CoInvest))</f>
        <v/>
      </c>
      <c r="AV58" s="52">
        <f>IF(LP_Present="No",0,AV$50*(GP_Split*GP_CoInvest))</f>
        <v/>
      </c>
      <c r="AW58" s="52">
        <f>IF(LP_Present="No",0,AW$50*(GP_Split*GP_CoInvest))</f>
        <v/>
      </c>
      <c r="AX58" s="52">
        <f>IF(LP_Present="No",0,AX$50*(GP_Split*GP_CoInvest))</f>
        <v/>
      </c>
      <c r="AY58" s="52">
        <f>IF(LP_Present="No",0,AY$50*(GP_Split*GP_CoInvest))</f>
        <v/>
      </c>
      <c r="AZ58" s="52">
        <f>IF(LP_Present="No",0,AZ$50*(GP_Split*GP_CoInvest))</f>
        <v/>
      </c>
      <c r="BA58" s="52">
        <f>IF(LP_Present="No",0,BA$50*(GP_Split*GP_CoInvest))</f>
        <v/>
      </c>
      <c r="BB58" s="52">
        <f>IF(LP_Present="No",0,BB$50*(GP_Split*GP_CoInvest))</f>
        <v/>
      </c>
      <c r="BC58" s="52">
        <f>IF(LP_Present="No",0,BC$50*(GP_Split*GP_CoInvest))</f>
        <v/>
      </c>
      <c r="BD58" s="52">
        <f>IF(LP_Present="No",0,BD$50*(GP_Split*GP_CoInvest))</f>
        <v/>
      </c>
      <c r="BE58" s="52">
        <f>IF(LP_Present="No",0,BE$50*(GP_Split*GP_CoInvest))</f>
        <v/>
      </c>
      <c r="BF58" s="52">
        <f>IF(LP_Present="No",0,BF$50*(GP_Split*GP_CoInvest))</f>
        <v/>
      </c>
      <c r="BG58" s="52">
        <f>IF(LP_Present="No",0,BG$50*(GP_Split*GP_CoInvest))</f>
        <v/>
      </c>
      <c r="BH58" s="52">
        <f>IF(LP_Present="No",0,BH$50*(GP_Split*GP_CoInvest))</f>
        <v/>
      </c>
      <c r="BI58" s="52">
        <f>IF(LP_Present="No",0,BI$50*(GP_Split*GP_CoInvest))</f>
        <v/>
      </c>
      <c r="BJ58" s="52">
        <f>IF(LP_Present="No",0,BJ$50*(GP_Split*GP_CoInvest))</f>
        <v/>
      </c>
      <c r="BK58" s="52">
        <f>IF(LP_Present="No",0,BK$50*(GP_Split*GP_CoInvest))</f>
        <v/>
      </c>
      <c r="BL58" s="52">
        <f>IF(LP_Present="No",0,BL$50*(GP_Split*GP_CoInvest))</f>
        <v/>
      </c>
      <c r="BM58" s="52">
        <f>IF(LP_Present="No",0,BM$50*(GP_Split*GP_CoInvest))</f>
        <v/>
      </c>
      <c r="BN58" s="52">
        <f>IF(LP_Present="No",0,BN$50*(GP_Split*GP_CoInvest))</f>
        <v/>
      </c>
      <c r="BO58" s="52">
        <f>IF(LP_Present="No",0,BO$50*(GP_Split*GP_CoInvest))</f>
        <v/>
      </c>
      <c r="BP58" s="52">
        <f>IF(LP_Present="No",0,BP$50*(GP_Split*GP_CoInvest))</f>
        <v/>
      </c>
      <c r="BQ58" s="52">
        <f>IF(LP_Present="No",0,BQ$50*(GP_Split*GP_CoInvest))</f>
        <v/>
      </c>
      <c r="BR58" s="52">
        <f>IF(LP_Present="No",0,BR$50*(GP_Split*GP_CoInvest))</f>
        <v/>
      </c>
      <c r="BS58" s="52">
        <f>IF(LP_Present="No",0,BS$50*(GP_Split*GP_CoInvest))</f>
        <v/>
      </c>
      <c r="BT58" s="52">
        <f>IF(LP_Present="No",0,BT$50*(GP_Split*GP_CoInvest))</f>
        <v/>
      </c>
      <c r="BU58" s="52">
        <f>IF(LP_Present="No",0,BU$50*(GP_Split*GP_CoInvest))</f>
        <v/>
      </c>
      <c r="BV58" s="52">
        <f>IF(LP_Present="No",0,BV$50*(GP_Split*GP_CoInvest))</f>
        <v/>
      </c>
      <c r="BW58" s="52">
        <f>IF(LP_Present="No",0,BW$50*(GP_Split*GP_CoInvest))</f>
        <v/>
      </c>
      <c r="BX58" s="52">
        <f>IF(LP_Present="No",0,BX$50*(GP_Split*GP_CoInvest))</f>
        <v/>
      </c>
      <c r="BY58" s="52">
        <f>IF(LP_Present="No",0,BY$50*(GP_Split*GP_CoInvest))</f>
        <v/>
      </c>
      <c r="BZ58" s="52">
        <f>IF(LP_Present="No",0,BZ$50*(GP_Split*GP_CoInvest))</f>
        <v/>
      </c>
      <c r="CA58" s="52">
        <f>IF(LP_Present="No",0,CA$50*(GP_Split*GP_CoInvest))</f>
        <v/>
      </c>
      <c r="CB58" s="52">
        <f>IF(LP_Present="No",0,CB$50*(GP_Split*GP_CoInvest))</f>
        <v/>
      </c>
      <c r="CC58" s="52">
        <f>IF(LP_Present="No",0,CC$50*(GP_Split*GP_CoInvest))</f>
        <v/>
      </c>
      <c r="CD58" s="52">
        <f>IF(LP_Present="No",0,CD$50*(GP_Split*GP_CoInvest))</f>
        <v/>
      </c>
      <c r="CE58" s="52">
        <f>IF(LP_Present="No",0,CE$50*(GP_Split*GP_CoInvest))</f>
        <v/>
      </c>
      <c r="CF58" s="52">
        <f>IF(LP_Present="No",0,CF$50*(GP_Split*GP_CoInvest))</f>
        <v/>
      </c>
      <c r="CG58" s="52">
        <f>IF(LP_Present="No",0,CG$50*(GP_Split*GP_CoInvest))</f>
        <v/>
      </c>
      <c r="CH58" s="52">
        <f>IF(LP_Present="No",0,CH$50*(GP_Split*GP_CoInvest))</f>
        <v/>
      </c>
      <c r="CI58" s="52">
        <f>IF(LP_Present="No",0,CI$50*(GP_Split*GP_CoInvest))</f>
        <v/>
      </c>
      <c r="CJ58" s="52">
        <f>IF(LP_Present="No",0,CJ$50*(GP_Split*GP_CoInvest))</f>
        <v/>
      </c>
      <c r="CK58" s="52">
        <f>IF(LP_Present="No",0,CK$50*(GP_Split*GP_CoInvest))</f>
        <v/>
      </c>
      <c r="CL58" s="52">
        <f>IF(LP_Present="No",0,CL$50*(GP_Split*GP_CoInvest))</f>
        <v/>
      </c>
      <c r="CM58" s="52">
        <f>IF(LP_Present="No",0,CM$50*(GP_Split*GP_CoInvest))</f>
        <v/>
      </c>
      <c r="CN58" s="52">
        <f>IF(LP_Present="No",0,CN$50*(GP_Split*GP_CoInvest))</f>
        <v/>
      </c>
      <c r="CO58" s="52">
        <f>IF(LP_Present="No",0,CO$50*(GP_Split*GP_CoInvest))</f>
        <v/>
      </c>
      <c r="CP58" s="52">
        <f>IF(LP_Present="No",0,CP$50*(GP_Split*GP_CoInvest))</f>
        <v/>
      </c>
      <c r="CQ58" s="52">
        <f>IF(LP_Present="No",0,CQ$50*(GP_Split*GP_CoInvest))</f>
        <v/>
      </c>
      <c r="CR58" s="52">
        <f>IF(LP_Present="No",0,CR$50*(GP_Split*GP_CoInvest))</f>
        <v/>
      </c>
      <c r="CS58" s="52">
        <f>IF(LP_Present="No",0,CS$50*(GP_Split*GP_CoInvest))</f>
        <v/>
      </c>
      <c r="CT58" s="52">
        <f>IF(LP_Present="No",0,CT$50*(GP_Split*GP_CoInvest))</f>
        <v/>
      </c>
      <c r="CU58" s="52">
        <f>IF(LP_Present="No",0,CU$50*(GP_Split*GP_CoInvest))</f>
        <v/>
      </c>
      <c r="CV58" s="52">
        <f>IF(LP_Present="No",0,CV$50*(GP_Split*GP_CoInvest))</f>
        <v/>
      </c>
      <c r="CW58" s="52">
        <f>IF(LP_Present="No",0,CW$50*(GP_Split*GP_CoInvest))</f>
        <v/>
      </c>
      <c r="CX58" s="52">
        <f>IF(LP_Present="No",0,CX$50*(GP_Split*GP_CoInvest))</f>
        <v/>
      </c>
      <c r="CY58" s="52">
        <f>IF(LP_Present="No",0,CY$50*(GP_Split*GP_CoInvest))</f>
        <v/>
      </c>
      <c r="CZ58" s="52">
        <f>IF(LP_Present="No",0,CZ$50*(GP_Split*GP_CoInvest))</f>
        <v/>
      </c>
      <c r="DA58" s="52">
        <f>IF(LP_Present="No",0,DA$50*(GP_Split*GP_CoInvest))</f>
        <v/>
      </c>
      <c r="DB58" s="52">
        <f>IF(LP_Present="No",0,DB$50*(GP_Split*GP_CoInvest))</f>
        <v/>
      </c>
      <c r="DC58" s="52">
        <f>IF(LP_Present="No",0,DC$50*(GP_Split*GP_CoInvest))</f>
        <v/>
      </c>
      <c r="DD58" s="52">
        <f>IF(LP_Present="No",0,DD$50*(GP_Split*GP_CoInvest))</f>
        <v/>
      </c>
      <c r="DE58" s="52">
        <f>IF(LP_Present="No",0,DE$50*(GP_Split*GP_CoInvest))</f>
        <v/>
      </c>
      <c r="DF58" s="52">
        <f>IF(LP_Present="No",0,DF$50*(GP_Split*GP_CoInvest))</f>
        <v/>
      </c>
      <c r="DG58" s="52">
        <f>IF(LP_Present="No",0,DG$50*(GP_Split*GP_CoInvest))</f>
        <v/>
      </c>
      <c r="DH58" s="52">
        <f>IF(LP_Present="No",0,DH$50*(GP_Split*GP_CoInvest))</f>
        <v/>
      </c>
      <c r="DI58" s="52">
        <f>IF(LP_Present="No",0,DI$50*(GP_Split*GP_CoInvest))</f>
        <v/>
      </c>
      <c r="DJ58" s="52">
        <f>IF(LP_Present="No",0,DJ$50*(GP_Split*GP_CoInvest))</f>
        <v/>
      </c>
      <c r="DK58" s="52">
        <f>IF(LP_Present="No",0,DK$50*(GP_Split*GP_CoInvest))</f>
        <v/>
      </c>
      <c r="DL58" s="52">
        <f>IF(LP_Present="No",0,DL$50*(GP_Split*GP_CoInvest))</f>
        <v/>
      </c>
      <c r="DM58" s="52">
        <f>IF(LP_Present="No",0,DM$50*(GP_Split*GP_CoInvest))</f>
        <v/>
      </c>
      <c r="DN58" s="52">
        <f>IF(LP_Present="No",0,DN$50*(GP_Split*GP_CoInvest))</f>
        <v/>
      </c>
      <c r="DO58" s="52">
        <f>IF(LP_Present="No",0,DO$50*(GP_Split*GP_CoInvest))</f>
        <v/>
      </c>
      <c r="DP58" s="52">
        <f>IF(LP_Present="No",0,DP$50*(GP_Split*GP_CoInvest))</f>
        <v/>
      </c>
      <c r="DQ58" s="52">
        <f>IF(LP_Present="No",0,DQ$50*(GP_Split*GP_CoInvest))</f>
        <v/>
      </c>
      <c r="DR58" s="52">
        <f>IF(LP_Present="No",0,DR$50*(GP_Split*GP_CoInvest))</f>
        <v/>
      </c>
      <c r="DS58" s="52">
        <f>IF(LP_Present="No",0,DS$50*(GP_Split*GP_CoInvest))</f>
        <v/>
      </c>
      <c r="DT58" s="52">
        <f>IF(LP_Present="No",0,DT$50*(GP_Split*GP_CoInvest))</f>
        <v/>
      </c>
    </row>
    <row r="59">
      <c r="A59" s="3" t="inlineStr">
        <is>
          <t>GP distribution (co-invest + promote)</t>
        </is>
      </c>
      <c r="E59" s="62">
        <f>IF(LP_Present="No",E$38,E$58+E$51)</f>
        <v/>
      </c>
      <c r="F59" s="62">
        <f>IF(LP_Present="No",F$38,F$58+F$51)</f>
        <v/>
      </c>
      <c r="G59" s="62">
        <f>IF(LP_Present="No",G$38,G$58+G$51)</f>
        <v/>
      </c>
      <c r="H59" s="62">
        <f>IF(LP_Present="No",H$38,H$58+H$51)</f>
        <v/>
      </c>
      <c r="I59" s="62">
        <f>IF(LP_Present="No",I$38,I$58+I$51)</f>
        <v/>
      </c>
      <c r="J59" s="62">
        <f>IF(LP_Present="No",J$38,J$58+J$51)</f>
        <v/>
      </c>
      <c r="K59" s="62">
        <f>IF(LP_Present="No",K$38,K$58+K$51)</f>
        <v/>
      </c>
      <c r="L59" s="62">
        <f>IF(LP_Present="No",L$38,L$58+L$51)</f>
        <v/>
      </c>
      <c r="M59" s="62">
        <f>IF(LP_Present="No",M$38,M$58+M$51)</f>
        <v/>
      </c>
      <c r="N59" s="62">
        <f>IF(LP_Present="No",N$38,N$58+N$51)</f>
        <v/>
      </c>
      <c r="O59" s="62">
        <f>IF(LP_Present="No",O$38,O$58+O$51)</f>
        <v/>
      </c>
      <c r="P59" s="62">
        <f>IF(LP_Present="No",P$38,P$58+P$51)</f>
        <v/>
      </c>
      <c r="Q59" s="62">
        <f>IF(LP_Present="No",Q$38,Q$58+Q$51)</f>
        <v/>
      </c>
      <c r="R59" s="62">
        <f>IF(LP_Present="No",R$38,R$58+R$51)</f>
        <v/>
      </c>
      <c r="S59" s="62">
        <f>IF(LP_Present="No",S$38,S$58+S$51)</f>
        <v/>
      </c>
      <c r="T59" s="62">
        <f>IF(LP_Present="No",T$38,T$58+T$51)</f>
        <v/>
      </c>
      <c r="U59" s="62">
        <f>IF(LP_Present="No",U$38,U$58+U$51)</f>
        <v/>
      </c>
      <c r="V59" s="62">
        <f>IF(LP_Present="No",V$38,V$58+V$51)</f>
        <v/>
      </c>
      <c r="W59" s="62">
        <f>IF(LP_Present="No",W$38,W$58+W$51)</f>
        <v/>
      </c>
      <c r="X59" s="62">
        <f>IF(LP_Present="No",X$38,X$58+X$51)</f>
        <v/>
      </c>
      <c r="Y59" s="62">
        <f>IF(LP_Present="No",Y$38,Y$58+Y$51)</f>
        <v/>
      </c>
      <c r="Z59" s="62">
        <f>IF(LP_Present="No",Z$38,Z$58+Z$51)</f>
        <v/>
      </c>
      <c r="AA59" s="62">
        <f>IF(LP_Present="No",AA$38,AA$58+AA$51)</f>
        <v/>
      </c>
      <c r="AB59" s="62">
        <f>IF(LP_Present="No",AB$38,AB$58+AB$51)</f>
        <v/>
      </c>
      <c r="AC59" s="62">
        <f>IF(LP_Present="No",AC$38,AC$58+AC$51)</f>
        <v/>
      </c>
      <c r="AD59" s="62">
        <f>IF(LP_Present="No",AD$38,AD$58+AD$51)</f>
        <v/>
      </c>
      <c r="AE59" s="62">
        <f>IF(LP_Present="No",AE$38,AE$58+AE$51)</f>
        <v/>
      </c>
      <c r="AF59" s="62">
        <f>IF(LP_Present="No",AF$38,AF$58+AF$51)</f>
        <v/>
      </c>
      <c r="AG59" s="62">
        <f>IF(LP_Present="No",AG$38,AG$58+AG$51)</f>
        <v/>
      </c>
      <c r="AH59" s="62">
        <f>IF(LP_Present="No",AH$38,AH$58+AH$51)</f>
        <v/>
      </c>
      <c r="AI59" s="62">
        <f>IF(LP_Present="No",AI$38,AI$58+AI$51)</f>
        <v/>
      </c>
      <c r="AJ59" s="62">
        <f>IF(LP_Present="No",AJ$38,AJ$58+AJ$51)</f>
        <v/>
      </c>
      <c r="AK59" s="62">
        <f>IF(LP_Present="No",AK$38,AK$58+AK$51)</f>
        <v/>
      </c>
      <c r="AL59" s="62">
        <f>IF(LP_Present="No",AL$38,AL$58+AL$51)</f>
        <v/>
      </c>
      <c r="AM59" s="62">
        <f>IF(LP_Present="No",AM$38,AM$58+AM$51)</f>
        <v/>
      </c>
      <c r="AN59" s="62">
        <f>IF(LP_Present="No",AN$38,AN$58+AN$51)</f>
        <v/>
      </c>
      <c r="AO59" s="62">
        <f>IF(LP_Present="No",AO$38,AO$58+AO$51)</f>
        <v/>
      </c>
      <c r="AP59" s="62">
        <f>IF(LP_Present="No",AP$38,AP$58+AP$51)</f>
        <v/>
      </c>
      <c r="AQ59" s="62">
        <f>IF(LP_Present="No",AQ$38,AQ$58+AQ$51)</f>
        <v/>
      </c>
      <c r="AR59" s="62">
        <f>IF(LP_Present="No",AR$38,AR$58+AR$51)</f>
        <v/>
      </c>
      <c r="AS59" s="62">
        <f>IF(LP_Present="No",AS$38,AS$58+AS$51)</f>
        <v/>
      </c>
      <c r="AT59" s="62">
        <f>IF(LP_Present="No",AT$38,AT$58+AT$51)</f>
        <v/>
      </c>
      <c r="AU59" s="62">
        <f>IF(LP_Present="No",AU$38,AU$58+AU$51)</f>
        <v/>
      </c>
      <c r="AV59" s="62">
        <f>IF(LP_Present="No",AV$38,AV$58+AV$51)</f>
        <v/>
      </c>
      <c r="AW59" s="62">
        <f>IF(LP_Present="No",AW$38,AW$58+AW$51)</f>
        <v/>
      </c>
      <c r="AX59" s="62">
        <f>IF(LP_Present="No",AX$38,AX$58+AX$51)</f>
        <v/>
      </c>
      <c r="AY59" s="62">
        <f>IF(LP_Present="No",AY$38,AY$58+AY$51)</f>
        <v/>
      </c>
      <c r="AZ59" s="62">
        <f>IF(LP_Present="No",AZ$38,AZ$58+AZ$51)</f>
        <v/>
      </c>
      <c r="BA59" s="62">
        <f>IF(LP_Present="No",BA$38,BA$58+BA$51)</f>
        <v/>
      </c>
      <c r="BB59" s="62">
        <f>IF(LP_Present="No",BB$38,BB$58+BB$51)</f>
        <v/>
      </c>
      <c r="BC59" s="62">
        <f>IF(LP_Present="No",BC$38,BC$58+BC$51)</f>
        <v/>
      </c>
      <c r="BD59" s="62">
        <f>IF(LP_Present="No",BD$38,BD$58+BD$51)</f>
        <v/>
      </c>
      <c r="BE59" s="62">
        <f>IF(LP_Present="No",BE$38,BE$58+BE$51)</f>
        <v/>
      </c>
      <c r="BF59" s="62">
        <f>IF(LP_Present="No",BF$38,BF$58+BF$51)</f>
        <v/>
      </c>
      <c r="BG59" s="62">
        <f>IF(LP_Present="No",BG$38,BG$58+BG$51)</f>
        <v/>
      </c>
      <c r="BH59" s="62">
        <f>IF(LP_Present="No",BH$38,BH$58+BH$51)</f>
        <v/>
      </c>
      <c r="BI59" s="62">
        <f>IF(LP_Present="No",BI$38,BI$58+BI$51)</f>
        <v/>
      </c>
      <c r="BJ59" s="62">
        <f>IF(LP_Present="No",BJ$38,BJ$58+BJ$51)</f>
        <v/>
      </c>
      <c r="BK59" s="62">
        <f>IF(LP_Present="No",BK$38,BK$58+BK$51)</f>
        <v/>
      </c>
      <c r="BL59" s="62">
        <f>IF(LP_Present="No",BL$38,BL$58+BL$51)</f>
        <v/>
      </c>
      <c r="BM59" s="62">
        <f>IF(LP_Present="No",BM$38,BM$58+BM$51)</f>
        <v/>
      </c>
      <c r="BN59" s="62">
        <f>IF(LP_Present="No",BN$38,BN$58+BN$51)</f>
        <v/>
      </c>
      <c r="BO59" s="62">
        <f>IF(LP_Present="No",BO$38,BO$58+BO$51)</f>
        <v/>
      </c>
      <c r="BP59" s="62">
        <f>IF(LP_Present="No",BP$38,BP$58+BP$51)</f>
        <v/>
      </c>
      <c r="BQ59" s="62">
        <f>IF(LP_Present="No",BQ$38,BQ$58+BQ$51)</f>
        <v/>
      </c>
      <c r="BR59" s="62">
        <f>IF(LP_Present="No",BR$38,BR$58+BR$51)</f>
        <v/>
      </c>
      <c r="BS59" s="62">
        <f>IF(LP_Present="No",BS$38,BS$58+BS$51)</f>
        <v/>
      </c>
      <c r="BT59" s="62">
        <f>IF(LP_Present="No",BT$38,BT$58+BT$51)</f>
        <v/>
      </c>
      <c r="BU59" s="62">
        <f>IF(LP_Present="No",BU$38,BU$58+BU$51)</f>
        <v/>
      </c>
      <c r="BV59" s="62">
        <f>IF(LP_Present="No",BV$38,BV$58+BV$51)</f>
        <v/>
      </c>
      <c r="BW59" s="62">
        <f>IF(LP_Present="No",BW$38,BW$58+BW$51)</f>
        <v/>
      </c>
      <c r="BX59" s="62">
        <f>IF(LP_Present="No",BX$38,BX$58+BX$51)</f>
        <v/>
      </c>
      <c r="BY59" s="62">
        <f>IF(LP_Present="No",BY$38,BY$58+BY$51)</f>
        <v/>
      </c>
      <c r="BZ59" s="62">
        <f>IF(LP_Present="No",BZ$38,BZ$58+BZ$51)</f>
        <v/>
      </c>
      <c r="CA59" s="62">
        <f>IF(LP_Present="No",CA$38,CA$58+CA$51)</f>
        <v/>
      </c>
      <c r="CB59" s="62">
        <f>IF(LP_Present="No",CB$38,CB$58+CB$51)</f>
        <v/>
      </c>
      <c r="CC59" s="62">
        <f>IF(LP_Present="No",CC$38,CC$58+CC$51)</f>
        <v/>
      </c>
      <c r="CD59" s="62">
        <f>IF(LP_Present="No",CD$38,CD$58+CD$51)</f>
        <v/>
      </c>
      <c r="CE59" s="62">
        <f>IF(LP_Present="No",CE$38,CE$58+CE$51)</f>
        <v/>
      </c>
      <c r="CF59" s="62">
        <f>IF(LP_Present="No",CF$38,CF$58+CF$51)</f>
        <v/>
      </c>
      <c r="CG59" s="62">
        <f>IF(LP_Present="No",CG$38,CG$58+CG$51)</f>
        <v/>
      </c>
      <c r="CH59" s="62">
        <f>IF(LP_Present="No",CH$38,CH$58+CH$51)</f>
        <v/>
      </c>
      <c r="CI59" s="62">
        <f>IF(LP_Present="No",CI$38,CI$58+CI$51)</f>
        <v/>
      </c>
      <c r="CJ59" s="62">
        <f>IF(LP_Present="No",CJ$38,CJ$58+CJ$51)</f>
        <v/>
      </c>
      <c r="CK59" s="62">
        <f>IF(LP_Present="No",CK$38,CK$58+CK$51)</f>
        <v/>
      </c>
      <c r="CL59" s="62">
        <f>IF(LP_Present="No",CL$38,CL$58+CL$51)</f>
        <v/>
      </c>
      <c r="CM59" s="62">
        <f>IF(LP_Present="No",CM$38,CM$58+CM$51)</f>
        <v/>
      </c>
      <c r="CN59" s="62">
        <f>IF(LP_Present="No",CN$38,CN$58+CN$51)</f>
        <v/>
      </c>
      <c r="CO59" s="62">
        <f>IF(LP_Present="No",CO$38,CO$58+CO$51)</f>
        <v/>
      </c>
      <c r="CP59" s="62">
        <f>IF(LP_Present="No",CP$38,CP$58+CP$51)</f>
        <v/>
      </c>
      <c r="CQ59" s="62">
        <f>IF(LP_Present="No",CQ$38,CQ$58+CQ$51)</f>
        <v/>
      </c>
      <c r="CR59" s="62">
        <f>IF(LP_Present="No",CR$38,CR$58+CR$51)</f>
        <v/>
      </c>
      <c r="CS59" s="62">
        <f>IF(LP_Present="No",CS$38,CS$58+CS$51)</f>
        <v/>
      </c>
      <c r="CT59" s="62">
        <f>IF(LP_Present="No",CT$38,CT$58+CT$51)</f>
        <v/>
      </c>
      <c r="CU59" s="62">
        <f>IF(LP_Present="No",CU$38,CU$58+CU$51)</f>
        <v/>
      </c>
      <c r="CV59" s="62">
        <f>IF(LP_Present="No",CV$38,CV$58+CV$51)</f>
        <v/>
      </c>
      <c r="CW59" s="62">
        <f>IF(LP_Present="No",CW$38,CW$58+CW$51)</f>
        <v/>
      </c>
      <c r="CX59" s="62">
        <f>IF(LP_Present="No",CX$38,CX$58+CX$51)</f>
        <v/>
      </c>
      <c r="CY59" s="62">
        <f>IF(LP_Present="No",CY$38,CY$58+CY$51)</f>
        <v/>
      </c>
      <c r="CZ59" s="62">
        <f>IF(LP_Present="No",CZ$38,CZ$58+CZ$51)</f>
        <v/>
      </c>
      <c r="DA59" s="62">
        <f>IF(LP_Present="No",DA$38,DA$58+DA$51)</f>
        <v/>
      </c>
      <c r="DB59" s="62">
        <f>IF(LP_Present="No",DB$38,DB$58+DB$51)</f>
        <v/>
      </c>
      <c r="DC59" s="62">
        <f>IF(LP_Present="No",DC$38,DC$58+DC$51)</f>
        <v/>
      </c>
      <c r="DD59" s="62">
        <f>IF(LP_Present="No",DD$38,DD$58+DD$51)</f>
        <v/>
      </c>
      <c r="DE59" s="62">
        <f>IF(LP_Present="No",DE$38,DE$58+DE$51)</f>
        <v/>
      </c>
      <c r="DF59" s="62">
        <f>IF(LP_Present="No",DF$38,DF$58+DF$51)</f>
        <v/>
      </c>
      <c r="DG59" s="62">
        <f>IF(LP_Present="No",DG$38,DG$58+DG$51)</f>
        <v/>
      </c>
      <c r="DH59" s="62">
        <f>IF(LP_Present="No",DH$38,DH$58+DH$51)</f>
        <v/>
      </c>
      <c r="DI59" s="62">
        <f>IF(LP_Present="No",DI$38,DI$58+DI$51)</f>
        <v/>
      </c>
      <c r="DJ59" s="62">
        <f>IF(LP_Present="No",DJ$38,DJ$58+DJ$51)</f>
        <v/>
      </c>
      <c r="DK59" s="62">
        <f>IF(LP_Present="No",DK$38,DK$58+DK$51)</f>
        <v/>
      </c>
      <c r="DL59" s="62">
        <f>IF(LP_Present="No",DL$38,DL$58+DL$51)</f>
        <v/>
      </c>
      <c r="DM59" s="62">
        <f>IF(LP_Present="No",DM$38,DM$58+DM$51)</f>
        <v/>
      </c>
      <c r="DN59" s="62">
        <f>IF(LP_Present="No",DN$38,DN$58+DN$51)</f>
        <v/>
      </c>
      <c r="DO59" s="62">
        <f>IF(LP_Present="No",DO$38,DO$58+DO$51)</f>
        <v/>
      </c>
      <c r="DP59" s="62">
        <f>IF(LP_Present="No",DP$38,DP$58+DP$51)</f>
        <v/>
      </c>
      <c r="DQ59" s="62">
        <f>IF(LP_Present="No",DQ$38,DQ$58+DQ$51)</f>
        <v/>
      </c>
      <c r="DR59" s="62">
        <f>IF(LP_Present="No",DR$38,DR$58+DR$51)</f>
        <v/>
      </c>
      <c r="DS59" s="62">
        <f>IF(LP_Present="No",DS$38,DS$58+DS$51)</f>
        <v/>
      </c>
      <c r="DT59" s="62">
        <f>IF(LP_Present="No",DT$38,DT$58+DT$51)</f>
        <v/>
      </c>
    </row>
    <row r="60">
      <c r="A60" s="10" t="inlineStr">
        <is>
          <t>LP cash flow (contrib + dist)</t>
        </is>
      </c>
      <c r="E60" s="52">
        <f>IF(LP_Present="No",0,-E$37*(LP_Split+GP_Split*(1-GP_CoInvest))+E$57)</f>
        <v/>
      </c>
      <c r="F60" s="52">
        <f>IF(LP_Present="No",0,-F$37*(LP_Split+GP_Split*(1-GP_CoInvest))+F$57)</f>
        <v/>
      </c>
      <c r="G60" s="52">
        <f>IF(LP_Present="No",0,-G$37*(LP_Split+GP_Split*(1-GP_CoInvest))+G$57)</f>
        <v/>
      </c>
      <c r="H60" s="52">
        <f>IF(LP_Present="No",0,-H$37*(LP_Split+GP_Split*(1-GP_CoInvest))+H$57)</f>
        <v/>
      </c>
      <c r="I60" s="52">
        <f>IF(LP_Present="No",0,-I$37*(LP_Split+GP_Split*(1-GP_CoInvest))+I$57)</f>
        <v/>
      </c>
      <c r="J60" s="52">
        <f>IF(LP_Present="No",0,-J$37*(LP_Split+GP_Split*(1-GP_CoInvest))+J$57)</f>
        <v/>
      </c>
      <c r="K60" s="52">
        <f>IF(LP_Present="No",0,-K$37*(LP_Split+GP_Split*(1-GP_CoInvest))+K$57)</f>
        <v/>
      </c>
      <c r="L60" s="52">
        <f>IF(LP_Present="No",0,-L$37*(LP_Split+GP_Split*(1-GP_CoInvest))+L$57)</f>
        <v/>
      </c>
      <c r="M60" s="52">
        <f>IF(LP_Present="No",0,-M$37*(LP_Split+GP_Split*(1-GP_CoInvest))+M$57)</f>
        <v/>
      </c>
      <c r="N60" s="52">
        <f>IF(LP_Present="No",0,-N$37*(LP_Split+GP_Split*(1-GP_CoInvest))+N$57)</f>
        <v/>
      </c>
      <c r="O60" s="52">
        <f>IF(LP_Present="No",0,-O$37*(LP_Split+GP_Split*(1-GP_CoInvest))+O$57)</f>
        <v/>
      </c>
      <c r="P60" s="52">
        <f>IF(LP_Present="No",0,-P$37*(LP_Split+GP_Split*(1-GP_CoInvest))+P$57)</f>
        <v/>
      </c>
      <c r="Q60" s="52">
        <f>IF(LP_Present="No",0,-Q$37*(LP_Split+GP_Split*(1-GP_CoInvest))+Q$57)</f>
        <v/>
      </c>
      <c r="R60" s="52">
        <f>IF(LP_Present="No",0,-R$37*(LP_Split+GP_Split*(1-GP_CoInvest))+R$57)</f>
        <v/>
      </c>
      <c r="S60" s="52">
        <f>IF(LP_Present="No",0,-S$37*(LP_Split+GP_Split*(1-GP_CoInvest))+S$57)</f>
        <v/>
      </c>
      <c r="T60" s="52">
        <f>IF(LP_Present="No",0,-T$37*(LP_Split+GP_Split*(1-GP_CoInvest))+T$57)</f>
        <v/>
      </c>
      <c r="U60" s="52">
        <f>IF(LP_Present="No",0,-U$37*(LP_Split+GP_Split*(1-GP_CoInvest))+U$57)</f>
        <v/>
      </c>
      <c r="V60" s="52">
        <f>IF(LP_Present="No",0,-V$37*(LP_Split+GP_Split*(1-GP_CoInvest))+V$57)</f>
        <v/>
      </c>
      <c r="W60" s="52">
        <f>IF(LP_Present="No",0,-W$37*(LP_Split+GP_Split*(1-GP_CoInvest))+W$57)</f>
        <v/>
      </c>
      <c r="X60" s="52">
        <f>IF(LP_Present="No",0,-X$37*(LP_Split+GP_Split*(1-GP_CoInvest))+X$57)</f>
        <v/>
      </c>
      <c r="Y60" s="52">
        <f>IF(LP_Present="No",0,-Y$37*(LP_Split+GP_Split*(1-GP_CoInvest))+Y$57)</f>
        <v/>
      </c>
      <c r="Z60" s="52">
        <f>IF(LP_Present="No",0,-Z$37*(LP_Split+GP_Split*(1-GP_CoInvest))+Z$57)</f>
        <v/>
      </c>
      <c r="AA60" s="52">
        <f>IF(LP_Present="No",0,-AA$37*(LP_Split+GP_Split*(1-GP_CoInvest))+AA$57)</f>
        <v/>
      </c>
      <c r="AB60" s="52">
        <f>IF(LP_Present="No",0,-AB$37*(LP_Split+GP_Split*(1-GP_CoInvest))+AB$57)</f>
        <v/>
      </c>
      <c r="AC60" s="52">
        <f>IF(LP_Present="No",0,-AC$37*(LP_Split+GP_Split*(1-GP_CoInvest))+AC$57)</f>
        <v/>
      </c>
      <c r="AD60" s="52">
        <f>IF(LP_Present="No",0,-AD$37*(LP_Split+GP_Split*(1-GP_CoInvest))+AD$57)</f>
        <v/>
      </c>
      <c r="AE60" s="52">
        <f>IF(LP_Present="No",0,-AE$37*(LP_Split+GP_Split*(1-GP_CoInvest))+AE$57)</f>
        <v/>
      </c>
      <c r="AF60" s="52">
        <f>IF(LP_Present="No",0,-AF$37*(LP_Split+GP_Split*(1-GP_CoInvest))+AF$57)</f>
        <v/>
      </c>
      <c r="AG60" s="52">
        <f>IF(LP_Present="No",0,-AG$37*(LP_Split+GP_Split*(1-GP_CoInvest))+AG$57)</f>
        <v/>
      </c>
      <c r="AH60" s="52">
        <f>IF(LP_Present="No",0,-AH$37*(LP_Split+GP_Split*(1-GP_CoInvest))+AH$57)</f>
        <v/>
      </c>
      <c r="AI60" s="52">
        <f>IF(LP_Present="No",0,-AI$37*(LP_Split+GP_Split*(1-GP_CoInvest))+AI$57)</f>
        <v/>
      </c>
      <c r="AJ60" s="52">
        <f>IF(LP_Present="No",0,-AJ$37*(LP_Split+GP_Split*(1-GP_CoInvest))+AJ$57)</f>
        <v/>
      </c>
      <c r="AK60" s="52">
        <f>IF(LP_Present="No",0,-AK$37*(LP_Split+GP_Split*(1-GP_CoInvest))+AK$57)</f>
        <v/>
      </c>
      <c r="AL60" s="52">
        <f>IF(LP_Present="No",0,-AL$37*(LP_Split+GP_Split*(1-GP_CoInvest))+AL$57)</f>
        <v/>
      </c>
      <c r="AM60" s="52">
        <f>IF(LP_Present="No",0,-AM$37*(LP_Split+GP_Split*(1-GP_CoInvest))+AM$57)</f>
        <v/>
      </c>
      <c r="AN60" s="52">
        <f>IF(LP_Present="No",0,-AN$37*(LP_Split+GP_Split*(1-GP_CoInvest))+AN$57)</f>
        <v/>
      </c>
      <c r="AO60" s="52">
        <f>IF(LP_Present="No",0,-AO$37*(LP_Split+GP_Split*(1-GP_CoInvest))+AO$57)</f>
        <v/>
      </c>
      <c r="AP60" s="52">
        <f>IF(LP_Present="No",0,-AP$37*(LP_Split+GP_Split*(1-GP_CoInvest))+AP$57)</f>
        <v/>
      </c>
      <c r="AQ60" s="52">
        <f>IF(LP_Present="No",0,-AQ$37*(LP_Split+GP_Split*(1-GP_CoInvest))+AQ$57)</f>
        <v/>
      </c>
      <c r="AR60" s="52">
        <f>IF(LP_Present="No",0,-AR$37*(LP_Split+GP_Split*(1-GP_CoInvest))+AR$57)</f>
        <v/>
      </c>
      <c r="AS60" s="52">
        <f>IF(LP_Present="No",0,-AS$37*(LP_Split+GP_Split*(1-GP_CoInvest))+AS$57)</f>
        <v/>
      </c>
      <c r="AT60" s="52">
        <f>IF(LP_Present="No",0,-AT$37*(LP_Split+GP_Split*(1-GP_CoInvest))+AT$57)</f>
        <v/>
      </c>
      <c r="AU60" s="52">
        <f>IF(LP_Present="No",0,-AU$37*(LP_Split+GP_Split*(1-GP_CoInvest))+AU$57)</f>
        <v/>
      </c>
      <c r="AV60" s="52">
        <f>IF(LP_Present="No",0,-AV$37*(LP_Split+GP_Split*(1-GP_CoInvest))+AV$57)</f>
        <v/>
      </c>
      <c r="AW60" s="52">
        <f>IF(LP_Present="No",0,-AW$37*(LP_Split+GP_Split*(1-GP_CoInvest))+AW$57)</f>
        <v/>
      </c>
      <c r="AX60" s="52">
        <f>IF(LP_Present="No",0,-AX$37*(LP_Split+GP_Split*(1-GP_CoInvest))+AX$57)</f>
        <v/>
      </c>
      <c r="AY60" s="52">
        <f>IF(LP_Present="No",0,-AY$37*(LP_Split+GP_Split*(1-GP_CoInvest))+AY$57)</f>
        <v/>
      </c>
      <c r="AZ60" s="52">
        <f>IF(LP_Present="No",0,-AZ$37*(LP_Split+GP_Split*(1-GP_CoInvest))+AZ$57)</f>
        <v/>
      </c>
      <c r="BA60" s="52">
        <f>IF(LP_Present="No",0,-BA$37*(LP_Split+GP_Split*(1-GP_CoInvest))+BA$57)</f>
        <v/>
      </c>
      <c r="BB60" s="52">
        <f>IF(LP_Present="No",0,-BB$37*(LP_Split+GP_Split*(1-GP_CoInvest))+BB$57)</f>
        <v/>
      </c>
      <c r="BC60" s="52">
        <f>IF(LP_Present="No",0,-BC$37*(LP_Split+GP_Split*(1-GP_CoInvest))+BC$57)</f>
        <v/>
      </c>
      <c r="BD60" s="52">
        <f>IF(LP_Present="No",0,-BD$37*(LP_Split+GP_Split*(1-GP_CoInvest))+BD$57)</f>
        <v/>
      </c>
      <c r="BE60" s="52">
        <f>IF(LP_Present="No",0,-BE$37*(LP_Split+GP_Split*(1-GP_CoInvest))+BE$57)</f>
        <v/>
      </c>
      <c r="BF60" s="52">
        <f>IF(LP_Present="No",0,-BF$37*(LP_Split+GP_Split*(1-GP_CoInvest))+BF$57)</f>
        <v/>
      </c>
      <c r="BG60" s="52">
        <f>IF(LP_Present="No",0,-BG$37*(LP_Split+GP_Split*(1-GP_CoInvest))+BG$57)</f>
        <v/>
      </c>
      <c r="BH60" s="52">
        <f>IF(LP_Present="No",0,-BH$37*(LP_Split+GP_Split*(1-GP_CoInvest))+BH$57)</f>
        <v/>
      </c>
      <c r="BI60" s="52">
        <f>IF(LP_Present="No",0,-BI$37*(LP_Split+GP_Split*(1-GP_CoInvest))+BI$57)</f>
        <v/>
      </c>
      <c r="BJ60" s="52">
        <f>IF(LP_Present="No",0,-BJ$37*(LP_Split+GP_Split*(1-GP_CoInvest))+BJ$57)</f>
        <v/>
      </c>
      <c r="BK60" s="52">
        <f>IF(LP_Present="No",0,-BK$37*(LP_Split+GP_Split*(1-GP_CoInvest))+BK$57)</f>
        <v/>
      </c>
      <c r="BL60" s="52">
        <f>IF(LP_Present="No",0,-BL$37*(LP_Split+GP_Split*(1-GP_CoInvest))+BL$57)</f>
        <v/>
      </c>
      <c r="BM60" s="52">
        <f>IF(LP_Present="No",0,-BM$37*(LP_Split+GP_Split*(1-GP_CoInvest))+BM$57)</f>
        <v/>
      </c>
      <c r="BN60" s="52">
        <f>IF(LP_Present="No",0,-BN$37*(LP_Split+GP_Split*(1-GP_CoInvest))+BN$57)</f>
        <v/>
      </c>
      <c r="BO60" s="52">
        <f>IF(LP_Present="No",0,-BO$37*(LP_Split+GP_Split*(1-GP_CoInvest))+BO$57)</f>
        <v/>
      </c>
      <c r="BP60" s="52">
        <f>IF(LP_Present="No",0,-BP$37*(LP_Split+GP_Split*(1-GP_CoInvest))+BP$57)</f>
        <v/>
      </c>
      <c r="BQ60" s="52">
        <f>IF(LP_Present="No",0,-BQ$37*(LP_Split+GP_Split*(1-GP_CoInvest))+BQ$57)</f>
        <v/>
      </c>
      <c r="BR60" s="52">
        <f>IF(LP_Present="No",0,-BR$37*(LP_Split+GP_Split*(1-GP_CoInvest))+BR$57)</f>
        <v/>
      </c>
      <c r="BS60" s="52">
        <f>IF(LP_Present="No",0,-BS$37*(LP_Split+GP_Split*(1-GP_CoInvest))+BS$57)</f>
        <v/>
      </c>
      <c r="BT60" s="52">
        <f>IF(LP_Present="No",0,-BT$37*(LP_Split+GP_Split*(1-GP_CoInvest))+BT$57)</f>
        <v/>
      </c>
      <c r="BU60" s="52">
        <f>IF(LP_Present="No",0,-BU$37*(LP_Split+GP_Split*(1-GP_CoInvest))+BU$57)</f>
        <v/>
      </c>
      <c r="BV60" s="52">
        <f>IF(LP_Present="No",0,-BV$37*(LP_Split+GP_Split*(1-GP_CoInvest))+BV$57)</f>
        <v/>
      </c>
      <c r="BW60" s="52">
        <f>IF(LP_Present="No",0,-BW$37*(LP_Split+GP_Split*(1-GP_CoInvest))+BW$57)</f>
        <v/>
      </c>
      <c r="BX60" s="52">
        <f>IF(LP_Present="No",0,-BX$37*(LP_Split+GP_Split*(1-GP_CoInvest))+BX$57)</f>
        <v/>
      </c>
      <c r="BY60" s="52">
        <f>IF(LP_Present="No",0,-BY$37*(LP_Split+GP_Split*(1-GP_CoInvest))+BY$57)</f>
        <v/>
      </c>
      <c r="BZ60" s="52">
        <f>IF(LP_Present="No",0,-BZ$37*(LP_Split+GP_Split*(1-GP_CoInvest))+BZ$57)</f>
        <v/>
      </c>
      <c r="CA60" s="52">
        <f>IF(LP_Present="No",0,-CA$37*(LP_Split+GP_Split*(1-GP_CoInvest))+CA$57)</f>
        <v/>
      </c>
      <c r="CB60" s="52">
        <f>IF(LP_Present="No",0,-CB$37*(LP_Split+GP_Split*(1-GP_CoInvest))+CB$57)</f>
        <v/>
      </c>
      <c r="CC60" s="52">
        <f>IF(LP_Present="No",0,-CC$37*(LP_Split+GP_Split*(1-GP_CoInvest))+CC$57)</f>
        <v/>
      </c>
      <c r="CD60" s="52">
        <f>IF(LP_Present="No",0,-CD$37*(LP_Split+GP_Split*(1-GP_CoInvest))+CD$57)</f>
        <v/>
      </c>
      <c r="CE60" s="52">
        <f>IF(LP_Present="No",0,-CE$37*(LP_Split+GP_Split*(1-GP_CoInvest))+CE$57)</f>
        <v/>
      </c>
      <c r="CF60" s="52">
        <f>IF(LP_Present="No",0,-CF$37*(LP_Split+GP_Split*(1-GP_CoInvest))+CF$57)</f>
        <v/>
      </c>
      <c r="CG60" s="52">
        <f>IF(LP_Present="No",0,-CG$37*(LP_Split+GP_Split*(1-GP_CoInvest))+CG$57)</f>
        <v/>
      </c>
      <c r="CH60" s="52">
        <f>IF(LP_Present="No",0,-CH$37*(LP_Split+GP_Split*(1-GP_CoInvest))+CH$57)</f>
        <v/>
      </c>
      <c r="CI60" s="52">
        <f>IF(LP_Present="No",0,-CI$37*(LP_Split+GP_Split*(1-GP_CoInvest))+CI$57)</f>
        <v/>
      </c>
      <c r="CJ60" s="52">
        <f>IF(LP_Present="No",0,-CJ$37*(LP_Split+GP_Split*(1-GP_CoInvest))+CJ$57)</f>
        <v/>
      </c>
      <c r="CK60" s="52">
        <f>IF(LP_Present="No",0,-CK$37*(LP_Split+GP_Split*(1-GP_CoInvest))+CK$57)</f>
        <v/>
      </c>
      <c r="CL60" s="52">
        <f>IF(LP_Present="No",0,-CL$37*(LP_Split+GP_Split*(1-GP_CoInvest))+CL$57)</f>
        <v/>
      </c>
      <c r="CM60" s="52">
        <f>IF(LP_Present="No",0,-CM$37*(LP_Split+GP_Split*(1-GP_CoInvest))+CM$57)</f>
        <v/>
      </c>
      <c r="CN60" s="52">
        <f>IF(LP_Present="No",0,-CN$37*(LP_Split+GP_Split*(1-GP_CoInvest))+CN$57)</f>
        <v/>
      </c>
      <c r="CO60" s="52">
        <f>IF(LP_Present="No",0,-CO$37*(LP_Split+GP_Split*(1-GP_CoInvest))+CO$57)</f>
        <v/>
      </c>
      <c r="CP60" s="52">
        <f>IF(LP_Present="No",0,-CP$37*(LP_Split+GP_Split*(1-GP_CoInvest))+CP$57)</f>
        <v/>
      </c>
      <c r="CQ60" s="52">
        <f>IF(LP_Present="No",0,-CQ$37*(LP_Split+GP_Split*(1-GP_CoInvest))+CQ$57)</f>
        <v/>
      </c>
      <c r="CR60" s="52">
        <f>IF(LP_Present="No",0,-CR$37*(LP_Split+GP_Split*(1-GP_CoInvest))+CR$57)</f>
        <v/>
      </c>
      <c r="CS60" s="52">
        <f>IF(LP_Present="No",0,-CS$37*(LP_Split+GP_Split*(1-GP_CoInvest))+CS$57)</f>
        <v/>
      </c>
      <c r="CT60" s="52">
        <f>IF(LP_Present="No",0,-CT$37*(LP_Split+GP_Split*(1-GP_CoInvest))+CT$57)</f>
        <v/>
      </c>
      <c r="CU60" s="52">
        <f>IF(LP_Present="No",0,-CU$37*(LP_Split+GP_Split*(1-GP_CoInvest))+CU$57)</f>
        <v/>
      </c>
      <c r="CV60" s="52">
        <f>IF(LP_Present="No",0,-CV$37*(LP_Split+GP_Split*(1-GP_CoInvest))+CV$57)</f>
        <v/>
      </c>
      <c r="CW60" s="52">
        <f>IF(LP_Present="No",0,-CW$37*(LP_Split+GP_Split*(1-GP_CoInvest))+CW$57)</f>
        <v/>
      </c>
      <c r="CX60" s="52">
        <f>IF(LP_Present="No",0,-CX$37*(LP_Split+GP_Split*(1-GP_CoInvest))+CX$57)</f>
        <v/>
      </c>
      <c r="CY60" s="52">
        <f>IF(LP_Present="No",0,-CY$37*(LP_Split+GP_Split*(1-GP_CoInvest))+CY$57)</f>
        <v/>
      </c>
      <c r="CZ60" s="52">
        <f>IF(LP_Present="No",0,-CZ$37*(LP_Split+GP_Split*(1-GP_CoInvest))+CZ$57)</f>
        <v/>
      </c>
      <c r="DA60" s="52">
        <f>IF(LP_Present="No",0,-DA$37*(LP_Split+GP_Split*(1-GP_CoInvest))+DA$57)</f>
        <v/>
      </c>
      <c r="DB60" s="52">
        <f>IF(LP_Present="No",0,-DB$37*(LP_Split+GP_Split*(1-GP_CoInvest))+DB$57)</f>
        <v/>
      </c>
      <c r="DC60" s="52">
        <f>IF(LP_Present="No",0,-DC$37*(LP_Split+GP_Split*(1-GP_CoInvest))+DC$57)</f>
        <v/>
      </c>
      <c r="DD60" s="52">
        <f>IF(LP_Present="No",0,-DD$37*(LP_Split+GP_Split*(1-GP_CoInvest))+DD$57)</f>
        <v/>
      </c>
      <c r="DE60" s="52">
        <f>IF(LP_Present="No",0,-DE$37*(LP_Split+GP_Split*(1-GP_CoInvest))+DE$57)</f>
        <v/>
      </c>
      <c r="DF60" s="52">
        <f>IF(LP_Present="No",0,-DF$37*(LP_Split+GP_Split*(1-GP_CoInvest))+DF$57)</f>
        <v/>
      </c>
      <c r="DG60" s="52">
        <f>IF(LP_Present="No",0,-DG$37*(LP_Split+GP_Split*(1-GP_CoInvest))+DG$57)</f>
        <v/>
      </c>
      <c r="DH60" s="52">
        <f>IF(LP_Present="No",0,-DH$37*(LP_Split+GP_Split*(1-GP_CoInvest))+DH$57)</f>
        <v/>
      </c>
      <c r="DI60" s="52">
        <f>IF(LP_Present="No",0,-DI$37*(LP_Split+GP_Split*(1-GP_CoInvest))+DI$57)</f>
        <v/>
      </c>
      <c r="DJ60" s="52">
        <f>IF(LP_Present="No",0,-DJ$37*(LP_Split+GP_Split*(1-GP_CoInvest))+DJ$57)</f>
        <v/>
      </c>
      <c r="DK60" s="52">
        <f>IF(LP_Present="No",0,-DK$37*(LP_Split+GP_Split*(1-GP_CoInvest))+DK$57)</f>
        <v/>
      </c>
      <c r="DL60" s="52">
        <f>IF(LP_Present="No",0,-DL$37*(LP_Split+GP_Split*(1-GP_CoInvest))+DL$57)</f>
        <v/>
      </c>
      <c r="DM60" s="52">
        <f>IF(LP_Present="No",0,-DM$37*(LP_Split+GP_Split*(1-GP_CoInvest))+DM$57)</f>
        <v/>
      </c>
      <c r="DN60" s="52">
        <f>IF(LP_Present="No",0,-DN$37*(LP_Split+GP_Split*(1-GP_CoInvest))+DN$57)</f>
        <v/>
      </c>
      <c r="DO60" s="52">
        <f>IF(LP_Present="No",0,-DO$37*(LP_Split+GP_Split*(1-GP_CoInvest))+DO$57)</f>
        <v/>
      </c>
      <c r="DP60" s="52">
        <f>IF(LP_Present="No",0,-DP$37*(LP_Split+GP_Split*(1-GP_CoInvest))+DP$57)</f>
        <v/>
      </c>
      <c r="DQ60" s="52">
        <f>IF(LP_Present="No",0,-DQ$37*(LP_Split+GP_Split*(1-GP_CoInvest))+DQ$57)</f>
        <v/>
      </c>
      <c r="DR60" s="52">
        <f>IF(LP_Present="No",0,-DR$37*(LP_Split+GP_Split*(1-GP_CoInvest))+DR$57)</f>
        <v/>
      </c>
      <c r="DS60" s="52">
        <f>IF(LP_Present="No",0,-DS$37*(LP_Split+GP_Split*(1-GP_CoInvest))+DS$57)</f>
        <v/>
      </c>
      <c r="DT60" s="52">
        <f>IF(LP_Present="No",0,-DT$37*(LP_Split+GP_Split*(1-GP_CoInvest))+DT$57)</f>
        <v/>
      </c>
    </row>
    <row r="61">
      <c r="A61" s="10" t="inlineStr">
        <is>
          <t>GP cash flow (contrib + dist)</t>
        </is>
      </c>
      <c r="E61" s="52">
        <f>IF(LP_Present="No",E$36,-E$37*(GP_Split*GP_CoInvest)+E$59)</f>
        <v/>
      </c>
      <c r="F61" s="52">
        <f>IF(LP_Present="No",F$36,-F$37*(GP_Split*GP_CoInvest)+F$59)</f>
        <v/>
      </c>
      <c r="G61" s="52">
        <f>IF(LP_Present="No",G$36,-G$37*(GP_Split*GP_CoInvest)+G$59)</f>
        <v/>
      </c>
      <c r="H61" s="52">
        <f>IF(LP_Present="No",H$36,-H$37*(GP_Split*GP_CoInvest)+H$59)</f>
        <v/>
      </c>
      <c r="I61" s="52">
        <f>IF(LP_Present="No",I$36,-I$37*(GP_Split*GP_CoInvest)+I$59)</f>
        <v/>
      </c>
      <c r="J61" s="52">
        <f>IF(LP_Present="No",J$36,-J$37*(GP_Split*GP_CoInvest)+J$59)</f>
        <v/>
      </c>
      <c r="K61" s="52">
        <f>IF(LP_Present="No",K$36,-K$37*(GP_Split*GP_CoInvest)+K$59)</f>
        <v/>
      </c>
      <c r="L61" s="52">
        <f>IF(LP_Present="No",L$36,-L$37*(GP_Split*GP_CoInvest)+L$59)</f>
        <v/>
      </c>
      <c r="M61" s="52">
        <f>IF(LP_Present="No",M$36,-M$37*(GP_Split*GP_CoInvest)+M$59)</f>
        <v/>
      </c>
      <c r="N61" s="52">
        <f>IF(LP_Present="No",N$36,-N$37*(GP_Split*GP_CoInvest)+N$59)</f>
        <v/>
      </c>
      <c r="O61" s="52">
        <f>IF(LP_Present="No",O$36,-O$37*(GP_Split*GP_CoInvest)+O$59)</f>
        <v/>
      </c>
      <c r="P61" s="52">
        <f>IF(LP_Present="No",P$36,-P$37*(GP_Split*GP_CoInvest)+P$59)</f>
        <v/>
      </c>
      <c r="Q61" s="52">
        <f>IF(LP_Present="No",Q$36,-Q$37*(GP_Split*GP_CoInvest)+Q$59)</f>
        <v/>
      </c>
      <c r="R61" s="52">
        <f>IF(LP_Present="No",R$36,-R$37*(GP_Split*GP_CoInvest)+R$59)</f>
        <v/>
      </c>
      <c r="S61" s="52">
        <f>IF(LP_Present="No",S$36,-S$37*(GP_Split*GP_CoInvest)+S$59)</f>
        <v/>
      </c>
      <c r="T61" s="52">
        <f>IF(LP_Present="No",T$36,-T$37*(GP_Split*GP_CoInvest)+T$59)</f>
        <v/>
      </c>
      <c r="U61" s="52">
        <f>IF(LP_Present="No",U$36,-U$37*(GP_Split*GP_CoInvest)+U$59)</f>
        <v/>
      </c>
      <c r="V61" s="52">
        <f>IF(LP_Present="No",V$36,-V$37*(GP_Split*GP_CoInvest)+V$59)</f>
        <v/>
      </c>
      <c r="W61" s="52">
        <f>IF(LP_Present="No",W$36,-W$37*(GP_Split*GP_CoInvest)+W$59)</f>
        <v/>
      </c>
      <c r="X61" s="52">
        <f>IF(LP_Present="No",X$36,-X$37*(GP_Split*GP_CoInvest)+X$59)</f>
        <v/>
      </c>
      <c r="Y61" s="52">
        <f>IF(LP_Present="No",Y$36,-Y$37*(GP_Split*GP_CoInvest)+Y$59)</f>
        <v/>
      </c>
      <c r="Z61" s="52">
        <f>IF(LP_Present="No",Z$36,-Z$37*(GP_Split*GP_CoInvest)+Z$59)</f>
        <v/>
      </c>
      <c r="AA61" s="52">
        <f>IF(LP_Present="No",AA$36,-AA$37*(GP_Split*GP_CoInvest)+AA$59)</f>
        <v/>
      </c>
      <c r="AB61" s="52">
        <f>IF(LP_Present="No",AB$36,-AB$37*(GP_Split*GP_CoInvest)+AB$59)</f>
        <v/>
      </c>
      <c r="AC61" s="52">
        <f>IF(LP_Present="No",AC$36,-AC$37*(GP_Split*GP_CoInvest)+AC$59)</f>
        <v/>
      </c>
      <c r="AD61" s="52">
        <f>IF(LP_Present="No",AD$36,-AD$37*(GP_Split*GP_CoInvest)+AD$59)</f>
        <v/>
      </c>
      <c r="AE61" s="52">
        <f>IF(LP_Present="No",AE$36,-AE$37*(GP_Split*GP_CoInvest)+AE$59)</f>
        <v/>
      </c>
      <c r="AF61" s="52">
        <f>IF(LP_Present="No",AF$36,-AF$37*(GP_Split*GP_CoInvest)+AF$59)</f>
        <v/>
      </c>
      <c r="AG61" s="52">
        <f>IF(LP_Present="No",AG$36,-AG$37*(GP_Split*GP_CoInvest)+AG$59)</f>
        <v/>
      </c>
      <c r="AH61" s="52">
        <f>IF(LP_Present="No",AH$36,-AH$37*(GP_Split*GP_CoInvest)+AH$59)</f>
        <v/>
      </c>
      <c r="AI61" s="52">
        <f>IF(LP_Present="No",AI$36,-AI$37*(GP_Split*GP_CoInvest)+AI$59)</f>
        <v/>
      </c>
      <c r="AJ61" s="52">
        <f>IF(LP_Present="No",AJ$36,-AJ$37*(GP_Split*GP_CoInvest)+AJ$59)</f>
        <v/>
      </c>
      <c r="AK61" s="52">
        <f>IF(LP_Present="No",AK$36,-AK$37*(GP_Split*GP_CoInvest)+AK$59)</f>
        <v/>
      </c>
      <c r="AL61" s="52">
        <f>IF(LP_Present="No",AL$36,-AL$37*(GP_Split*GP_CoInvest)+AL$59)</f>
        <v/>
      </c>
      <c r="AM61" s="52">
        <f>IF(LP_Present="No",AM$36,-AM$37*(GP_Split*GP_CoInvest)+AM$59)</f>
        <v/>
      </c>
      <c r="AN61" s="52">
        <f>IF(LP_Present="No",AN$36,-AN$37*(GP_Split*GP_CoInvest)+AN$59)</f>
        <v/>
      </c>
      <c r="AO61" s="52">
        <f>IF(LP_Present="No",AO$36,-AO$37*(GP_Split*GP_CoInvest)+AO$59)</f>
        <v/>
      </c>
      <c r="AP61" s="52">
        <f>IF(LP_Present="No",AP$36,-AP$37*(GP_Split*GP_CoInvest)+AP$59)</f>
        <v/>
      </c>
      <c r="AQ61" s="52">
        <f>IF(LP_Present="No",AQ$36,-AQ$37*(GP_Split*GP_CoInvest)+AQ$59)</f>
        <v/>
      </c>
      <c r="AR61" s="52">
        <f>IF(LP_Present="No",AR$36,-AR$37*(GP_Split*GP_CoInvest)+AR$59)</f>
        <v/>
      </c>
      <c r="AS61" s="52">
        <f>IF(LP_Present="No",AS$36,-AS$37*(GP_Split*GP_CoInvest)+AS$59)</f>
        <v/>
      </c>
      <c r="AT61" s="52">
        <f>IF(LP_Present="No",AT$36,-AT$37*(GP_Split*GP_CoInvest)+AT$59)</f>
        <v/>
      </c>
      <c r="AU61" s="52">
        <f>IF(LP_Present="No",AU$36,-AU$37*(GP_Split*GP_CoInvest)+AU$59)</f>
        <v/>
      </c>
      <c r="AV61" s="52">
        <f>IF(LP_Present="No",AV$36,-AV$37*(GP_Split*GP_CoInvest)+AV$59)</f>
        <v/>
      </c>
      <c r="AW61" s="52">
        <f>IF(LP_Present="No",AW$36,-AW$37*(GP_Split*GP_CoInvest)+AW$59)</f>
        <v/>
      </c>
      <c r="AX61" s="52">
        <f>IF(LP_Present="No",AX$36,-AX$37*(GP_Split*GP_CoInvest)+AX$59)</f>
        <v/>
      </c>
      <c r="AY61" s="52">
        <f>IF(LP_Present="No",AY$36,-AY$37*(GP_Split*GP_CoInvest)+AY$59)</f>
        <v/>
      </c>
      <c r="AZ61" s="52">
        <f>IF(LP_Present="No",AZ$36,-AZ$37*(GP_Split*GP_CoInvest)+AZ$59)</f>
        <v/>
      </c>
      <c r="BA61" s="52">
        <f>IF(LP_Present="No",BA$36,-BA$37*(GP_Split*GP_CoInvest)+BA$59)</f>
        <v/>
      </c>
      <c r="BB61" s="52">
        <f>IF(LP_Present="No",BB$36,-BB$37*(GP_Split*GP_CoInvest)+BB$59)</f>
        <v/>
      </c>
      <c r="BC61" s="52">
        <f>IF(LP_Present="No",BC$36,-BC$37*(GP_Split*GP_CoInvest)+BC$59)</f>
        <v/>
      </c>
      <c r="BD61" s="52">
        <f>IF(LP_Present="No",BD$36,-BD$37*(GP_Split*GP_CoInvest)+BD$59)</f>
        <v/>
      </c>
      <c r="BE61" s="52">
        <f>IF(LP_Present="No",BE$36,-BE$37*(GP_Split*GP_CoInvest)+BE$59)</f>
        <v/>
      </c>
      <c r="BF61" s="52">
        <f>IF(LP_Present="No",BF$36,-BF$37*(GP_Split*GP_CoInvest)+BF$59)</f>
        <v/>
      </c>
      <c r="BG61" s="52">
        <f>IF(LP_Present="No",BG$36,-BG$37*(GP_Split*GP_CoInvest)+BG$59)</f>
        <v/>
      </c>
      <c r="BH61" s="52">
        <f>IF(LP_Present="No",BH$36,-BH$37*(GP_Split*GP_CoInvest)+BH$59)</f>
        <v/>
      </c>
      <c r="BI61" s="52">
        <f>IF(LP_Present="No",BI$36,-BI$37*(GP_Split*GP_CoInvest)+BI$59)</f>
        <v/>
      </c>
      <c r="BJ61" s="52">
        <f>IF(LP_Present="No",BJ$36,-BJ$37*(GP_Split*GP_CoInvest)+BJ$59)</f>
        <v/>
      </c>
      <c r="BK61" s="52">
        <f>IF(LP_Present="No",BK$36,-BK$37*(GP_Split*GP_CoInvest)+BK$59)</f>
        <v/>
      </c>
      <c r="BL61" s="52">
        <f>IF(LP_Present="No",BL$36,-BL$37*(GP_Split*GP_CoInvest)+BL$59)</f>
        <v/>
      </c>
      <c r="BM61" s="52">
        <f>IF(LP_Present="No",BM$36,-BM$37*(GP_Split*GP_CoInvest)+BM$59)</f>
        <v/>
      </c>
      <c r="BN61" s="52">
        <f>IF(LP_Present="No",BN$36,-BN$37*(GP_Split*GP_CoInvest)+BN$59)</f>
        <v/>
      </c>
      <c r="BO61" s="52">
        <f>IF(LP_Present="No",BO$36,-BO$37*(GP_Split*GP_CoInvest)+BO$59)</f>
        <v/>
      </c>
      <c r="BP61" s="52">
        <f>IF(LP_Present="No",BP$36,-BP$37*(GP_Split*GP_CoInvest)+BP$59)</f>
        <v/>
      </c>
      <c r="BQ61" s="52">
        <f>IF(LP_Present="No",BQ$36,-BQ$37*(GP_Split*GP_CoInvest)+BQ$59)</f>
        <v/>
      </c>
      <c r="BR61" s="52">
        <f>IF(LP_Present="No",BR$36,-BR$37*(GP_Split*GP_CoInvest)+BR$59)</f>
        <v/>
      </c>
      <c r="BS61" s="52">
        <f>IF(LP_Present="No",BS$36,-BS$37*(GP_Split*GP_CoInvest)+BS$59)</f>
        <v/>
      </c>
      <c r="BT61" s="52">
        <f>IF(LP_Present="No",BT$36,-BT$37*(GP_Split*GP_CoInvest)+BT$59)</f>
        <v/>
      </c>
      <c r="BU61" s="52">
        <f>IF(LP_Present="No",BU$36,-BU$37*(GP_Split*GP_CoInvest)+BU$59)</f>
        <v/>
      </c>
      <c r="BV61" s="52">
        <f>IF(LP_Present="No",BV$36,-BV$37*(GP_Split*GP_CoInvest)+BV$59)</f>
        <v/>
      </c>
      <c r="BW61" s="52">
        <f>IF(LP_Present="No",BW$36,-BW$37*(GP_Split*GP_CoInvest)+BW$59)</f>
        <v/>
      </c>
      <c r="BX61" s="52">
        <f>IF(LP_Present="No",BX$36,-BX$37*(GP_Split*GP_CoInvest)+BX$59)</f>
        <v/>
      </c>
      <c r="BY61" s="52">
        <f>IF(LP_Present="No",BY$36,-BY$37*(GP_Split*GP_CoInvest)+BY$59)</f>
        <v/>
      </c>
      <c r="BZ61" s="52">
        <f>IF(LP_Present="No",BZ$36,-BZ$37*(GP_Split*GP_CoInvest)+BZ$59)</f>
        <v/>
      </c>
      <c r="CA61" s="52">
        <f>IF(LP_Present="No",CA$36,-CA$37*(GP_Split*GP_CoInvest)+CA$59)</f>
        <v/>
      </c>
      <c r="CB61" s="52">
        <f>IF(LP_Present="No",CB$36,-CB$37*(GP_Split*GP_CoInvest)+CB$59)</f>
        <v/>
      </c>
      <c r="CC61" s="52">
        <f>IF(LP_Present="No",CC$36,-CC$37*(GP_Split*GP_CoInvest)+CC$59)</f>
        <v/>
      </c>
      <c r="CD61" s="52">
        <f>IF(LP_Present="No",CD$36,-CD$37*(GP_Split*GP_CoInvest)+CD$59)</f>
        <v/>
      </c>
      <c r="CE61" s="52">
        <f>IF(LP_Present="No",CE$36,-CE$37*(GP_Split*GP_CoInvest)+CE$59)</f>
        <v/>
      </c>
      <c r="CF61" s="52">
        <f>IF(LP_Present="No",CF$36,-CF$37*(GP_Split*GP_CoInvest)+CF$59)</f>
        <v/>
      </c>
      <c r="CG61" s="52">
        <f>IF(LP_Present="No",CG$36,-CG$37*(GP_Split*GP_CoInvest)+CG$59)</f>
        <v/>
      </c>
      <c r="CH61" s="52">
        <f>IF(LP_Present="No",CH$36,-CH$37*(GP_Split*GP_CoInvest)+CH$59)</f>
        <v/>
      </c>
      <c r="CI61" s="52">
        <f>IF(LP_Present="No",CI$36,-CI$37*(GP_Split*GP_CoInvest)+CI$59)</f>
        <v/>
      </c>
      <c r="CJ61" s="52">
        <f>IF(LP_Present="No",CJ$36,-CJ$37*(GP_Split*GP_CoInvest)+CJ$59)</f>
        <v/>
      </c>
      <c r="CK61" s="52">
        <f>IF(LP_Present="No",CK$36,-CK$37*(GP_Split*GP_CoInvest)+CK$59)</f>
        <v/>
      </c>
      <c r="CL61" s="52">
        <f>IF(LP_Present="No",CL$36,-CL$37*(GP_Split*GP_CoInvest)+CL$59)</f>
        <v/>
      </c>
      <c r="CM61" s="52">
        <f>IF(LP_Present="No",CM$36,-CM$37*(GP_Split*GP_CoInvest)+CM$59)</f>
        <v/>
      </c>
      <c r="CN61" s="52">
        <f>IF(LP_Present="No",CN$36,-CN$37*(GP_Split*GP_CoInvest)+CN$59)</f>
        <v/>
      </c>
      <c r="CO61" s="52">
        <f>IF(LP_Present="No",CO$36,-CO$37*(GP_Split*GP_CoInvest)+CO$59)</f>
        <v/>
      </c>
      <c r="CP61" s="52">
        <f>IF(LP_Present="No",CP$36,-CP$37*(GP_Split*GP_CoInvest)+CP$59)</f>
        <v/>
      </c>
      <c r="CQ61" s="52">
        <f>IF(LP_Present="No",CQ$36,-CQ$37*(GP_Split*GP_CoInvest)+CQ$59)</f>
        <v/>
      </c>
      <c r="CR61" s="52">
        <f>IF(LP_Present="No",CR$36,-CR$37*(GP_Split*GP_CoInvest)+CR$59)</f>
        <v/>
      </c>
      <c r="CS61" s="52">
        <f>IF(LP_Present="No",CS$36,-CS$37*(GP_Split*GP_CoInvest)+CS$59)</f>
        <v/>
      </c>
      <c r="CT61" s="52">
        <f>IF(LP_Present="No",CT$36,-CT$37*(GP_Split*GP_CoInvest)+CT$59)</f>
        <v/>
      </c>
      <c r="CU61" s="52">
        <f>IF(LP_Present="No",CU$36,-CU$37*(GP_Split*GP_CoInvest)+CU$59)</f>
        <v/>
      </c>
      <c r="CV61" s="52">
        <f>IF(LP_Present="No",CV$36,-CV$37*(GP_Split*GP_CoInvest)+CV$59)</f>
        <v/>
      </c>
      <c r="CW61" s="52">
        <f>IF(LP_Present="No",CW$36,-CW$37*(GP_Split*GP_CoInvest)+CW$59)</f>
        <v/>
      </c>
      <c r="CX61" s="52">
        <f>IF(LP_Present="No",CX$36,-CX$37*(GP_Split*GP_CoInvest)+CX$59)</f>
        <v/>
      </c>
      <c r="CY61" s="52">
        <f>IF(LP_Present="No",CY$36,-CY$37*(GP_Split*GP_CoInvest)+CY$59)</f>
        <v/>
      </c>
      <c r="CZ61" s="52">
        <f>IF(LP_Present="No",CZ$36,-CZ$37*(GP_Split*GP_CoInvest)+CZ$59)</f>
        <v/>
      </c>
      <c r="DA61" s="52">
        <f>IF(LP_Present="No",DA$36,-DA$37*(GP_Split*GP_CoInvest)+DA$59)</f>
        <v/>
      </c>
      <c r="DB61" s="52">
        <f>IF(LP_Present="No",DB$36,-DB$37*(GP_Split*GP_CoInvest)+DB$59)</f>
        <v/>
      </c>
      <c r="DC61" s="52">
        <f>IF(LP_Present="No",DC$36,-DC$37*(GP_Split*GP_CoInvest)+DC$59)</f>
        <v/>
      </c>
      <c r="DD61" s="52">
        <f>IF(LP_Present="No",DD$36,-DD$37*(GP_Split*GP_CoInvest)+DD$59)</f>
        <v/>
      </c>
      <c r="DE61" s="52">
        <f>IF(LP_Present="No",DE$36,-DE$37*(GP_Split*GP_CoInvest)+DE$59)</f>
        <v/>
      </c>
      <c r="DF61" s="52">
        <f>IF(LP_Present="No",DF$36,-DF$37*(GP_Split*GP_CoInvest)+DF$59)</f>
        <v/>
      </c>
      <c r="DG61" s="52">
        <f>IF(LP_Present="No",DG$36,-DG$37*(GP_Split*GP_CoInvest)+DG$59)</f>
        <v/>
      </c>
      <c r="DH61" s="52">
        <f>IF(LP_Present="No",DH$36,-DH$37*(GP_Split*GP_CoInvest)+DH$59)</f>
        <v/>
      </c>
      <c r="DI61" s="52">
        <f>IF(LP_Present="No",DI$36,-DI$37*(GP_Split*GP_CoInvest)+DI$59)</f>
        <v/>
      </c>
      <c r="DJ61" s="52">
        <f>IF(LP_Present="No",DJ$36,-DJ$37*(GP_Split*GP_CoInvest)+DJ$59)</f>
        <v/>
      </c>
      <c r="DK61" s="52">
        <f>IF(LP_Present="No",DK$36,-DK$37*(GP_Split*GP_CoInvest)+DK$59)</f>
        <v/>
      </c>
      <c r="DL61" s="52">
        <f>IF(LP_Present="No",DL$36,-DL$37*(GP_Split*GP_CoInvest)+DL$59)</f>
        <v/>
      </c>
      <c r="DM61" s="52">
        <f>IF(LP_Present="No",DM$36,-DM$37*(GP_Split*GP_CoInvest)+DM$59)</f>
        <v/>
      </c>
      <c r="DN61" s="52">
        <f>IF(LP_Present="No",DN$36,-DN$37*(GP_Split*GP_CoInvest)+DN$59)</f>
        <v/>
      </c>
      <c r="DO61" s="52">
        <f>IF(LP_Present="No",DO$36,-DO$37*(GP_Split*GP_CoInvest)+DO$59)</f>
        <v/>
      </c>
      <c r="DP61" s="52">
        <f>IF(LP_Present="No",DP$36,-DP$37*(GP_Split*GP_CoInvest)+DP$59)</f>
        <v/>
      </c>
      <c r="DQ61" s="52">
        <f>IF(LP_Present="No",DQ$36,-DQ$37*(GP_Split*GP_CoInvest)+DQ$59)</f>
        <v/>
      </c>
      <c r="DR61" s="52">
        <f>IF(LP_Present="No",DR$36,-DR$37*(GP_Split*GP_CoInvest)+DR$59)</f>
        <v/>
      </c>
      <c r="DS61" s="52">
        <f>IF(LP_Present="No",DS$36,-DS$37*(GP_Split*GP_CoInvest)+DS$59)</f>
        <v/>
      </c>
      <c r="DT61" s="52">
        <f>IF(LP_Present="No",DT$36,-DT$37*(GP_Split*GP_CoInvest)+DT$59)</f>
        <v/>
      </c>
    </row>
    <row r="63">
      <c r="A63" s="8" t="inlineStr">
        <is>
          <t>Distribution results &amp; partner returns</t>
        </is>
      </c>
      <c r="B63" s="9" t="n"/>
      <c r="C63" s="9" t="n"/>
      <c r="D63" s="9" t="n"/>
      <c r="E63" s="9" t="n"/>
      <c r="F63" s="9" t="n"/>
    </row>
    <row r="64">
      <c r="A64" s="10" t="inlineStr">
        <is>
          <t>LP distributions ($)</t>
        </is>
      </c>
      <c r="B64" s="52">
        <f>SUM(E$57:DT$57)</f>
        <v/>
      </c>
    </row>
    <row r="65">
      <c r="A65" s="10" t="inlineStr">
        <is>
          <t>GP distributions ($)</t>
        </is>
      </c>
      <c r="B65" s="52">
        <f>SUM(E$59:DT$59)</f>
        <v/>
      </c>
    </row>
    <row r="66">
      <c r="A66" s="10" t="inlineStr">
        <is>
          <t>GP promote ($)</t>
        </is>
      </c>
      <c r="B66" s="52">
        <f>SUM(E$51:DT$51)</f>
        <v/>
      </c>
    </row>
    <row r="67">
      <c r="A67" s="10" t="inlineStr">
        <is>
          <t>LP IRR (%)</t>
        </is>
      </c>
      <c r="B67" s="35">
        <f>IFERROR(XIRR(E$60:DT$60,'Monthly CF'!E$6:DT$6),0)</f>
        <v/>
      </c>
    </row>
    <row r="68">
      <c r="A68" s="10" t="inlineStr">
        <is>
          <t>GP IRR (%)</t>
        </is>
      </c>
      <c r="B68" s="35">
        <f>IFERROR(XIRR(E$61:DT$61,'Monthly CF'!E$6:DT$6),0)</f>
        <v/>
      </c>
    </row>
    <row r="69">
      <c r="A69" s="10" t="inlineStr">
        <is>
          <t>LP equity multiple (x)</t>
        </is>
      </c>
      <c r="B69" s="67">
        <f>SUMIF(E$60:DT$60,"&gt;0")/MAX(1,-SUMIF(E$60:DT$60,"&lt;0"))</f>
        <v/>
      </c>
    </row>
    <row r="70">
      <c r="A70" s="10" t="inlineStr">
        <is>
          <t>Sponsor / single-sponsor levered return (%)</t>
        </is>
      </c>
      <c r="B70" s="35">
        <f>IF(LP_Present="No",LeveredIRR,GP_IRR)</f>
        <v/>
      </c>
    </row>
    <row r="71">
      <c r="A71" s="10" t="inlineStr">
        <is>
          <t>Check: SUM(LP CF)+SUM(GP CF) = project levered CF</t>
        </is>
      </c>
      <c r="B71" s="52">
        <f>SUM(E$60:DT$60)+SUM(E$61:DT$61)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SENSITIVITIES — Phase 1 stub (live data tables built in Phase 2)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4">
      <c r="A4" s="3" t="inlineStr">
        <is>
          <t>Output anchors (Phase 2 sets row/col input cells via Data Table):</t>
        </is>
      </c>
    </row>
    <row r="5">
      <c r="A5" s="10" t="inlineStr">
        <is>
          <t>Levered IRR anchor</t>
        </is>
      </c>
      <c r="B5" s="21">
        <f>LeveredIRR</f>
        <v/>
      </c>
    </row>
    <row r="6">
      <c r="A6" s="10" t="inlineStr">
        <is>
          <t>Equity multiple anchor</t>
        </is>
      </c>
      <c r="B6" s="53">
        <f>EquityMultiple</f>
        <v/>
      </c>
    </row>
    <row r="7">
      <c r="A7" s="10" t="inlineStr">
        <is>
          <t>Unlevered IRR anchor</t>
        </is>
      </c>
      <c r="B7" s="21">
        <f>UnleveredIRR</f>
        <v/>
      </c>
    </row>
    <row r="9">
      <c r="A9" s="3" t="inlineStr">
        <is>
          <t>Grid 1: Exit cap (rows) x MF rent growth Y1 (cols) -&gt; Levered IRR</t>
        </is>
      </c>
    </row>
    <row r="10">
      <c r="A10" s="21">
        <f>Sens_LIRR</f>
        <v/>
      </c>
      <c r="B10" s="68" t="n">
        <v>0.02</v>
      </c>
      <c r="C10" s="68" t="n">
        <v>0.03</v>
      </c>
      <c r="D10" s="68" t="n">
        <v>0.04</v>
      </c>
      <c r="E10" s="68" t="n">
        <v>0.05</v>
      </c>
      <c r="F10" s="68" t="n">
        <v>0.06</v>
      </c>
    </row>
    <row r="11">
      <c r="A11" s="27" t="n">
        <v>0.045</v>
      </c>
      <c r="B11" s="10" t="inlineStr"/>
      <c r="C11" s="10" t="inlineStr"/>
      <c r="D11" s="10" t="inlineStr"/>
      <c r="E11" s="10" t="inlineStr"/>
      <c r="F11" s="10" t="inlineStr"/>
    </row>
    <row r="12">
      <c r="A12" s="27" t="n">
        <v>0.05</v>
      </c>
      <c r="B12" s="10" t="inlineStr"/>
      <c r="C12" s="10" t="inlineStr"/>
      <c r="D12" s="10" t="inlineStr"/>
      <c r="E12" s="10" t="inlineStr"/>
      <c r="F12" s="10" t="inlineStr"/>
    </row>
    <row r="13">
      <c r="A13" s="27" t="n">
        <v>0.055</v>
      </c>
      <c r="B13" s="10" t="inlineStr"/>
      <c r="C13" s="10" t="inlineStr"/>
      <c r="D13" s="10" t="inlineStr"/>
      <c r="E13" s="10" t="inlineStr"/>
      <c r="F13" s="10" t="inlineStr"/>
    </row>
    <row r="14">
      <c r="A14" s="27" t="n">
        <v>0.06</v>
      </c>
      <c r="B14" s="10" t="inlineStr"/>
      <c r="C14" s="10" t="inlineStr"/>
      <c r="D14" s="10" t="inlineStr"/>
      <c r="E14" s="10" t="inlineStr"/>
      <c r="F14" s="10" t="inlineStr"/>
    </row>
    <row r="15">
      <c r="A15" s="27" t="n">
        <v>0.065</v>
      </c>
      <c r="B15" s="10" t="inlineStr"/>
      <c r="C15" s="10" t="inlineStr"/>
      <c r="D15" s="10" t="inlineStr"/>
      <c r="E15" s="10" t="inlineStr"/>
      <c r="F15" s="10" t="inlineStr"/>
    </row>
    <row r="17">
      <c r="A17" s="16" t="inlineStr">
        <is>
          <t>DATA TABLE inputs:  Row input cell = Assumptions!$E$56 (MF rent growth Y1) ;  Column input cell = ExitCapBlended (Assumptions!$B$13)</t>
        </is>
      </c>
    </row>
    <row r="19">
      <c r="A19" s="3" t="inlineStr">
        <is>
          <t>Grid 2: Purchase price (rows) x exit cap (cols) -&gt; Levered IRR</t>
        </is>
      </c>
    </row>
    <row r="20">
      <c r="A20" s="21">
        <f>Sens_LIRR</f>
        <v/>
      </c>
      <c r="B20" s="46" t="n">
        <v>0.045</v>
      </c>
      <c r="C20" s="46" t="n">
        <v>0.05</v>
      </c>
      <c r="D20" s="46" t="n">
        <v>0.055</v>
      </c>
      <c r="E20" s="46" t="n">
        <v>0.06</v>
      </c>
      <c r="F20" s="46" t="n">
        <v>0.065</v>
      </c>
    </row>
    <row r="21">
      <c r="A21" s="55" t="n">
        <v>40000000</v>
      </c>
    </row>
    <row r="22">
      <c r="A22" s="55" t="n">
        <v>44000000</v>
      </c>
    </row>
    <row r="23">
      <c r="A23" s="55" t="n">
        <v>48000000</v>
      </c>
    </row>
    <row r="24">
      <c r="A24" s="55" t="n">
        <v>52000000</v>
      </c>
    </row>
    <row r="25">
      <c r="A25" s="55" t="n">
        <v>56000000</v>
      </c>
    </row>
    <row r="27">
      <c r="A27" s="16" t="inlineStr">
        <is>
          <t>DATA TABLE inputs:  Row input cell = ExitCapBlended (Assumptions!$B$13) ;  Column input cell = InputPrice (Assumptions!$B$6)</t>
        </is>
      </c>
    </row>
    <row r="29">
      <c r="A29" s="3" t="inlineStr">
        <is>
          <t>Grid 3 (one-way): Disposition date -&gt; Levered IRR &amp; EM</t>
        </is>
      </c>
    </row>
    <row r="30">
      <c r="A30" s="3" t="inlineStr">
        <is>
          <t>Disp date</t>
        </is>
      </c>
      <c r="B30" s="21">
        <f>Sens_LIRR</f>
        <v/>
      </c>
      <c r="C30" s="53">
        <f>Sens_EM</f>
        <v/>
      </c>
    </row>
    <row r="31">
      <c r="A31" s="33">
        <f>EDATE(DispositionDate,-24)</f>
        <v/>
      </c>
    </row>
    <row r="32">
      <c r="A32" s="33">
        <f>EDATE(DispositionDate,-12)</f>
        <v/>
      </c>
    </row>
    <row r="33">
      <c r="A33" s="33">
        <f>EDATE(DispositionDate,0)</f>
        <v/>
      </c>
    </row>
    <row r="34">
      <c r="A34" s="33">
        <f>EDATE(DispositionDate,12)</f>
        <v/>
      </c>
    </row>
    <row r="35">
      <c r="A35" s="33">
        <f>EDATE(DispositionDate,24)</f>
        <v/>
      </c>
    </row>
    <row r="37">
      <c r="A37" s="16" t="inlineStr">
        <is>
          <t>DATA TABLE input (one-variable, dates run down the column):  Column input cell = DispositionDate (Control Panel!$B$9)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2" customWidth="1" min="3" max="3"/>
    <col width="18" customWidth="1" min="4" max="4"/>
  </cols>
  <sheetData>
    <row r="1">
      <c r="A1" s="1" t="inlineStr">
        <is>
          <t>INVESTMENT COMMITTEE — One-Pager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>
      <c r="A2" s="3" t="inlineStr">
        <is>
          <t>Asset:</t>
        </is>
      </c>
      <c r="B2" s="4">
        <f>AssetName</f>
        <v/>
      </c>
      <c r="D2" s="3" t="inlineStr">
        <is>
          <t>Run date:</t>
        </is>
      </c>
      <c r="E2" s="5">
        <f>RunDate</f>
        <v/>
      </c>
      <c r="G2" s="3" t="inlineStr">
        <is>
          <t>Business plan:</t>
        </is>
      </c>
      <c r="H2" s="4">
        <f>BusinessPlanMode</f>
        <v/>
      </c>
      <c r="J2" s="3" t="inlineStr">
        <is>
          <t>Hold (mo):</t>
        </is>
      </c>
      <c r="K2" s="6">
        <f>HoldMonths</f>
        <v/>
      </c>
    </row>
    <row r="3">
      <c r="A3" s="3" t="inlineStr">
        <is>
          <t>Model status:</t>
        </is>
      </c>
      <c r="B3" s="7">
        <f>ModelStatus</f>
        <v/>
      </c>
    </row>
    <row r="5">
      <c r="A5" s="8" t="inlineStr">
        <is>
          <t>Deal snapshot</t>
        </is>
      </c>
      <c r="B5" s="9" t="n"/>
      <c r="C5" s="9" t="n"/>
      <c r="D5" s="9" t="n"/>
    </row>
    <row r="6">
      <c r="A6" s="10" t="inlineStr">
        <is>
          <t>Asset</t>
        </is>
      </c>
      <c r="B6" s="4">
        <f>AssetName</f>
        <v/>
      </c>
      <c r="C6" s="10" t="inlineStr">
        <is>
          <t>Business plan</t>
        </is>
      </c>
      <c r="D6" s="4">
        <f>BusinessPlanMode</f>
        <v/>
      </c>
    </row>
    <row r="7">
      <c r="A7" s="10" t="inlineStr">
        <is>
          <t>Units</t>
        </is>
      </c>
      <c r="B7" s="6">
        <f>MF_UnitCount</f>
        <v/>
      </c>
      <c r="C7" s="10" t="inlineStr">
        <is>
          <t>Retail GLA</t>
        </is>
      </c>
      <c r="D7" s="6">
        <f>Retail_GLA</f>
        <v/>
      </c>
    </row>
    <row r="8">
      <c r="A8" s="10" t="inlineStr">
        <is>
          <t>Purchase price</t>
        </is>
      </c>
      <c r="B8" s="50">
        <f>PurchasePrice</f>
        <v/>
      </c>
      <c r="C8" s="10" t="inlineStr">
        <is>
          <t>$/unit</t>
        </is>
      </c>
      <c r="D8" s="50">
        <f>PurchasePrice/MF_UnitCount</f>
        <v/>
      </c>
    </row>
    <row r="9">
      <c r="A9" s="10" t="inlineStr">
        <is>
          <t>Going-in cap</t>
        </is>
      </c>
      <c r="B9" s="21">
        <f>GoingInCap</f>
        <v/>
      </c>
      <c r="C9" s="10" t="inlineStr">
        <is>
          <t>Stabilized cap</t>
        </is>
      </c>
      <c r="D9" s="21">
        <f>StabCap</f>
        <v/>
      </c>
    </row>
    <row r="11">
      <c r="A11" s="8" t="inlineStr">
        <is>
          <t>Sources &amp; Uses</t>
        </is>
      </c>
      <c r="B11" s="9" t="n"/>
      <c r="C11" s="9" t="n"/>
      <c r="D11" s="9" t="n"/>
    </row>
    <row r="12">
      <c r="A12" s="10" t="inlineStr">
        <is>
          <t>Loan</t>
        </is>
      </c>
      <c r="B12" s="50">
        <f>LoanAmount</f>
        <v/>
      </c>
      <c r="C12" s="10" t="inlineStr">
        <is>
          <t>Equity</t>
        </is>
      </c>
      <c r="D12" s="50">
        <f>InitialEquity</f>
        <v/>
      </c>
    </row>
    <row r="13">
      <c r="A13" s="10" t="inlineStr">
        <is>
          <t>Total cost</t>
        </is>
      </c>
      <c r="B13" s="50">
        <f>TotalCost</f>
        <v/>
      </c>
      <c r="C13" s="10" t="inlineStr">
        <is>
          <t>Binding constraint</t>
        </is>
      </c>
      <c r="D13" s="4">
        <f>BindingConstraint</f>
        <v/>
      </c>
    </row>
    <row r="15">
      <c r="A15" s="8" t="inlineStr">
        <is>
          <t>Returns</t>
        </is>
      </c>
      <c r="B15" s="9" t="n"/>
      <c r="C15" s="9" t="n"/>
      <c r="D15" s="9" t="n"/>
    </row>
    <row r="16">
      <c r="A16" s="10" t="inlineStr">
        <is>
          <t>Unlevered IRR</t>
        </is>
      </c>
      <c r="B16" s="21">
        <f>UnleveredIRR</f>
        <v/>
      </c>
      <c r="C16" s="10" t="inlineStr">
        <is>
          <t>Levered IRR</t>
        </is>
      </c>
      <c r="D16" s="21">
        <f>LeveredIRR</f>
        <v/>
      </c>
    </row>
    <row r="17">
      <c r="A17" s="10" t="inlineStr">
        <is>
          <t>Equity multiple</t>
        </is>
      </c>
      <c r="B17" s="53">
        <f>EquityMultiple</f>
        <v/>
      </c>
      <c r="C17" s="10" t="inlineStr">
        <is>
          <t>Yield-on-cost</t>
        </is>
      </c>
      <c r="D17" s="21">
        <f>YieldOnCost</f>
        <v/>
      </c>
    </row>
    <row r="18">
      <c r="A18" s="10" t="inlineStr">
        <is>
          <t>Exit cap</t>
        </is>
      </c>
      <c r="B18" s="21">
        <f>ExitCapBlended</f>
        <v/>
      </c>
      <c r="C18" s="10" t="inlineStr">
        <is>
          <t>Development spread (bps)</t>
        </is>
      </c>
      <c r="D18" s="54">
        <f>DevSpread</f>
        <v/>
      </c>
    </row>
    <row r="19">
      <c r="A19" s="10" t="inlineStr">
        <is>
          <t>LP IRR</t>
        </is>
      </c>
      <c r="B19" s="21">
        <f>LP_IRR</f>
        <v/>
      </c>
      <c r="C19" s="10" t="inlineStr">
        <is>
          <t>GP IRR</t>
        </is>
      </c>
      <c r="D19" s="21">
        <f>GP_IRR</f>
        <v/>
      </c>
    </row>
    <row r="21">
      <c r="A21" s="8" t="inlineStr">
        <is>
          <t>Debt terms</t>
        </is>
      </c>
      <c r="B21" s="9" t="n"/>
      <c r="C21" s="9" t="n"/>
      <c r="D21" s="9" t="n"/>
    </row>
    <row r="22">
      <c r="A22" s="10" t="inlineStr">
        <is>
          <t>Loan rate</t>
        </is>
      </c>
      <c r="B22" s="21">
        <f>LoanRate</f>
        <v/>
      </c>
      <c r="C22" s="10" t="inlineStr">
        <is>
          <t>Amort (yrs)</t>
        </is>
      </c>
      <c r="D22" s="6">
        <f>AmortYears</f>
        <v/>
      </c>
    </row>
    <row r="23">
      <c r="A23" s="10" t="inlineStr">
        <is>
          <t>IO (mo)</t>
        </is>
      </c>
      <c r="B23" s="69">
        <f>IOMonths</f>
        <v/>
      </c>
      <c r="C23" s="10" t="inlineStr">
        <is>
          <t>Refi</t>
        </is>
      </c>
      <c r="D23" s="4">
        <f>RefiOn</f>
        <v/>
      </c>
    </row>
    <row r="25">
      <c r="A25" s="8" t="inlineStr">
        <is>
          <t>Key assumptions / risks</t>
        </is>
      </c>
      <c r="B25" s="9" t="n"/>
      <c r="C25" s="9" t="n"/>
      <c r="D25" s="9" t="n"/>
    </row>
    <row r="26">
      <c r="A26" s="10" t="inlineStr">
        <is>
          <t>Exit NOI basis</t>
        </is>
      </c>
      <c r="B26" s="4">
        <f>ExitNOIBasis</f>
        <v/>
      </c>
    </row>
    <row r="27">
      <c r="A27" s="10" t="inlineStr">
        <is>
          <t>Tax method</t>
        </is>
      </c>
      <c r="B27" s="4">
        <f>TaxMethod</f>
        <v/>
      </c>
    </row>
    <row r="28">
      <c r="A28" s="10" t="inlineStr">
        <is>
          <t>LP present</t>
        </is>
      </c>
      <c r="B28" s="4">
        <f>LP_Present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2026-06-16T19:32:05Z</dcterms:created>
  <dcterms:modified xsi:type="dcterms:W3CDTF">2026-06-16T19:33:32Z</dcterms:modified>
</cp:coreProperties>
</file>